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fit\OneDrive\Desktop\Programación\KemperyWorldTravel\frontend\"/>
    </mc:Choice>
  </mc:AlternateContent>
  <xr:revisionPtr revIDLastSave="0" documentId="13_ncr:1_{EE6576F7-DC1C-4257-81DE-CDB5A872AE42}" xr6:coauthVersionLast="47" xr6:coauthVersionMax="47" xr10:uidLastSave="{00000000-0000-0000-0000-000000000000}"/>
  <bookViews>
    <workbookView xWindow="-108" yWindow="-108" windowWidth="23256" windowHeight="12456" xr2:uid="{69BCC217-084D-4EF8-86EF-170CB34139DC}"/>
  </bookViews>
  <sheets>
    <sheet name="Clientes23-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642" i="1" l="1"/>
  <c r="M1642" i="1" s="1"/>
  <c r="L1641" i="1"/>
  <c r="M1641" i="1" s="1"/>
  <c r="L1640" i="1"/>
  <c r="M1640" i="1" s="1"/>
  <c r="L1639" i="1"/>
  <c r="M1639" i="1" s="1"/>
  <c r="L1633" i="1"/>
  <c r="M1633" i="1" s="1"/>
  <c r="L1632" i="1"/>
  <c r="M1632" i="1" s="1"/>
  <c r="L1631" i="1"/>
  <c r="M1631" i="1" s="1"/>
  <c r="L1630" i="1"/>
  <c r="M1630" i="1" s="1"/>
  <c r="L1629" i="1"/>
  <c r="M1629" i="1" s="1"/>
  <c r="L1628" i="1"/>
  <c r="M1628" i="1" s="1"/>
  <c r="L1627" i="1"/>
  <c r="M1627" i="1" s="1"/>
  <c r="L1626" i="1"/>
  <c r="M1626" i="1" s="1"/>
  <c r="L1625" i="1"/>
  <c r="M1625" i="1" s="1"/>
  <c r="L1624" i="1"/>
  <c r="M1624" i="1" s="1"/>
  <c r="L1623" i="1"/>
  <c r="M1623" i="1" s="1"/>
  <c r="L1622" i="1"/>
  <c r="M1622" i="1" s="1"/>
  <c r="L1621" i="1"/>
  <c r="M1621" i="1" s="1"/>
  <c r="L1620" i="1"/>
  <c r="M1620" i="1" s="1"/>
  <c r="L1619" i="1"/>
  <c r="M1619" i="1" s="1"/>
  <c r="L1618" i="1"/>
  <c r="M1618" i="1" s="1"/>
  <c r="L1617" i="1"/>
  <c r="M1617" i="1" s="1"/>
  <c r="L1616" i="1"/>
  <c r="M1616" i="1" s="1"/>
  <c r="L1615" i="1"/>
  <c r="M1615" i="1" s="1"/>
  <c r="L1614" i="1"/>
  <c r="M1614" i="1" s="1"/>
  <c r="L1613" i="1"/>
  <c r="M1613" i="1" s="1"/>
  <c r="L1612" i="1"/>
  <c r="M1612" i="1" s="1"/>
  <c r="L1611" i="1"/>
  <c r="M1611" i="1" s="1"/>
  <c r="L1610" i="1"/>
  <c r="M1610" i="1" s="1"/>
  <c r="L1609" i="1"/>
  <c r="M1609" i="1" s="1"/>
  <c r="L1608" i="1"/>
  <c r="M1608" i="1" s="1"/>
  <c r="L1607" i="1"/>
  <c r="M1607" i="1" s="1"/>
  <c r="L1606" i="1"/>
  <c r="M1606" i="1" s="1"/>
  <c r="L1605" i="1"/>
  <c r="M1605" i="1" s="1"/>
  <c r="L1604" i="1"/>
  <c r="M1604" i="1" s="1"/>
  <c r="L1603" i="1"/>
  <c r="M1603" i="1" s="1"/>
  <c r="L1602" i="1"/>
  <c r="M1602" i="1" s="1"/>
  <c r="L1601" i="1"/>
  <c r="M1601" i="1" s="1"/>
  <c r="L1600" i="1"/>
  <c r="M1600" i="1" s="1"/>
  <c r="L1599" i="1"/>
  <c r="M1599" i="1" s="1"/>
  <c r="M1598" i="1"/>
  <c r="L1598" i="1"/>
  <c r="L1597" i="1"/>
  <c r="M1597" i="1" s="1"/>
  <c r="L1596" i="1"/>
  <c r="M1596" i="1" s="1"/>
  <c r="L1595" i="1"/>
  <c r="M1595" i="1" s="1"/>
  <c r="L1594" i="1"/>
  <c r="M1594" i="1" s="1"/>
  <c r="L1593" i="1"/>
  <c r="M1593" i="1" s="1"/>
  <c r="L1592" i="1"/>
  <c r="M1592" i="1" s="1"/>
  <c r="L1591" i="1"/>
  <c r="M1591" i="1" s="1"/>
  <c r="M1590" i="1"/>
  <c r="L1590" i="1"/>
  <c r="L1589" i="1"/>
  <c r="M1589" i="1" s="1"/>
  <c r="L1588" i="1"/>
  <c r="M1588" i="1" s="1"/>
  <c r="L1587" i="1"/>
  <c r="M1587" i="1" s="1"/>
  <c r="L1586" i="1"/>
  <c r="M1586" i="1" s="1"/>
  <c r="L1585" i="1"/>
  <c r="M1585" i="1" s="1"/>
  <c r="L1584" i="1"/>
  <c r="M1584" i="1" s="1"/>
  <c r="L1583" i="1"/>
  <c r="M1583" i="1" s="1"/>
  <c r="M1582" i="1"/>
  <c r="L1582" i="1"/>
  <c r="L1581" i="1"/>
  <c r="M1581" i="1" s="1"/>
  <c r="L1580" i="1"/>
  <c r="M1580" i="1" s="1"/>
  <c r="L1579" i="1"/>
  <c r="M1579" i="1" s="1"/>
  <c r="L1578" i="1"/>
  <c r="M1578" i="1" s="1"/>
  <c r="L1577" i="1"/>
  <c r="M1577" i="1" s="1"/>
  <c r="L1576" i="1"/>
  <c r="M1576" i="1" s="1"/>
  <c r="L1575" i="1"/>
  <c r="M1575" i="1" s="1"/>
  <c r="M1574" i="1"/>
  <c r="L1574" i="1"/>
  <c r="L1573" i="1"/>
  <c r="M1573" i="1" s="1"/>
  <c r="L1572" i="1"/>
  <c r="M1572" i="1" s="1"/>
  <c r="L1571" i="1"/>
  <c r="M1571" i="1" s="1"/>
  <c r="L1570" i="1"/>
  <c r="M1570" i="1" s="1"/>
  <c r="L1569" i="1"/>
  <c r="M1569" i="1" s="1"/>
  <c r="L1568" i="1"/>
  <c r="M1568" i="1" s="1"/>
  <c r="L1567" i="1"/>
  <c r="M1567" i="1" s="1"/>
  <c r="M1566" i="1"/>
  <c r="L1566" i="1"/>
  <c r="L1565" i="1"/>
  <c r="M1565" i="1" s="1"/>
  <c r="L1564" i="1"/>
  <c r="M1564" i="1" s="1"/>
  <c r="L1563" i="1"/>
  <c r="M1563" i="1" s="1"/>
  <c r="L1562" i="1"/>
  <c r="M1562" i="1" s="1"/>
  <c r="L1561" i="1"/>
  <c r="M1561" i="1" s="1"/>
  <c r="L1560" i="1"/>
  <c r="M1560" i="1" s="1"/>
  <c r="L1559" i="1"/>
  <c r="M1559" i="1" s="1"/>
  <c r="M1558" i="1"/>
  <c r="L1558" i="1"/>
  <c r="L1557" i="1"/>
  <c r="M1557" i="1" s="1"/>
  <c r="L1556" i="1"/>
  <c r="M1556" i="1" s="1"/>
  <c r="L1555" i="1"/>
  <c r="M1555" i="1" s="1"/>
  <c r="L1554" i="1"/>
  <c r="M1554" i="1" s="1"/>
  <c r="L1553" i="1"/>
  <c r="M1553" i="1" s="1"/>
  <c r="L1552" i="1"/>
  <c r="M1552" i="1" s="1"/>
  <c r="L1551" i="1"/>
  <c r="M1551" i="1" s="1"/>
  <c r="L1550" i="1"/>
  <c r="M1550" i="1" s="1"/>
  <c r="L1549" i="1"/>
  <c r="M1549" i="1" s="1"/>
  <c r="L1548" i="1"/>
  <c r="M1548" i="1" s="1"/>
  <c r="L1547" i="1"/>
  <c r="M1547" i="1" s="1"/>
  <c r="L1546" i="1"/>
  <c r="M1546" i="1" s="1"/>
  <c r="L1545" i="1"/>
  <c r="M1545" i="1" s="1"/>
  <c r="L1544" i="1"/>
  <c r="M1544" i="1" s="1"/>
  <c r="L1543" i="1"/>
  <c r="M1543" i="1" s="1"/>
  <c r="L1542" i="1"/>
  <c r="M1542" i="1" s="1"/>
  <c r="L1541" i="1"/>
  <c r="M1541" i="1" s="1"/>
  <c r="L1540" i="1"/>
  <c r="M1540" i="1" s="1"/>
  <c r="L1539" i="1"/>
  <c r="M1539" i="1" s="1"/>
  <c r="L1538" i="1"/>
  <c r="M1538" i="1" s="1"/>
  <c r="L1537" i="1"/>
  <c r="M1537" i="1" s="1"/>
  <c r="L1536" i="1"/>
  <c r="M1536" i="1" s="1"/>
  <c r="L1535" i="1"/>
  <c r="M1535" i="1" s="1"/>
  <c r="L1534" i="1"/>
  <c r="M1534" i="1" s="1"/>
  <c r="L1533" i="1"/>
  <c r="M1533" i="1" s="1"/>
  <c r="L1532" i="1"/>
  <c r="M1532" i="1" s="1"/>
  <c r="L1531" i="1"/>
  <c r="M1531" i="1" s="1"/>
  <c r="L1530" i="1"/>
  <c r="M1530" i="1" s="1"/>
  <c r="L1529" i="1"/>
  <c r="M1529" i="1" s="1"/>
  <c r="L1528" i="1"/>
  <c r="M1528" i="1" s="1"/>
  <c r="L1527" i="1"/>
  <c r="M1527" i="1" s="1"/>
  <c r="L1526" i="1"/>
  <c r="M1526" i="1" s="1"/>
  <c r="L1525" i="1"/>
  <c r="M1525" i="1" s="1"/>
  <c r="L1524" i="1"/>
  <c r="M1524" i="1" s="1"/>
  <c r="L1523" i="1"/>
  <c r="M1523" i="1" s="1"/>
  <c r="L1522" i="1"/>
  <c r="M1522" i="1" s="1"/>
  <c r="L1521" i="1"/>
  <c r="M1521" i="1" s="1"/>
  <c r="L1520" i="1"/>
  <c r="M1520" i="1" s="1"/>
  <c r="L1519" i="1"/>
  <c r="M1519" i="1" s="1"/>
  <c r="L1518" i="1"/>
  <c r="M1518" i="1" s="1"/>
  <c r="L1517" i="1"/>
  <c r="M1517" i="1" s="1"/>
  <c r="L1516" i="1"/>
  <c r="M1516" i="1" s="1"/>
  <c r="L1513" i="1"/>
  <c r="M1513" i="1" s="1"/>
  <c r="L1512" i="1"/>
  <c r="M1512" i="1" s="1"/>
  <c r="L1511" i="1"/>
  <c r="M1511" i="1" s="1"/>
  <c r="L1510" i="1"/>
  <c r="M1510" i="1" s="1"/>
  <c r="L1509" i="1"/>
  <c r="M1509" i="1" s="1"/>
  <c r="L1508" i="1"/>
  <c r="M1508" i="1" s="1"/>
  <c r="L1507" i="1"/>
  <c r="M1507" i="1" s="1"/>
  <c r="L1506" i="1"/>
  <c r="M1506" i="1" s="1"/>
  <c r="L1505" i="1"/>
  <c r="M1505" i="1" s="1"/>
  <c r="L1504" i="1"/>
  <c r="M1504" i="1" s="1"/>
  <c r="L1503" i="1"/>
  <c r="M1503" i="1" s="1"/>
  <c r="L1502" i="1"/>
  <c r="M1502" i="1" s="1"/>
  <c r="L1501" i="1"/>
  <c r="M1501" i="1" s="1"/>
  <c r="L1500" i="1"/>
  <c r="M1500" i="1" s="1"/>
  <c r="L1499" i="1"/>
  <c r="M1499" i="1" s="1"/>
  <c r="L1498" i="1"/>
  <c r="M1498" i="1" s="1"/>
  <c r="L1497" i="1"/>
  <c r="M1497" i="1" s="1"/>
  <c r="L1496" i="1"/>
  <c r="M1496" i="1" s="1"/>
  <c r="L1495" i="1"/>
  <c r="M1495" i="1" s="1"/>
  <c r="L1494" i="1"/>
  <c r="M1494" i="1" s="1"/>
  <c r="L1493" i="1"/>
  <c r="M1493" i="1" s="1"/>
  <c r="L1492" i="1"/>
  <c r="M1492" i="1" s="1"/>
  <c r="M1491" i="1"/>
  <c r="L1491" i="1"/>
  <c r="L1490" i="1"/>
  <c r="M1490" i="1" s="1"/>
  <c r="L1489" i="1"/>
  <c r="M1489" i="1" s="1"/>
  <c r="L1488" i="1"/>
  <c r="M1488" i="1" s="1"/>
  <c r="L1487" i="1"/>
  <c r="M1487" i="1" s="1"/>
  <c r="L1486" i="1"/>
  <c r="M1486" i="1" s="1"/>
  <c r="L1485" i="1"/>
  <c r="M1485" i="1" s="1"/>
  <c r="L1484" i="1"/>
  <c r="M1484" i="1" s="1"/>
  <c r="M1483" i="1"/>
  <c r="L1483" i="1"/>
  <c r="L1482" i="1"/>
  <c r="M1482" i="1" s="1"/>
  <c r="L1481" i="1"/>
  <c r="M1481" i="1" s="1"/>
  <c r="L1480" i="1"/>
  <c r="M1480" i="1" s="1"/>
  <c r="L1479" i="1"/>
  <c r="M1479" i="1" s="1"/>
  <c r="L1478" i="1"/>
  <c r="M1478" i="1" s="1"/>
  <c r="L1477" i="1"/>
  <c r="M1477" i="1" s="1"/>
  <c r="L1476" i="1"/>
  <c r="M1476" i="1" s="1"/>
  <c r="M1475" i="1"/>
  <c r="L1475" i="1"/>
  <c r="L1474" i="1"/>
  <c r="M1474" i="1" s="1"/>
  <c r="L1473" i="1"/>
  <c r="M1473" i="1" s="1"/>
  <c r="L1472" i="1"/>
  <c r="M1472" i="1" s="1"/>
  <c r="L1471" i="1"/>
  <c r="M1471" i="1" s="1"/>
  <c r="L1470" i="1"/>
  <c r="M1470" i="1" s="1"/>
  <c r="L1469" i="1"/>
  <c r="M1469" i="1" s="1"/>
  <c r="L1468" i="1"/>
  <c r="M1468" i="1" s="1"/>
  <c r="M1467" i="1"/>
  <c r="L1467" i="1"/>
  <c r="L1466" i="1"/>
  <c r="M1466" i="1" s="1"/>
  <c r="L1465" i="1"/>
  <c r="M1465" i="1" s="1"/>
  <c r="L1464" i="1"/>
  <c r="M1464" i="1" s="1"/>
  <c r="L1463" i="1"/>
  <c r="M1463" i="1" s="1"/>
  <c r="L1462" i="1"/>
  <c r="M1462" i="1" s="1"/>
  <c r="L1461" i="1"/>
  <c r="M1461" i="1" s="1"/>
  <c r="L1460" i="1"/>
  <c r="M1460" i="1" s="1"/>
  <c r="M1459" i="1"/>
  <c r="L1459" i="1"/>
  <c r="L1458" i="1"/>
  <c r="M1458" i="1" s="1"/>
  <c r="L1457" i="1"/>
  <c r="M1457" i="1" s="1"/>
  <c r="L1456" i="1"/>
  <c r="M1456" i="1" s="1"/>
  <c r="L1455" i="1"/>
  <c r="M1455" i="1" s="1"/>
  <c r="L1454" i="1"/>
  <c r="M1454" i="1" s="1"/>
  <c r="L1453" i="1"/>
  <c r="M1453" i="1" s="1"/>
  <c r="L1452" i="1"/>
  <c r="M1452" i="1" s="1"/>
  <c r="M1451" i="1"/>
  <c r="L1451" i="1"/>
  <c r="L1450" i="1"/>
  <c r="M1450" i="1" s="1"/>
  <c r="L1449" i="1"/>
  <c r="M1449" i="1" s="1"/>
  <c r="L1448" i="1"/>
  <c r="M1448" i="1" s="1"/>
  <c r="L1447" i="1"/>
  <c r="M1447" i="1" s="1"/>
  <c r="L1446" i="1"/>
  <c r="M1446" i="1" s="1"/>
  <c r="L1445" i="1"/>
  <c r="M1445" i="1" s="1"/>
  <c r="L1444" i="1"/>
  <c r="M1444" i="1" s="1"/>
  <c r="M1443" i="1"/>
  <c r="L1443" i="1"/>
  <c r="L1442" i="1"/>
  <c r="M1442" i="1" s="1"/>
  <c r="L1441" i="1"/>
  <c r="M1441" i="1" s="1"/>
  <c r="L1440" i="1"/>
  <c r="M1440" i="1" s="1"/>
  <c r="L1439" i="1"/>
  <c r="M1439" i="1" s="1"/>
  <c r="L1438" i="1"/>
  <c r="M1438" i="1" s="1"/>
  <c r="L1437" i="1"/>
  <c r="M1437" i="1" s="1"/>
  <c r="L1436" i="1"/>
  <c r="M1436" i="1" s="1"/>
  <c r="L1435" i="1"/>
  <c r="M1435" i="1" s="1"/>
  <c r="L1434" i="1"/>
  <c r="M1434" i="1" s="1"/>
  <c r="L1433" i="1"/>
  <c r="M1433" i="1" s="1"/>
  <c r="L1432" i="1"/>
  <c r="M1432" i="1" s="1"/>
  <c r="L1431" i="1"/>
  <c r="M1431" i="1" s="1"/>
  <c r="L1430" i="1"/>
  <c r="M1430" i="1" s="1"/>
  <c r="L1429" i="1"/>
  <c r="M1429" i="1" s="1"/>
  <c r="L1428" i="1"/>
  <c r="M1428" i="1" s="1"/>
  <c r="L1427" i="1"/>
  <c r="M1427" i="1" s="1"/>
  <c r="L1426" i="1"/>
  <c r="M1426" i="1" s="1"/>
  <c r="L1425" i="1"/>
  <c r="M1425" i="1" s="1"/>
  <c r="L1424" i="1"/>
  <c r="M1424" i="1" s="1"/>
  <c r="L1423" i="1"/>
  <c r="M1423" i="1" s="1"/>
  <c r="L1422" i="1"/>
  <c r="M1422" i="1" s="1"/>
  <c r="L1421" i="1"/>
  <c r="M1421" i="1" s="1"/>
  <c r="L1420" i="1"/>
  <c r="M1420" i="1" s="1"/>
  <c r="L1419" i="1"/>
  <c r="M1419" i="1" s="1"/>
  <c r="L1418" i="1"/>
  <c r="M1418" i="1" s="1"/>
  <c r="L1417" i="1"/>
  <c r="M1417" i="1" s="1"/>
  <c r="L1416" i="1"/>
  <c r="M1416" i="1" s="1"/>
  <c r="L1415" i="1"/>
  <c r="M1415" i="1" s="1"/>
  <c r="L1414" i="1"/>
  <c r="M1414" i="1" s="1"/>
  <c r="L1413" i="1"/>
  <c r="M1413" i="1" s="1"/>
  <c r="L1412" i="1"/>
  <c r="M1412" i="1" s="1"/>
  <c r="L1411" i="1"/>
  <c r="M1411" i="1" s="1"/>
  <c r="L1410" i="1"/>
  <c r="M1410" i="1" s="1"/>
  <c r="L1409" i="1"/>
  <c r="M1409" i="1" s="1"/>
  <c r="L1408" i="1"/>
  <c r="M1408" i="1" s="1"/>
  <c r="L1407" i="1"/>
  <c r="M1407" i="1" s="1"/>
  <c r="L1406" i="1"/>
  <c r="M1406" i="1" s="1"/>
  <c r="L1405" i="1"/>
  <c r="M1405" i="1" s="1"/>
  <c r="L1395" i="1"/>
  <c r="M1395" i="1" s="1"/>
  <c r="L1394" i="1"/>
  <c r="M1394" i="1" s="1"/>
  <c r="L1393" i="1"/>
  <c r="M1393" i="1" s="1"/>
  <c r="L1392" i="1"/>
  <c r="M1392" i="1" s="1"/>
  <c r="L1391" i="1"/>
  <c r="M1391" i="1" s="1"/>
  <c r="L1390" i="1"/>
  <c r="M1390" i="1" s="1"/>
  <c r="L1389" i="1"/>
  <c r="M1389" i="1" s="1"/>
  <c r="L1388" i="1"/>
  <c r="M1388" i="1" s="1"/>
  <c r="L1387" i="1"/>
  <c r="M1387" i="1" s="1"/>
  <c r="L1386" i="1"/>
  <c r="M1386" i="1" s="1"/>
  <c r="L1385" i="1"/>
  <c r="M1385" i="1" s="1"/>
  <c r="L1384" i="1"/>
  <c r="M1384" i="1" s="1"/>
  <c r="L1383" i="1"/>
  <c r="M1383" i="1" s="1"/>
  <c r="L1382" i="1"/>
  <c r="M1382" i="1" s="1"/>
  <c r="L1381" i="1"/>
  <c r="M1381" i="1" s="1"/>
  <c r="L1380" i="1"/>
  <c r="M1380" i="1" s="1"/>
  <c r="L1379" i="1"/>
  <c r="M1379" i="1" s="1"/>
  <c r="L1378" i="1"/>
  <c r="M1378" i="1" s="1"/>
  <c r="L1377" i="1"/>
  <c r="M1377" i="1" s="1"/>
  <c r="L1376" i="1"/>
  <c r="M1376" i="1" s="1"/>
  <c r="L1375" i="1"/>
  <c r="M1375" i="1" s="1"/>
  <c r="L1374" i="1"/>
  <c r="M1374" i="1" s="1"/>
  <c r="L1373" i="1"/>
  <c r="M1373" i="1" s="1"/>
  <c r="L1372" i="1"/>
  <c r="M1372" i="1" s="1"/>
  <c r="L1371" i="1"/>
  <c r="M1371" i="1" s="1"/>
  <c r="L1370" i="1"/>
  <c r="M1370" i="1" s="1"/>
  <c r="L1369" i="1"/>
  <c r="M1369" i="1" s="1"/>
  <c r="L1368" i="1"/>
  <c r="M1368" i="1" s="1"/>
  <c r="L1367" i="1"/>
  <c r="M1367" i="1" s="1"/>
  <c r="L1366" i="1"/>
  <c r="M1366" i="1" s="1"/>
  <c r="L1365" i="1"/>
  <c r="M1365" i="1" s="1"/>
  <c r="L1364" i="1"/>
  <c r="M1364" i="1" s="1"/>
  <c r="L1363" i="1"/>
  <c r="M1363" i="1" s="1"/>
  <c r="L1362" i="1"/>
  <c r="M1362" i="1" s="1"/>
  <c r="L1361" i="1"/>
  <c r="M1361" i="1" s="1"/>
  <c r="L1360" i="1"/>
  <c r="M1360" i="1" s="1"/>
  <c r="L1359" i="1"/>
  <c r="M1359" i="1" s="1"/>
  <c r="L1358" i="1"/>
  <c r="M1358" i="1" s="1"/>
  <c r="L1357" i="1"/>
  <c r="M1357" i="1" s="1"/>
  <c r="L1356" i="1"/>
  <c r="M1356" i="1" s="1"/>
  <c r="L1355" i="1"/>
  <c r="M1355" i="1" s="1"/>
  <c r="L1354" i="1"/>
  <c r="M1354" i="1" s="1"/>
  <c r="L1353" i="1"/>
  <c r="M1353" i="1" s="1"/>
  <c r="L1352" i="1"/>
  <c r="M1352" i="1" s="1"/>
  <c r="L1351" i="1"/>
  <c r="M1351" i="1" s="1"/>
  <c r="L1350" i="1"/>
  <c r="M1350" i="1" s="1"/>
  <c r="L1349" i="1"/>
  <c r="M1349" i="1" s="1"/>
  <c r="L1348" i="1"/>
  <c r="M1348" i="1" s="1"/>
  <c r="L1347" i="1"/>
  <c r="M1347" i="1" s="1"/>
  <c r="L1346" i="1"/>
  <c r="M1346" i="1" s="1"/>
  <c r="L1345" i="1"/>
  <c r="M1345" i="1" s="1"/>
  <c r="L1344" i="1"/>
  <c r="M1344" i="1" s="1"/>
  <c r="L1343" i="1"/>
  <c r="M1343" i="1" s="1"/>
  <c r="L1342" i="1"/>
  <c r="M1342" i="1" s="1"/>
  <c r="L1341" i="1"/>
  <c r="M1341" i="1" s="1"/>
  <c r="L1340" i="1"/>
  <c r="M1340" i="1" s="1"/>
  <c r="L1339" i="1"/>
  <c r="M1339" i="1" s="1"/>
  <c r="L1338" i="1"/>
  <c r="M1338" i="1" s="1"/>
  <c r="L1337" i="1"/>
  <c r="M1337" i="1" s="1"/>
  <c r="L1336" i="1"/>
  <c r="M1336" i="1" s="1"/>
  <c r="L1335" i="1"/>
  <c r="M1335" i="1" s="1"/>
  <c r="L1334" i="1"/>
  <c r="M1334" i="1" s="1"/>
  <c r="L1333" i="1"/>
  <c r="M1333" i="1" s="1"/>
  <c r="L1332" i="1"/>
  <c r="M1332" i="1" s="1"/>
  <c r="L1331" i="1"/>
  <c r="M1331" i="1" s="1"/>
  <c r="L1330" i="1"/>
  <c r="M1330" i="1" s="1"/>
  <c r="L1329" i="1"/>
  <c r="M1329" i="1" s="1"/>
  <c r="L1328" i="1"/>
  <c r="M1328" i="1" s="1"/>
  <c r="L1327" i="1"/>
  <c r="M1327" i="1" s="1"/>
  <c r="L1326" i="1"/>
  <c r="M1326" i="1" s="1"/>
  <c r="L1325" i="1"/>
  <c r="M1325" i="1" s="1"/>
  <c r="L1324" i="1"/>
  <c r="M1324" i="1" s="1"/>
  <c r="L1323" i="1"/>
  <c r="M1323" i="1" s="1"/>
  <c r="L1322" i="1"/>
  <c r="M1322" i="1" s="1"/>
  <c r="L1321" i="1"/>
  <c r="M1321" i="1" s="1"/>
  <c r="L1320" i="1"/>
  <c r="M1320" i="1" s="1"/>
  <c r="L1319" i="1"/>
  <c r="M1319" i="1" s="1"/>
  <c r="L1318" i="1"/>
  <c r="M1318" i="1" s="1"/>
  <c r="L1317" i="1"/>
  <c r="M1317" i="1" s="1"/>
  <c r="L1316" i="1"/>
  <c r="M1316" i="1" s="1"/>
  <c r="L1315" i="1"/>
  <c r="M1315" i="1" s="1"/>
  <c r="L1314" i="1"/>
  <c r="M1314" i="1" s="1"/>
  <c r="L1313" i="1"/>
  <c r="M1313" i="1" s="1"/>
  <c r="L1312" i="1"/>
  <c r="M1312" i="1" s="1"/>
  <c r="L1311" i="1"/>
  <c r="M1311" i="1" s="1"/>
  <c r="L1310" i="1"/>
  <c r="M1310" i="1" s="1"/>
  <c r="L1309" i="1"/>
  <c r="M1309" i="1" s="1"/>
  <c r="L1308" i="1"/>
  <c r="M1308" i="1" s="1"/>
  <c r="L1307" i="1"/>
  <c r="M1307" i="1" s="1"/>
  <c r="L1306" i="1"/>
  <c r="M1306" i="1" s="1"/>
  <c r="L1305" i="1"/>
  <c r="M1305" i="1" s="1"/>
  <c r="L1304" i="1"/>
  <c r="M1304" i="1" s="1"/>
  <c r="L1303" i="1"/>
  <c r="M1303" i="1" s="1"/>
  <c r="L1302" i="1"/>
  <c r="M1302" i="1" s="1"/>
  <c r="L1301" i="1"/>
  <c r="M1301" i="1" s="1"/>
  <c r="L1300" i="1"/>
  <c r="M1300" i="1" s="1"/>
  <c r="L1299" i="1"/>
  <c r="M1299" i="1" s="1"/>
  <c r="L1298" i="1"/>
  <c r="M1298" i="1" s="1"/>
  <c r="L1297" i="1"/>
  <c r="M1297" i="1" s="1"/>
  <c r="L1296" i="1"/>
  <c r="M1296" i="1" s="1"/>
  <c r="L1295" i="1"/>
  <c r="M1295" i="1" s="1"/>
  <c r="L1294" i="1"/>
  <c r="M1294" i="1" s="1"/>
  <c r="L1293" i="1"/>
  <c r="M1293" i="1" s="1"/>
  <c r="L1292" i="1"/>
  <c r="M1292" i="1" s="1"/>
  <c r="L1291" i="1"/>
  <c r="M1291" i="1" s="1"/>
  <c r="L1290" i="1"/>
  <c r="M1290" i="1" s="1"/>
  <c r="L1289" i="1"/>
  <c r="M1289" i="1" s="1"/>
  <c r="L1288" i="1"/>
  <c r="M1288" i="1" s="1"/>
  <c r="L1287" i="1"/>
  <c r="M1287" i="1" s="1"/>
  <c r="L1286" i="1"/>
  <c r="M1286" i="1" s="1"/>
  <c r="L1285" i="1"/>
  <c r="M1285" i="1" s="1"/>
  <c r="L1284" i="1"/>
  <c r="M1284" i="1" s="1"/>
  <c r="L1283" i="1"/>
  <c r="M1283" i="1" s="1"/>
  <c r="L1282" i="1"/>
  <c r="M1282" i="1" s="1"/>
  <c r="L1281" i="1"/>
  <c r="M1281" i="1" s="1"/>
  <c r="L1280" i="1"/>
  <c r="M1280" i="1" s="1"/>
  <c r="L1279" i="1"/>
  <c r="M1279" i="1" s="1"/>
  <c r="L1278" i="1"/>
  <c r="M1278" i="1" s="1"/>
  <c r="L1277" i="1"/>
  <c r="M1277" i="1" s="1"/>
  <c r="L1276" i="1"/>
  <c r="M1276" i="1" s="1"/>
  <c r="L1275" i="1"/>
  <c r="M1275" i="1" s="1"/>
  <c r="L1274" i="1"/>
  <c r="M1274" i="1" s="1"/>
  <c r="L1273" i="1"/>
  <c r="M1273" i="1" s="1"/>
  <c r="L1272" i="1"/>
  <c r="M1272" i="1" s="1"/>
  <c r="L1271" i="1"/>
  <c r="M1271" i="1" s="1"/>
  <c r="L1270" i="1"/>
  <c r="M1270" i="1" s="1"/>
  <c r="L1269" i="1"/>
  <c r="M1269" i="1" s="1"/>
  <c r="L1268" i="1"/>
  <c r="M1268" i="1" s="1"/>
  <c r="L1267" i="1"/>
  <c r="M1267" i="1" s="1"/>
  <c r="L1266" i="1"/>
  <c r="M1266" i="1" s="1"/>
  <c r="L1265" i="1"/>
  <c r="M1265" i="1" s="1"/>
  <c r="L1264" i="1"/>
  <c r="M1264" i="1" s="1"/>
  <c r="L1263" i="1"/>
  <c r="M1263" i="1" s="1"/>
  <c r="L1262" i="1"/>
  <c r="M1262" i="1" s="1"/>
  <c r="L1261" i="1"/>
  <c r="M1261" i="1" s="1"/>
  <c r="L1260" i="1"/>
  <c r="M1260" i="1" s="1"/>
  <c r="L1259" i="1"/>
  <c r="M1259" i="1" s="1"/>
  <c r="L1258" i="1"/>
  <c r="M1258" i="1" s="1"/>
  <c r="L1257" i="1"/>
  <c r="M1257" i="1" s="1"/>
  <c r="L1256" i="1"/>
  <c r="M1256" i="1" s="1"/>
  <c r="L1255" i="1"/>
  <c r="M1255" i="1" s="1"/>
  <c r="L1254" i="1"/>
  <c r="M1254" i="1" s="1"/>
  <c r="L1253" i="1"/>
  <c r="M1253" i="1" s="1"/>
  <c r="L1252" i="1"/>
  <c r="M1252" i="1" s="1"/>
  <c r="L1251" i="1"/>
  <c r="M1251" i="1" s="1"/>
  <c r="L1250" i="1"/>
  <c r="M1250" i="1" s="1"/>
  <c r="L1249" i="1"/>
  <c r="M1249" i="1" s="1"/>
  <c r="L1248" i="1"/>
  <c r="M1248" i="1" s="1"/>
  <c r="L1247" i="1"/>
  <c r="M1247" i="1" s="1"/>
  <c r="L1246" i="1"/>
  <c r="M1246" i="1" s="1"/>
  <c r="L1245" i="1"/>
  <c r="M1245" i="1" s="1"/>
  <c r="L1244" i="1"/>
  <c r="M1244" i="1" s="1"/>
  <c r="L1243" i="1"/>
  <c r="M1243" i="1" s="1"/>
  <c r="L1242" i="1"/>
  <c r="M1242" i="1" s="1"/>
  <c r="L1241" i="1"/>
  <c r="M1241" i="1" s="1"/>
  <c r="L1240" i="1"/>
  <c r="M1240" i="1" s="1"/>
  <c r="L1239" i="1"/>
  <c r="M1239" i="1" s="1"/>
  <c r="L1238" i="1"/>
  <c r="M1238" i="1" s="1"/>
  <c r="L1237" i="1"/>
  <c r="M1237" i="1" s="1"/>
  <c r="L1236" i="1"/>
  <c r="M1236" i="1" s="1"/>
  <c r="L1235" i="1"/>
  <c r="M1235" i="1" s="1"/>
  <c r="L1234" i="1"/>
  <c r="M1234" i="1" s="1"/>
  <c r="L1233" i="1"/>
  <c r="M1233" i="1" s="1"/>
  <c r="L1232" i="1"/>
  <c r="M1232" i="1" s="1"/>
  <c r="L1231" i="1"/>
  <c r="M1231" i="1" s="1"/>
  <c r="L1230" i="1"/>
  <c r="M1230" i="1" s="1"/>
  <c r="L1229" i="1"/>
  <c r="M1229" i="1" s="1"/>
  <c r="L1228" i="1"/>
  <c r="M1228" i="1" s="1"/>
  <c r="L1227" i="1"/>
  <c r="M1227" i="1" s="1"/>
  <c r="L1226" i="1"/>
  <c r="M1226" i="1" s="1"/>
  <c r="L1225" i="1"/>
  <c r="M1225" i="1" s="1"/>
  <c r="L1224" i="1"/>
  <c r="M1224" i="1" s="1"/>
  <c r="L1223" i="1"/>
  <c r="M1223" i="1" s="1"/>
  <c r="L1222" i="1"/>
  <c r="M1222" i="1" s="1"/>
  <c r="L1221" i="1"/>
  <c r="M1221" i="1" s="1"/>
  <c r="L1220" i="1"/>
  <c r="M1220" i="1" s="1"/>
  <c r="L1219" i="1"/>
  <c r="M1219" i="1" s="1"/>
  <c r="L1218" i="1"/>
  <c r="M1218" i="1" s="1"/>
  <c r="L1217" i="1"/>
  <c r="M1217" i="1" s="1"/>
  <c r="L1216" i="1"/>
  <c r="M1216" i="1" s="1"/>
  <c r="L1215" i="1"/>
  <c r="M1215" i="1" s="1"/>
  <c r="L1214" i="1"/>
  <c r="M1214" i="1" s="1"/>
  <c r="L1213" i="1"/>
  <c r="M1213" i="1" s="1"/>
  <c r="L1212" i="1"/>
  <c r="M1212" i="1" s="1"/>
  <c r="L1211" i="1"/>
  <c r="M1211" i="1" s="1"/>
  <c r="L1210" i="1"/>
  <c r="M1210" i="1" s="1"/>
  <c r="L1209" i="1"/>
  <c r="M1209" i="1" s="1"/>
  <c r="L1208" i="1"/>
  <c r="M1208" i="1" s="1"/>
  <c r="L1207" i="1"/>
  <c r="M1207" i="1" s="1"/>
  <c r="L1206" i="1"/>
  <c r="M1206" i="1" s="1"/>
  <c r="L1205" i="1"/>
  <c r="M1205" i="1" s="1"/>
  <c r="L1204" i="1"/>
  <c r="M1204" i="1" s="1"/>
  <c r="L1203" i="1"/>
  <c r="M1203" i="1" s="1"/>
  <c r="L1202" i="1"/>
  <c r="M1202" i="1" s="1"/>
  <c r="L1201" i="1"/>
  <c r="M1201" i="1" s="1"/>
  <c r="M1200" i="1"/>
  <c r="L1200" i="1"/>
  <c r="L1199" i="1"/>
  <c r="M1199" i="1" s="1"/>
  <c r="L1198" i="1"/>
  <c r="M1198" i="1" s="1"/>
  <c r="L1197" i="1"/>
  <c r="M1197" i="1" s="1"/>
  <c r="L1196" i="1"/>
  <c r="M1196" i="1" s="1"/>
  <c r="L1195" i="1"/>
  <c r="M1195" i="1" s="1"/>
  <c r="L1194" i="1"/>
  <c r="M1194" i="1" s="1"/>
  <c r="L1193" i="1"/>
  <c r="M1193" i="1" s="1"/>
  <c r="M1192" i="1"/>
  <c r="L1192" i="1"/>
  <c r="L1191" i="1"/>
  <c r="M1191" i="1" s="1"/>
  <c r="L1190" i="1"/>
  <c r="M1190" i="1" s="1"/>
  <c r="L1189" i="1"/>
  <c r="M1189" i="1" s="1"/>
  <c r="L1188" i="1"/>
  <c r="M1188" i="1" s="1"/>
  <c r="L1187" i="1"/>
  <c r="M1187" i="1" s="1"/>
  <c r="L1186" i="1"/>
  <c r="M1186" i="1" s="1"/>
  <c r="L1185" i="1"/>
  <c r="M1185" i="1" s="1"/>
  <c r="M1184" i="1"/>
  <c r="L1184" i="1"/>
  <c r="L1183" i="1"/>
  <c r="M1183" i="1" s="1"/>
  <c r="L1182" i="1"/>
  <c r="M1182" i="1" s="1"/>
  <c r="L1181" i="1"/>
  <c r="M1181" i="1" s="1"/>
  <c r="L1180" i="1"/>
  <c r="M1180" i="1" s="1"/>
  <c r="L1179" i="1"/>
  <c r="M1179" i="1" s="1"/>
  <c r="L1178" i="1"/>
  <c r="M1178" i="1" s="1"/>
  <c r="L1177" i="1"/>
  <c r="M1177" i="1" s="1"/>
  <c r="M1176" i="1"/>
  <c r="L1176" i="1"/>
  <c r="L1175" i="1"/>
  <c r="M1175" i="1" s="1"/>
  <c r="L1174" i="1"/>
  <c r="M1174" i="1" s="1"/>
  <c r="L1173" i="1"/>
  <c r="M1173" i="1" s="1"/>
  <c r="L1172" i="1"/>
  <c r="M1172" i="1" s="1"/>
  <c r="L1171" i="1"/>
  <c r="M1171" i="1" s="1"/>
  <c r="L1170" i="1"/>
  <c r="M1170" i="1" s="1"/>
  <c r="L1169" i="1"/>
  <c r="M1169" i="1" s="1"/>
  <c r="M1168" i="1"/>
  <c r="L1168" i="1"/>
  <c r="L1167" i="1"/>
  <c r="M1167" i="1" s="1"/>
  <c r="L1166" i="1"/>
  <c r="M1166" i="1" s="1"/>
  <c r="L1165" i="1"/>
  <c r="M1165" i="1" s="1"/>
  <c r="L1164" i="1"/>
  <c r="M1164" i="1" s="1"/>
  <c r="L1163" i="1"/>
  <c r="M1163" i="1" s="1"/>
  <c r="L1162" i="1"/>
  <c r="M1162" i="1" s="1"/>
  <c r="L1161" i="1"/>
  <c r="M1161" i="1" s="1"/>
  <c r="M1160" i="1"/>
  <c r="L1160" i="1"/>
  <c r="L1159" i="1"/>
  <c r="M1159" i="1" s="1"/>
  <c r="L1158" i="1"/>
  <c r="M1158" i="1" s="1"/>
  <c r="L1157" i="1"/>
  <c r="M1157" i="1" s="1"/>
  <c r="L1156" i="1"/>
  <c r="M1156" i="1" s="1"/>
  <c r="L1155" i="1"/>
  <c r="M1155" i="1" s="1"/>
  <c r="L1154" i="1"/>
  <c r="M1154" i="1" s="1"/>
  <c r="L1153" i="1"/>
  <c r="M1153" i="1" s="1"/>
  <c r="M1152" i="1"/>
  <c r="L1152" i="1"/>
  <c r="L1151" i="1"/>
  <c r="M1151" i="1" s="1"/>
  <c r="L1150" i="1"/>
  <c r="M1150" i="1" s="1"/>
  <c r="L1149" i="1"/>
  <c r="M1149" i="1" s="1"/>
  <c r="L1148" i="1"/>
  <c r="M1148" i="1" s="1"/>
  <c r="L1147" i="1"/>
  <c r="M1147" i="1" s="1"/>
  <c r="L1146" i="1"/>
  <c r="M1146" i="1" s="1"/>
  <c r="L1145" i="1"/>
  <c r="M1145" i="1" s="1"/>
  <c r="M1144" i="1"/>
  <c r="L1144" i="1"/>
  <c r="L1143" i="1"/>
  <c r="M1143" i="1" s="1"/>
  <c r="L1142" i="1"/>
  <c r="M1142" i="1" s="1"/>
  <c r="L1141" i="1"/>
  <c r="M1141" i="1" s="1"/>
  <c r="L1140" i="1"/>
  <c r="M1140" i="1" s="1"/>
  <c r="L1139" i="1"/>
  <c r="M1139" i="1" s="1"/>
  <c r="L1138" i="1"/>
  <c r="M1138" i="1" s="1"/>
  <c r="L1137" i="1"/>
  <c r="M1137" i="1" s="1"/>
  <c r="M1136" i="1"/>
  <c r="L1136" i="1"/>
  <c r="L1135" i="1"/>
  <c r="M1135" i="1" s="1"/>
  <c r="L1134" i="1"/>
  <c r="M1134" i="1" s="1"/>
  <c r="L1133" i="1"/>
  <c r="M1133" i="1" s="1"/>
  <c r="L1132" i="1"/>
  <c r="M1132" i="1" s="1"/>
  <c r="L1131" i="1"/>
  <c r="M1131" i="1" s="1"/>
  <c r="L1130" i="1"/>
  <c r="M1130" i="1" s="1"/>
  <c r="L1129" i="1"/>
  <c r="M1129" i="1" s="1"/>
  <c r="M1128" i="1"/>
  <c r="L1128" i="1"/>
  <c r="L1127" i="1"/>
  <c r="M1127" i="1" s="1"/>
  <c r="L1126" i="1"/>
  <c r="M1126" i="1" s="1"/>
  <c r="L1125" i="1"/>
  <c r="M1125" i="1" s="1"/>
  <c r="L1124" i="1"/>
  <c r="M1124" i="1" s="1"/>
  <c r="L1123" i="1"/>
  <c r="M1123" i="1" s="1"/>
  <c r="L1122" i="1"/>
  <c r="M1122" i="1" s="1"/>
  <c r="L1121" i="1"/>
  <c r="M1121" i="1" s="1"/>
  <c r="M1120" i="1"/>
  <c r="L1120" i="1"/>
  <c r="L1119" i="1"/>
  <c r="M1119" i="1" s="1"/>
  <c r="L1118" i="1"/>
  <c r="M1118" i="1" s="1"/>
  <c r="L1117" i="1"/>
  <c r="M1117" i="1" s="1"/>
  <c r="L1116" i="1"/>
  <c r="M1116" i="1" s="1"/>
  <c r="L1115" i="1"/>
  <c r="M1115" i="1" s="1"/>
  <c r="L1114" i="1"/>
  <c r="M1114" i="1" s="1"/>
  <c r="L1113" i="1"/>
  <c r="M1113" i="1" s="1"/>
  <c r="M1112" i="1"/>
  <c r="L1112" i="1"/>
  <c r="L1111" i="1"/>
  <c r="M1111" i="1" s="1"/>
  <c r="L1110" i="1"/>
  <c r="M1110" i="1" s="1"/>
  <c r="L1109" i="1"/>
  <c r="M1109" i="1" s="1"/>
  <c r="L1108" i="1"/>
  <c r="M1108" i="1" s="1"/>
  <c r="L1107" i="1"/>
  <c r="M1107" i="1" s="1"/>
  <c r="L1106" i="1"/>
  <c r="M1106" i="1" s="1"/>
  <c r="L1105" i="1"/>
  <c r="M1105" i="1" s="1"/>
  <c r="L1104" i="1"/>
  <c r="M1104" i="1" s="1"/>
  <c r="L1103" i="1"/>
  <c r="M1103" i="1" s="1"/>
  <c r="L1102" i="1"/>
  <c r="M1102" i="1" s="1"/>
  <c r="L1101" i="1"/>
  <c r="M1101" i="1" s="1"/>
  <c r="L1100" i="1"/>
  <c r="M1100" i="1" s="1"/>
  <c r="L1099" i="1"/>
  <c r="M1099" i="1" s="1"/>
  <c r="L1098" i="1"/>
  <c r="M1098" i="1" s="1"/>
  <c r="L1097" i="1"/>
  <c r="M1097" i="1" s="1"/>
  <c r="L1096" i="1"/>
  <c r="M1096" i="1" s="1"/>
  <c r="L1095" i="1"/>
  <c r="M1095" i="1" s="1"/>
  <c r="L1094" i="1"/>
  <c r="M1094" i="1" s="1"/>
  <c r="L1093" i="1"/>
  <c r="M1093" i="1" s="1"/>
  <c r="L1092" i="1"/>
  <c r="M1092" i="1" s="1"/>
  <c r="L1091" i="1"/>
  <c r="M1091" i="1" s="1"/>
  <c r="L1090" i="1"/>
  <c r="M1090" i="1" s="1"/>
  <c r="L1089" i="1"/>
  <c r="M1089" i="1" s="1"/>
  <c r="M1088" i="1"/>
  <c r="L1088" i="1"/>
  <c r="L1087" i="1"/>
  <c r="M1087" i="1" s="1"/>
  <c r="L1086" i="1"/>
  <c r="M1086" i="1" s="1"/>
  <c r="L1085" i="1"/>
  <c r="M1085" i="1" s="1"/>
  <c r="L1084" i="1"/>
  <c r="M1084" i="1" s="1"/>
  <c r="L1083" i="1"/>
  <c r="M1083" i="1" s="1"/>
  <c r="L1082" i="1"/>
  <c r="M1082" i="1" s="1"/>
  <c r="L1081" i="1"/>
  <c r="M1081" i="1" s="1"/>
  <c r="L1080" i="1"/>
  <c r="M1080" i="1" s="1"/>
  <c r="L1079" i="1"/>
  <c r="M1079" i="1" s="1"/>
  <c r="L1078" i="1"/>
  <c r="M1078" i="1" s="1"/>
  <c r="L1077" i="1"/>
  <c r="M1077" i="1" s="1"/>
  <c r="L1076" i="1"/>
  <c r="M1076" i="1" s="1"/>
  <c r="L1075" i="1"/>
  <c r="M1075" i="1" s="1"/>
  <c r="L1074" i="1"/>
  <c r="M1074" i="1" s="1"/>
  <c r="L1073" i="1"/>
  <c r="M1073" i="1" s="1"/>
  <c r="L1072" i="1"/>
  <c r="M1072" i="1" s="1"/>
  <c r="L1071" i="1"/>
  <c r="M1071" i="1" s="1"/>
  <c r="L1070" i="1"/>
  <c r="M1070" i="1" s="1"/>
  <c r="L1069" i="1"/>
  <c r="M1069" i="1" s="1"/>
  <c r="L1068" i="1"/>
  <c r="M1068" i="1" s="1"/>
  <c r="L1067" i="1"/>
  <c r="M1067" i="1" s="1"/>
  <c r="L1066" i="1"/>
  <c r="M1066" i="1" s="1"/>
  <c r="L1065" i="1"/>
  <c r="M1065" i="1" s="1"/>
  <c r="L1064" i="1"/>
  <c r="M1064" i="1" s="1"/>
  <c r="L1062" i="1"/>
  <c r="M1062" i="1" s="1"/>
  <c r="L1061" i="1"/>
  <c r="M1061" i="1" s="1"/>
  <c r="L1060" i="1"/>
  <c r="M1060" i="1" s="1"/>
  <c r="N1059" i="1"/>
  <c r="L1059" i="1"/>
  <c r="M1059" i="1" s="1"/>
  <c r="L1058" i="1"/>
  <c r="M1058" i="1" s="1"/>
  <c r="L1057" i="1"/>
  <c r="M1057" i="1" s="1"/>
  <c r="L1056" i="1"/>
  <c r="M1056" i="1" s="1"/>
  <c r="L1055" i="1"/>
  <c r="M1055" i="1" s="1"/>
  <c r="L1054" i="1"/>
  <c r="M1054" i="1" s="1"/>
  <c r="L1053" i="1"/>
  <c r="M1053" i="1" s="1"/>
  <c r="L1052" i="1"/>
  <c r="M1052" i="1" s="1"/>
  <c r="L1051" i="1"/>
  <c r="M1051" i="1" s="1"/>
  <c r="L1050" i="1"/>
  <c r="M1050" i="1" s="1"/>
  <c r="L1049" i="1"/>
  <c r="M1049" i="1" s="1"/>
  <c r="L1048" i="1"/>
  <c r="M1048" i="1" s="1"/>
  <c r="L1047" i="1"/>
  <c r="M1047" i="1" s="1"/>
  <c r="L1046" i="1"/>
  <c r="M1046" i="1" s="1"/>
  <c r="L1045" i="1"/>
  <c r="M1045" i="1" s="1"/>
  <c r="L1044" i="1"/>
  <c r="M1044" i="1" s="1"/>
  <c r="L1043" i="1"/>
  <c r="M1043" i="1" s="1"/>
  <c r="L1042" i="1"/>
  <c r="M1042" i="1" s="1"/>
  <c r="L1041" i="1"/>
  <c r="M1041" i="1" s="1"/>
  <c r="L1040" i="1"/>
  <c r="M1040" i="1" s="1"/>
  <c r="L1039" i="1"/>
  <c r="M1039" i="1" s="1"/>
  <c r="L1038" i="1"/>
  <c r="M1038" i="1" s="1"/>
  <c r="L1037" i="1"/>
  <c r="M1037" i="1" s="1"/>
  <c r="L1036" i="1"/>
  <c r="M1036" i="1" s="1"/>
  <c r="L1035" i="1"/>
  <c r="M1035" i="1" s="1"/>
  <c r="L1034" i="1"/>
  <c r="M1034" i="1" s="1"/>
  <c r="L1033" i="1"/>
  <c r="M1033" i="1" s="1"/>
  <c r="L1032" i="1"/>
  <c r="M1032" i="1" s="1"/>
  <c r="L1031" i="1"/>
  <c r="M1031" i="1" s="1"/>
  <c r="L1030" i="1"/>
  <c r="M1030" i="1" s="1"/>
  <c r="L1029" i="1"/>
  <c r="M1029" i="1" s="1"/>
  <c r="L1028" i="1"/>
  <c r="M1028" i="1" s="1"/>
  <c r="L1027" i="1"/>
  <c r="M1027" i="1" s="1"/>
  <c r="L1026" i="1"/>
  <c r="M1026" i="1" s="1"/>
  <c r="L1025" i="1"/>
  <c r="M1025" i="1" s="1"/>
  <c r="L1024" i="1"/>
  <c r="M1024" i="1" s="1"/>
  <c r="L1023" i="1"/>
  <c r="M1023" i="1" s="1"/>
  <c r="L1022" i="1"/>
  <c r="M1022" i="1" s="1"/>
  <c r="L1021" i="1"/>
  <c r="M1021" i="1" s="1"/>
  <c r="L1020" i="1"/>
  <c r="M1020" i="1" s="1"/>
  <c r="L1019" i="1"/>
  <c r="M1019" i="1" s="1"/>
  <c r="L1018" i="1"/>
  <c r="M1018" i="1" s="1"/>
  <c r="L1017" i="1"/>
  <c r="M1017" i="1" s="1"/>
  <c r="L1016" i="1"/>
  <c r="M1016" i="1" s="1"/>
  <c r="L1015" i="1"/>
  <c r="M1015" i="1" s="1"/>
  <c r="L1014" i="1"/>
  <c r="M1014" i="1" s="1"/>
  <c r="L1013" i="1"/>
  <c r="M1013" i="1" s="1"/>
  <c r="L1012" i="1"/>
  <c r="M1012" i="1" s="1"/>
  <c r="L1011" i="1"/>
  <c r="M1011" i="1" s="1"/>
  <c r="L1010" i="1"/>
  <c r="M1010" i="1" s="1"/>
  <c r="L1009" i="1"/>
  <c r="M1009" i="1" s="1"/>
  <c r="L1008" i="1"/>
  <c r="M1008" i="1" s="1"/>
  <c r="L1007" i="1"/>
  <c r="M1007" i="1" s="1"/>
  <c r="L1006" i="1"/>
  <c r="M1006" i="1" s="1"/>
  <c r="L1005" i="1"/>
  <c r="M1005" i="1" s="1"/>
  <c r="L1004" i="1"/>
  <c r="M1004" i="1" s="1"/>
  <c r="L1003" i="1"/>
  <c r="M1003" i="1" s="1"/>
  <c r="L1002" i="1"/>
  <c r="M1002" i="1" s="1"/>
  <c r="L1001" i="1"/>
  <c r="M1001" i="1" s="1"/>
  <c r="L1000" i="1"/>
  <c r="M1000" i="1" s="1"/>
  <c r="L999" i="1"/>
  <c r="M999" i="1" s="1"/>
  <c r="L998" i="1"/>
  <c r="M998" i="1" s="1"/>
  <c r="L997" i="1"/>
  <c r="M997" i="1" s="1"/>
  <c r="L996" i="1"/>
  <c r="M996" i="1" s="1"/>
  <c r="L995" i="1"/>
  <c r="M995" i="1" s="1"/>
  <c r="L994" i="1"/>
  <c r="M994" i="1" s="1"/>
  <c r="L993" i="1"/>
  <c r="M993" i="1" s="1"/>
  <c r="L992" i="1"/>
  <c r="M992" i="1" s="1"/>
  <c r="L991" i="1"/>
  <c r="M991" i="1" s="1"/>
  <c r="L990" i="1"/>
  <c r="M990" i="1" s="1"/>
  <c r="L989" i="1"/>
  <c r="M989" i="1" s="1"/>
  <c r="L988" i="1"/>
  <c r="M988" i="1" s="1"/>
  <c r="L987" i="1"/>
  <c r="M987" i="1" s="1"/>
  <c r="L986" i="1"/>
  <c r="M986" i="1" s="1"/>
  <c r="L985" i="1"/>
  <c r="M985" i="1" s="1"/>
  <c r="L984" i="1"/>
  <c r="M984" i="1" s="1"/>
  <c r="L983" i="1"/>
  <c r="M983" i="1" s="1"/>
  <c r="L982" i="1"/>
  <c r="M982" i="1" s="1"/>
  <c r="L981" i="1"/>
  <c r="M981" i="1" s="1"/>
  <c r="L980" i="1"/>
  <c r="M980" i="1" s="1"/>
  <c r="L979" i="1"/>
  <c r="M979" i="1" s="1"/>
  <c r="L978" i="1"/>
  <c r="M978" i="1" s="1"/>
  <c r="L977" i="1"/>
  <c r="M977" i="1" s="1"/>
  <c r="L976" i="1"/>
  <c r="M976" i="1" s="1"/>
  <c r="L975" i="1"/>
  <c r="M975" i="1" s="1"/>
  <c r="L974" i="1"/>
  <c r="M974" i="1" s="1"/>
  <c r="L973" i="1"/>
  <c r="M973" i="1" s="1"/>
  <c r="L972" i="1"/>
  <c r="M972" i="1" s="1"/>
  <c r="L971" i="1"/>
  <c r="M971" i="1" s="1"/>
  <c r="L970" i="1"/>
  <c r="M970" i="1" s="1"/>
  <c r="L969" i="1"/>
  <c r="M969" i="1" s="1"/>
  <c r="L968" i="1"/>
  <c r="M968" i="1" s="1"/>
  <c r="L967" i="1"/>
  <c r="M967" i="1" s="1"/>
  <c r="L966" i="1"/>
  <c r="M966" i="1" s="1"/>
  <c r="L965" i="1"/>
  <c r="M965" i="1" s="1"/>
  <c r="L964" i="1"/>
  <c r="M964" i="1" s="1"/>
  <c r="L963" i="1"/>
  <c r="M963" i="1" s="1"/>
  <c r="L962" i="1"/>
  <c r="M962" i="1" s="1"/>
  <c r="L961" i="1"/>
  <c r="M961" i="1" s="1"/>
  <c r="L960" i="1"/>
  <c r="M960" i="1" s="1"/>
  <c r="L959" i="1"/>
  <c r="M959" i="1" s="1"/>
  <c r="L958" i="1"/>
  <c r="M958" i="1" s="1"/>
  <c r="L957" i="1"/>
  <c r="M957" i="1" s="1"/>
  <c r="L956" i="1"/>
  <c r="M956" i="1" s="1"/>
  <c r="L955" i="1"/>
  <c r="M955" i="1" s="1"/>
  <c r="L954" i="1"/>
  <c r="M954" i="1" s="1"/>
  <c r="L953" i="1"/>
  <c r="M953" i="1" s="1"/>
  <c r="L952" i="1"/>
  <c r="M952" i="1" s="1"/>
  <c r="L951" i="1"/>
  <c r="M951" i="1" s="1"/>
  <c r="L950" i="1"/>
  <c r="M950" i="1" s="1"/>
  <c r="L949" i="1"/>
  <c r="M949" i="1" s="1"/>
  <c r="L948" i="1"/>
  <c r="M948" i="1" s="1"/>
  <c r="L947" i="1"/>
  <c r="M947" i="1" s="1"/>
  <c r="L946" i="1"/>
  <c r="M946" i="1" s="1"/>
  <c r="L945" i="1"/>
  <c r="M945" i="1" s="1"/>
  <c r="L944" i="1"/>
  <c r="M944" i="1" s="1"/>
  <c r="L943" i="1"/>
  <c r="M943" i="1" s="1"/>
  <c r="M942" i="1"/>
  <c r="L942" i="1"/>
  <c r="L941" i="1"/>
  <c r="M941" i="1" s="1"/>
  <c r="L940" i="1"/>
  <c r="M940" i="1" s="1"/>
  <c r="L939" i="1"/>
  <c r="M939" i="1" s="1"/>
  <c r="L938" i="1"/>
  <c r="M938" i="1" s="1"/>
  <c r="L937" i="1"/>
  <c r="M937" i="1" s="1"/>
  <c r="L936" i="1"/>
  <c r="M936" i="1" s="1"/>
  <c r="L935" i="1"/>
  <c r="M935" i="1" s="1"/>
  <c r="L934" i="1"/>
  <c r="M934" i="1" s="1"/>
  <c r="M933" i="1"/>
  <c r="L933" i="1"/>
  <c r="L932" i="1"/>
  <c r="M932" i="1" s="1"/>
  <c r="L931" i="1"/>
  <c r="M931" i="1" s="1"/>
  <c r="L930" i="1"/>
  <c r="M930" i="1" s="1"/>
  <c r="L929" i="1"/>
  <c r="M929" i="1" s="1"/>
  <c r="L928" i="1"/>
  <c r="M928" i="1" s="1"/>
  <c r="L927" i="1"/>
  <c r="M927" i="1" s="1"/>
  <c r="L926" i="1"/>
  <c r="M926" i="1" s="1"/>
  <c r="M925" i="1"/>
  <c r="L925" i="1"/>
  <c r="L924" i="1"/>
  <c r="M924" i="1" s="1"/>
  <c r="L923" i="1"/>
  <c r="M923" i="1" s="1"/>
  <c r="L922" i="1"/>
  <c r="M922" i="1" s="1"/>
  <c r="L921" i="1"/>
  <c r="M921" i="1" s="1"/>
  <c r="L920" i="1"/>
  <c r="M920" i="1" s="1"/>
  <c r="L919" i="1"/>
  <c r="M919" i="1" s="1"/>
  <c r="L918" i="1"/>
  <c r="M918" i="1" s="1"/>
  <c r="M917" i="1"/>
  <c r="L917" i="1"/>
  <c r="L916" i="1"/>
  <c r="M916" i="1" s="1"/>
  <c r="L915" i="1"/>
  <c r="M915" i="1" s="1"/>
  <c r="L914" i="1"/>
  <c r="M914" i="1" s="1"/>
  <c r="L913" i="1"/>
  <c r="M913" i="1" s="1"/>
  <c r="L912" i="1"/>
  <c r="M912" i="1" s="1"/>
  <c r="L911" i="1"/>
  <c r="M911" i="1" s="1"/>
  <c r="L910" i="1"/>
  <c r="M910" i="1" s="1"/>
  <c r="L785" i="1" l="1"/>
  <c r="M785" i="1" s="1"/>
  <c r="L738" i="1"/>
  <c r="M738" i="1" s="1"/>
  <c r="L737" i="1"/>
  <c r="M737" i="1" s="1"/>
  <c r="L736" i="1"/>
  <c r="M736" i="1" s="1"/>
  <c r="L735" i="1"/>
  <c r="M735" i="1" s="1"/>
  <c r="L734" i="1"/>
  <c r="M734" i="1" s="1"/>
  <c r="L733" i="1"/>
  <c r="M733" i="1" s="1"/>
  <c r="L732" i="1"/>
  <c r="M732" i="1" s="1"/>
  <c r="L731" i="1"/>
  <c r="M731" i="1" s="1"/>
  <c r="L730" i="1"/>
  <c r="M730" i="1" s="1"/>
  <c r="L729" i="1"/>
  <c r="M729" i="1" s="1"/>
  <c r="L728" i="1"/>
  <c r="M728" i="1" s="1"/>
  <c r="L727" i="1"/>
  <c r="M727" i="1" s="1"/>
  <c r="L726" i="1"/>
  <c r="M726" i="1" s="1"/>
  <c r="L725" i="1"/>
  <c r="M725" i="1" s="1"/>
  <c r="L724" i="1"/>
  <c r="M724" i="1" s="1"/>
  <c r="L723" i="1"/>
  <c r="M723" i="1" s="1"/>
  <c r="L722" i="1"/>
  <c r="M722" i="1" s="1"/>
  <c r="L721" i="1"/>
  <c r="M721" i="1" s="1"/>
  <c r="L720" i="1"/>
  <c r="M720" i="1" s="1"/>
  <c r="L719" i="1"/>
  <c r="M719" i="1" s="1"/>
  <c r="L718" i="1"/>
  <c r="M718" i="1" s="1"/>
  <c r="L717" i="1"/>
  <c r="M717" i="1" s="1"/>
  <c r="L716" i="1"/>
  <c r="M716" i="1" s="1"/>
  <c r="L715" i="1"/>
  <c r="M715" i="1" s="1"/>
  <c r="L714" i="1"/>
  <c r="M714" i="1" s="1"/>
  <c r="L713" i="1"/>
  <c r="M713" i="1" s="1"/>
  <c r="L712" i="1"/>
  <c r="M712" i="1" s="1"/>
  <c r="L711" i="1"/>
  <c r="M711" i="1" s="1"/>
  <c r="L710" i="1"/>
  <c r="M710" i="1" s="1"/>
  <c r="L709" i="1"/>
  <c r="M709" i="1" s="1"/>
  <c r="L708" i="1"/>
  <c r="M708" i="1" s="1"/>
  <c r="L707" i="1"/>
  <c r="M707" i="1" s="1"/>
  <c r="L706" i="1"/>
  <c r="M706" i="1" s="1"/>
  <c r="L705" i="1"/>
  <c r="M705" i="1" s="1"/>
  <c r="L704" i="1"/>
  <c r="M704" i="1" s="1"/>
  <c r="L703" i="1"/>
  <c r="M703" i="1" s="1"/>
  <c r="L702" i="1"/>
  <c r="M702" i="1" s="1"/>
  <c r="L701" i="1"/>
  <c r="M701" i="1" s="1"/>
  <c r="L700" i="1"/>
  <c r="M700" i="1" s="1"/>
  <c r="L699" i="1"/>
  <c r="M699" i="1" s="1"/>
  <c r="L698" i="1"/>
  <c r="M698" i="1" s="1"/>
  <c r="L697" i="1"/>
  <c r="M697" i="1" s="1"/>
  <c r="L696" i="1"/>
  <c r="M696" i="1" s="1"/>
  <c r="L695" i="1"/>
  <c r="M695" i="1" s="1"/>
  <c r="L694" i="1"/>
  <c r="M694" i="1" s="1"/>
  <c r="L693" i="1"/>
  <c r="M693" i="1" s="1"/>
  <c r="L692" i="1"/>
  <c r="M692" i="1" s="1"/>
  <c r="L691" i="1"/>
  <c r="M691" i="1" s="1"/>
  <c r="L690" i="1"/>
  <c r="M690" i="1" s="1"/>
  <c r="L689" i="1"/>
  <c r="M689" i="1" s="1"/>
  <c r="L688" i="1"/>
  <c r="M688" i="1" s="1"/>
  <c r="L687" i="1"/>
  <c r="M687" i="1" s="1"/>
  <c r="L686" i="1"/>
  <c r="M686" i="1" s="1"/>
  <c r="L685" i="1"/>
  <c r="M685" i="1" s="1"/>
  <c r="L684" i="1"/>
  <c r="M684" i="1" s="1"/>
  <c r="L683" i="1"/>
  <c r="M683" i="1" s="1"/>
  <c r="L682" i="1"/>
  <c r="M682" i="1" s="1"/>
  <c r="L681" i="1"/>
  <c r="M681" i="1" s="1"/>
  <c r="L680" i="1"/>
  <c r="M680" i="1" s="1"/>
  <c r="L679" i="1"/>
  <c r="M679" i="1" s="1"/>
  <c r="L678" i="1"/>
  <c r="M678" i="1" s="1"/>
  <c r="L677" i="1"/>
  <c r="M677" i="1" s="1"/>
  <c r="L676" i="1"/>
  <c r="M676" i="1" s="1"/>
  <c r="L675" i="1"/>
  <c r="M675" i="1" s="1"/>
  <c r="L674" i="1"/>
  <c r="M674" i="1" s="1"/>
  <c r="L673" i="1"/>
  <c r="M673" i="1" s="1"/>
  <c r="L672" i="1"/>
  <c r="M672" i="1" s="1"/>
  <c r="L671" i="1"/>
  <c r="M671" i="1" s="1"/>
  <c r="L670" i="1"/>
  <c r="M670" i="1" s="1"/>
  <c r="L669" i="1"/>
  <c r="M669" i="1" s="1"/>
  <c r="L668" i="1"/>
  <c r="M668" i="1" s="1"/>
  <c r="L667" i="1"/>
  <c r="M667" i="1" s="1"/>
  <c r="L666" i="1"/>
  <c r="M666" i="1" s="1"/>
  <c r="L665" i="1"/>
  <c r="M665" i="1" s="1"/>
  <c r="L664" i="1"/>
  <c r="M664" i="1" s="1"/>
  <c r="L663" i="1"/>
  <c r="M663" i="1" s="1"/>
  <c r="L662" i="1"/>
  <c r="M662" i="1" s="1"/>
  <c r="L661" i="1"/>
  <c r="M661" i="1" s="1"/>
  <c r="L660" i="1"/>
  <c r="M660" i="1" s="1"/>
  <c r="L658" i="1"/>
  <c r="M658" i="1" s="1"/>
  <c r="L657" i="1"/>
  <c r="M657" i="1" s="1"/>
  <c r="L656" i="1"/>
  <c r="M656" i="1" s="1"/>
  <c r="L655" i="1"/>
  <c r="M655" i="1" s="1"/>
  <c r="L654" i="1"/>
  <c r="M654" i="1" s="1"/>
  <c r="L653" i="1"/>
  <c r="M653" i="1" s="1"/>
  <c r="L652" i="1"/>
  <c r="M652" i="1" s="1"/>
  <c r="L651" i="1"/>
  <c r="M651" i="1" s="1"/>
  <c r="L650" i="1"/>
  <c r="M650" i="1" s="1"/>
  <c r="L649" i="1"/>
  <c r="M649" i="1" s="1"/>
  <c r="L648" i="1"/>
  <c r="M648" i="1" s="1"/>
  <c r="L647" i="1"/>
  <c r="M647" i="1" s="1"/>
  <c r="L646" i="1"/>
  <c r="M646" i="1" s="1"/>
  <c r="L645" i="1"/>
  <c r="M645" i="1" s="1"/>
  <c r="L644" i="1"/>
  <c r="M644" i="1" s="1"/>
  <c r="L643" i="1"/>
  <c r="M643" i="1" s="1"/>
  <c r="L642" i="1"/>
  <c r="M642" i="1" s="1"/>
  <c r="L641" i="1"/>
  <c r="M641" i="1" s="1"/>
  <c r="L640" i="1"/>
  <c r="M640" i="1" s="1"/>
  <c r="L639" i="1"/>
  <c r="M639" i="1" s="1"/>
  <c r="L638" i="1"/>
  <c r="M638" i="1" s="1"/>
  <c r="L637" i="1"/>
  <c r="M637" i="1" s="1"/>
  <c r="L636" i="1"/>
  <c r="M636" i="1" s="1"/>
  <c r="L635" i="1"/>
  <c r="M635" i="1" s="1"/>
  <c r="L634" i="1"/>
  <c r="M634" i="1" s="1"/>
  <c r="L633" i="1"/>
  <c r="M633" i="1" s="1"/>
  <c r="L632" i="1"/>
  <c r="M632" i="1" s="1"/>
  <c r="L631" i="1"/>
  <c r="M631" i="1" s="1"/>
  <c r="L630" i="1"/>
  <c r="M630" i="1" s="1"/>
  <c r="L629" i="1"/>
  <c r="M629" i="1" s="1"/>
  <c r="L628" i="1"/>
  <c r="M628" i="1" s="1"/>
  <c r="L627" i="1"/>
  <c r="M627" i="1" s="1"/>
  <c r="L626" i="1"/>
  <c r="M626" i="1" s="1"/>
  <c r="L625" i="1"/>
  <c r="M625" i="1" s="1"/>
  <c r="L624" i="1"/>
  <c r="M624" i="1" s="1"/>
  <c r="L623" i="1"/>
  <c r="M623" i="1" s="1"/>
  <c r="L622" i="1"/>
  <c r="M622" i="1" s="1"/>
  <c r="L621" i="1"/>
  <c r="M621" i="1" s="1"/>
  <c r="L620" i="1"/>
  <c r="M620" i="1" s="1"/>
  <c r="L619" i="1"/>
  <c r="M619" i="1" s="1"/>
  <c r="L618" i="1"/>
  <c r="M618" i="1" s="1"/>
  <c r="L617" i="1"/>
  <c r="M617" i="1" s="1"/>
  <c r="L616" i="1"/>
  <c r="M616" i="1" s="1"/>
  <c r="L615" i="1"/>
  <c r="M615" i="1" s="1"/>
  <c r="L614" i="1"/>
  <c r="M614" i="1" s="1"/>
  <c r="L613" i="1"/>
  <c r="M613" i="1" s="1"/>
  <c r="L612" i="1"/>
  <c r="M612" i="1" s="1"/>
  <c r="L611" i="1"/>
  <c r="M611" i="1" s="1"/>
  <c r="L610" i="1"/>
  <c r="M610" i="1" s="1"/>
  <c r="L609" i="1"/>
  <c r="M609" i="1" s="1"/>
  <c r="L608" i="1"/>
  <c r="M608" i="1" s="1"/>
  <c r="L607" i="1"/>
  <c r="M607" i="1" s="1"/>
  <c r="L606" i="1"/>
  <c r="M606" i="1" s="1"/>
  <c r="L605" i="1"/>
  <c r="M605" i="1" s="1"/>
  <c r="L604" i="1"/>
  <c r="M604" i="1" s="1"/>
  <c r="L603" i="1"/>
  <c r="M603" i="1" s="1"/>
  <c r="L602" i="1"/>
  <c r="M602" i="1" s="1"/>
  <c r="L601" i="1"/>
  <c r="M601" i="1" s="1"/>
  <c r="L600" i="1"/>
  <c r="M600" i="1" s="1"/>
  <c r="L599" i="1"/>
  <c r="M599" i="1" s="1"/>
  <c r="L598" i="1"/>
  <c r="M598" i="1" s="1"/>
  <c r="L597" i="1"/>
  <c r="M597" i="1" s="1"/>
  <c r="L596" i="1"/>
  <c r="M596" i="1" s="1"/>
  <c r="L593" i="1"/>
  <c r="M593" i="1" s="1"/>
  <c r="L592" i="1"/>
  <c r="M592" i="1" s="1"/>
  <c r="L591" i="1"/>
  <c r="M591" i="1" s="1"/>
  <c r="L590" i="1"/>
  <c r="M590" i="1" s="1"/>
  <c r="L589" i="1"/>
  <c r="M589" i="1" s="1"/>
  <c r="L588" i="1"/>
  <c r="M588" i="1" s="1"/>
  <c r="L587" i="1"/>
  <c r="M587" i="1" s="1"/>
  <c r="L586" i="1"/>
  <c r="M586" i="1" s="1"/>
  <c r="L585" i="1"/>
  <c r="M585" i="1" s="1"/>
  <c r="L584" i="1"/>
  <c r="M584" i="1" s="1"/>
  <c r="L583" i="1"/>
  <c r="M583" i="1" s="1"/>
  <c r="L582" i="1"/>
  <c r="M582" i="1" s="1"/>
  <c r="L581" i="1"/>
  <c r="M581" i="1" s="1"/>
  <c r="L580" i="1"/>
  <c r="M580" i="1" s="1"/>
  <c r="L579" i="1"/>
  <c r="M579" i="1" s="1"/>
  <c r="L578" i="1"/>
  <c r="M578" i="1" s="1"/>
  <c r="L577" i="1"/>
  <c r="M577" i="1" s="1"/>
  <c r="L576" i="1"/>
  <c r="M576" i="1" s="1"/>
  <c r="L575" i="1"/>
  <c r="M575" i="1" s="1"/>
  <c r="L574" i="1"/>
  <c r="M574" i="1" s="1"/>
  <c r="L573" i="1"/>
  <c r="M573" i="1" s="1"/>
  <c r="L572" i="1"/>
  <c r="M572" i="1" s="1"/>
  <c r="L571" i="1"/>
  <c r="M571" i="1" s="1"/>
  <c r="L570" i="1"/>
  <c r="M570" i="1" s="1"/>
  <c r="L569" i="1"/>
  <c r="M569" i="1" s="1"/>
  <c r="L568" i="1"/>
  <c r="M568" i="1" s="1"/>
  <c r="L567" i="1"/>
  <c r="M567" i="1" s="1"/>
  <c r="L566" i="1"/>
  <c r="M566" i="1" s="1"/>
  <c r="L565" i="1"/>
  <c r="M565" i="1" s="1"/>
  <c r="L564" i="1"/>
  <c r="M564" i="1" s="1"/>
  <c r="L563" i="1"/>
  <c r="M563" i="1" s="1"/>
  <c r="L562" i="1"/>
  <c r="M562" i="1" s="1"/>
  <c r="L561" i="1"/>
  <c r="M561" i="1" s="1"/>
  <c r="L560" i="1"/>
  <c r="M560" i="1" s="1"/>
  <c r="L559" i="1"/>
  <c r="M559" i="1" s="1"/>
  <c r="L558" i="1"/>
  <c r="M558" i="1" s="1"/>
  <c r="L557" i="1"/>
  <c r="M557" i="1" s="1"/>
  <c r="L556" i="1"/>
  <c r="M556" i="1" s="1"/>
  <c r="L555" i="1"/>
  <c r="M555" i="1" s="1"/>
  <c r="L554" i="1"/>
  <c r="M554" i="1" s="1"/>
  <c r="L553" i="1"/>
  <c r="M553" i="1" s="1"/>
  <c r="L552" i="1"/>
  <c r="M552" i="1" s="1"/>
  <c r="L551" i="1"/>
  <c r="M551" i="1" s="1"/>
  <c r="L550" i="1"/>
  <c r="M550" i="1" s="1"/>
  <c r="L549" i="1"/>
  <c r="M549" i="1" s="1"/>
  <c r="L548" i="1"/>
  <c r="M548" i="1" s="1"/>
  <c r="L547" i="1"/>
  <c r="M547" i="1" s="1"/>
  <c r="L546" i="1"/>
  <c r="M546" i="1" s="1"/>
  <c r="L545" i="1"/>
  <c r="M545" i="1" s="1"/>
  <c r="L544" i="1"/>
  <c r="M544" i="1" s="1"/>
  <c r="L543" i="1"/>
  <c r="M543" i="1" s="1"/>
  <c r="L542" i="1"/>
  <c r="M542" i="1" s="1"/>
  <c r="L541" i="1"/>
  <c r="M541" i="1" s="1"/>
  <c r="L540" i="1"/>
  <c r="M540" i="1" s="1"/>
  <c r="L539" i="1"/>
  <c r="M539" i="1" s="1"/>
  <c r="L538" i="1"/>
  <c r="M538" i="1" s="1"/>
  <c r="L537" i="1"/>
  <c r="M537" i="1" s="1"/>
  <c r="L536" i="1"/>
  <c r="M536" i="1" s="1"/>
  <c r="L535" i="1"/>
  <c r="M535" i="1" s="1"/>
  <c r="L534" i="1"/>
  <c r="M534" i="1" s="1"/>
  <c r="L533" i="1"/>
  <c r="M533" i="1" s="1"/>
  <c r="L532" i="1"/>
  <c r="M532" i="1" s="1"/>
  <c r="L531" i="1"/>
  <c r="M531" i="1" s="1"/>
  <c r="L530" i="1"/>
  <c r="M530" i="1" s="1"/>
  <c r="L529" i="1"/>
  <c r="M529" i="1" s="1"/>
  <c r="L528" i="1"/>
  <c r="M528" i="1" s="1"/>
  <c r="N527" i="1"/>
  <c r="L527" i="1" s="1"/>
  <c r="M527" i="1" s="1"/>
  <c r="L526" i="1"/>
  <c r="M526" i="1" s="1"/>
  <c r="L525" i="1"/>
  <c r="M525" i="1" s="1"/>
  <c r="L524" i="1"/>
  <c r="M524" i="1" s="1"/>
  <c r="L523" i="1"/>
  <c r="M523" i="1" s="1"/>
  <c r="L522" i="1"/>
  <c r="M522" i="1" s="1"/>
  <c r="L521" i="1"/>
  <c r="M521" i="1" s="1"/>
  <c r="L520" i="1"/>
  <c r="M520" i="1" s="1"/>
  <c r="L519" i="1"/>
  <c r="M519" i="1" s="1"/>
  <c r="L518" i="1"/>
  <c r="M518" i="1" s="1"/>
  <c r="L517" i="1"/>
  <c r="M517" i="1" s="1"/>
  <c r="L516" i="1"/>
  <c r="M516" i="1" s="1"/>
  <c r="L515" i="1"/>
  <c r="M515" i="1" s="1"/>
  <c r="L514" i="1"/>
  <c r="M514" i="1" s="1"/>
  <c r="L513" i="1"/>
  <c r="M513" i="1" s="1"/>
  <c r="L512" i="1"/>
  <c r="M512" i="1" s="1"/>
  <c r="L511" i="1"/>
  <c r="M511" i="1" s="1"/>
  <c r="L510" i="1"/>
  <c r="M510" i="1" s="1"/>
  <c r="L509" i="1"/>
  <c r="M509" i="1" s="1"/>
  <c r="L508" i="1"/>
  <c r="M508" i="1" s="1"/>
  <c r="L507" i="1"/>
  <c r="M507" i="1" s="1"/>
  <c r="L506" i="1"/>
  <c r="M506" i="1" s="1"/>
  <c r="L505" i="1"/>
  <c r="M505" i="1" s="1"/>
  <c r="L504" i="1"/>
  <c r="M504" i="1" s="1"/>
  <c r="L503" i="1"/>
  <c r="M503" i="1" s="1"/>
  <c r="L502" i="1"/>
  <c r="M502" i="1" s="1"/>
  <c r="L501" i="1"/>
  <c r="M501" i="1" s="1"/>
  <c r="L500" i="1"/>
  <c r="M500" i="1" s="1"/>
  <c r="L499" i="1"/>
  <c r="M499" i="1" s="1"/>
  <c r="L498" i="1"/>
  <c r="M498" i="1" s="1"/>
  <c r="L497" i="1"/>
  <c r="M497" i="1" s="1"/>
  <c r="L496" i="1"/>
  <c r="M496" i="1" s="1"/>
  <c r="L495" i="1"/>
  <c r="M495" i="1" s="1"/>
  <c r="L494" i="1"/>
  <c r="M494" i="1" s="1"/>
  <c r="L493" i="1"/>
  <c r="M493" i="1" s="1"/>
  <c r="L492" i="1"/>
  <c r="M492" i="1" s="1"/>
  <c r="L491" i="1"/>
  <c r="M491" i="1" s="1"/>
  <c r="L490" i="1"/>
  <c r="M490" i="1" s="1"/>
  <c r="L489" i="1"/>
  <c r="M489" i="1" s="1"/>
  <c r="L488" i="1"/>
  <c r="M488" i="1" s="1"/>
  <c r="L487" i="1"/>
  <c r="M487" i="1" s="1"/>
  <c r="L486" i="1"/>
  <c r="M486" i="1" s="1"/>
  <c r="L485" i="1"/>
  <c r="M485" i="1" s="1"/>
  <c r="L484" i="1"/>
  <c r="M484" i="1" s="1"/>
  <c r="L483" i="1"/>
  <c r="M483" i="1" s="1"/>
  <c r="L482" i="1"/>
  <c r="M482" i="1" s="1"/>
  <c r="L481" i="1"/>
  <c r="M481" i="1" s="1"/>
  <c r="L480" i="1"/>
  <c r="M480" i="1" s="1"/>
  <c r="L479" i="1"/>
  <c r="M479" i="1" s="1"/>
  <c r="L478" i="1"/>
  <c r="M478" i="1" s="1"/>
  <c r="L477" i="1"/>
  <c r="M477" i="1" s="1"/>
  <c r="L476" i="1"/>
  <c r="M476" i="1" s="1"/>
  <c r="L475" i="1"/>
  <c r="M475" i="1" s="1"/>
  <c r="L474" i="1"/>
  <c r="M474" i="1" s="1"/>
  <c r="L473" i="1"/>
  <c r="M473" i="1" s="1"/>
  <c r="L472" i="1"/>
  <c r="M472" i="1" s="1"/>
  <c r="L471" i="1"/>
  <c r="M471" i="1" s="1"/>
  <c r="L470" i="1"/>
  <c r="M470" i="1" s="1"/>
  <c r="L469" i="1"/>
  <c r="M469" i="1" s="1"/>
  <c r="L468" i="1"/>
  <c r="M468" i="1" s="1"/>
  <c r="L467" i="1"/>
  <c r="M467" i="1" s="1"/>
  <c r="L466" i="1"/>
  <c r="M466" i="1" s="1"/>
  <c r="L465" i="1"/>
  <c r="M465" i="1" s="1"/>
  <c r="L464" i="1"/>
  <c r="M464" i="1" s="1"/>
  <c r="L463" i="1"/>
  <c r="M463" i="1" s="1"/>
  <c r="L462" i="1"/>
  <c r="M462" i="1" s="1"/>
  <c r="L461" i="1"/>
  <c r="M461" i="1" s="1"/>
  <c r="L460" i="1"/>
  <c r="M460" i="1" s="1"/>
  <c r="L459" i="1"/>
  <c r="M459" i="1" s="1"/>
  <c r="L458" i="1"/>
  <c r="M458" i="1" s="1"/>
  <c r="L457" i="1"/>
  <c r="M457" i="1" s="1"/>
  <c r="L456" i="1"/>
  <c r="M456" i="1" s="1"/>
  <c r="L455" i="1"/>
  <c r="M455" i="1" s="1"/>
  <c r="L454" i="1"/>
  <c r="M454" i="1" s="1"/>
  <c r="L453" i="1"/>
  <c r="M453" i="1" s="1"/>
  <c r="L452" i="1"/>
  <c r="M452" i="1" s="1"/>
  <c r="L451" i="1"/>
  <c r="M451" i="1" s="1"/>
  <c r="L450" i="1"/>
  <c r="M450" i="1" s="1"/>
  <c r="L449" i="1"/>
  <c r="M449" i="1" s="1"/>
  <c r="L448" i="1"/>
  <c r="M448" i="1" s="1"/>
  <c r="L447" i="1"/>
  <c r="M447" i="1" s="1"/>
  <c r="L446" i="1"/>
  <c r="M446" i="1" s="1"/>
  <c r="L445" i="1"/>
  <c r="M445" i="1" s="1"/>
  <c r="L444" i="1"/>
  <c r="M444" i="1" s="1"/>
  <c r="L443" i="1"/>
  <c r="M443" i="1" s="1"/>
  <c r="L442" i="1"/>
  <c r="M442" i="1" s="1"/>
  <c r="L441" i="1"/>
  <c r="M441" i="1" s="1"/>
  <c r="L440" i="1"/>
  <c r="M440" i="1" s="1"/>
  <c r="L439" i="1"/>
  <c r="M439" i="1" s="1"/>
  <c r="L438" i="1"/>
  <c r="M438" i="1" s="1"/>
  <c r="L437" i="1"/>
  <c r="M437" i="1" s="1"/>
  <c r="L436" i="1"/>
  <c r="M436" i="1" s="1"/>
  <c r="L435" i="1"/>
  <c r="M435" i="1" s="1"/>
  <c r="L434" i="1"/>
  <c r="M434" i="1" s="1"/>
  <c r="L433" i="1"/>
  <c r="M433" i="1" s="1"/>
  <c r="L432" i="1"/>
  <c r="M432" i="1" s="1"/>
  <c r="L431" i="1"/>
  <c r="M431" i="1" s="1"/>
  <c r="L430" i="1"/>
  <c r="M430" i="1" s="1"/>
  <c r="L429" i="1"/>
  <c r="M429" i="1" s="1"/>
  <c r="L428" i="1"/>
  <c r="M428" i="1" s="1"/>
  <c r="L427" i="1"/>
  <c r="M427" i="1" s="1"/>
  <c r="L426" i="1"/>
  <c r="M426" i="1" s="1"/>
  <c r="L425" i="1"/>
  <c r="M425" i="1" s="1"/>
  <c r="L424" i="1"/>
  <c r="M424" i="1" s="1"/>
  <c r="L423" i="1"/>
  <c r="M423" i="1" s="1"/>
  <c r="L422" i="1"/>
  <c r="M422" i="1" s="1"/>
  <c r="L421" i="1"/>
  <c r="M421" i="1" s="1"/>
  <c r="L420" i="1"/>
  <c r="M420" i="1" s="1"/>
  <c r="L419" i="1"/>
  <c r="M419" i="1" s="1"/>
  <c r="L418" i="1"/>
  <c r="M418" i="1" s="1"/>
  <c r="L417" i="1"/>
  <c r="M417" i="1" s="1"/>
  <c r="L416" i="1"/>
  <c r="M416" i="1" s="1"/>
  <c r="L415" i="1"/>
  <c r="M415" i="1" s="1"/>
  <c r="L414" i="1"/>
  <c r="M414" i="1" s="1"/>
  <c r="L413" i="1"/>
  <c r="M413" i="1" s="1"/>
  <c r="L412" i="1"/>
  <c r="M412" i="1" s="1"/>
  <c r="L411" i="1"/>
  <c r="M411" i="1" s="1"/>
  <c r="L410" i="1"/>
  <c r="M410" i="1" s="1"/>
  <c r="L409" i="1"/>
  <c r="M409" i="1" s="1"/>
  <c r="L408" i="1"/>
  <c r="M408" i="1" s="1"/>
  <c r="L407" i="1"/>
  <c r="M407" i="1" s="1"/>
  <c r="L406" i="1"/>
  <c r="M406" i="1" s="1"/>
  <c r="L405" i="1"/>
  <c r="M405" i="1" s="1"/>
  <c r="L404" i="1"/>
  <c r="M404" i="1" s="1"/>
  <c r="L403" i="1"/>
  <c r="M403" i="1" s="1"/>
  <c r="L402" i="1"/>
  <c r="M402" i="1" s="1"/>
  <c r="L401" i="1"/>
  <c r="M401" i="1" s="1"/>
  <c r="L400" i="1"/>
  <c r="M400" i="1" s="1"/>
  <c r="L399" i="1"/>
  <c r="M399" i="1" s="1"/>
  <c r="L398" i="1"/>
  <c r="M398" i="1" s="1"/>
  <c r="L397" i="1"/>
  <c r="M397" i="1" s="1"/>
  <c r="L396" i="1"/>
  <c r="M396" i="1" s="1"/>
  <c r="L395" i="1"/>
  <c r="M395" i="1" s="1"/>
  <c r="L394" i="1"/>
  <c r="M394" i="1" s="1"/>
  <c r="L393" i="1"/>
  <c r="M393" i="1" s="1"/>
  <c r="L392" i="1"/>
  <c r="M392" i="1" s="1"/>
  <c r="L391" i="1"/>
  <c r="M391" i="1" s="1"/>
  <c r="L390" i="1"/>
  <c r="M390" i="1" s="1"/>
  <c r="L389" i="1"/>
  <c r="M389" i="1" s="1"/>
  <c r="L388" i="1"/>
  <c r="M388" i="1" s="1"/>
  <c r="L387" i="1"/>
  <c r="M387" i="1" s="1"/>
  <c r="L386" i="1"/>
  <c r="M386" i="1" s="1"/>
  <c r="L385" i="1"/>
  <c r="M385" i="1" s="1"/>
  <c r="L384" i="1"/>
  <c r="M384" i="1" s="1"/>
  <c r="L383" i="1"/>
  <c r="M383" i="1" s="1"/>
  <c r="L382" i="1"/>
  <c r="M382" i="1" s="1"/>
  <c r="L381" i="1"/>
  <c r="M381" i="1" s="1"/>
  <c r="L380" i="1"/>
  <c r="M380" i="1" s="1"/>
  <c r="L379" i="1"/>
  <c r="M379" i="1" s="1"/>
  <c r="L378" i="1"/>
  <c r="M378" i="1" s="1"/>
  <c r="L377" i="1"/>
  <c r="M377" i="1" s="1"/>
  <c r="L376" i="1"/>
  <c r="M376" i="1" s="1"/>
  <c r="L375" i="1"/>
  <c r="M375" i="1" s="1"/>
  <c r="L374" i="1"/>
  <c r="M374" i="1" s="1"/>
  <c r="L373" i="1"/>
  <c r="M373" i="1" s="1"/>
  <c r="L372" i="1"/>
  <c r="M372" i="1" s="1"/>
  <c r="L371" i="1"/>
  <c r="M371" i="1" s="1"/>
  <c r="L370" i="1"/>
  <c r="M370" i="1" s="1"/>
  <c r="L369" i="1"/>
  <c r="M369" i="1" s="1"/>
  <c r="L368" i="1"/>
  <c r="M368" i="1" s="1"/>
  <c r="L367" i="1"/>
  <c r="M367" i="1" s="1"/>
  <c r="L366" i="1"/>
  <c r="M366" i="1" s="1"/>
  <c r="L365" i="1"/>
  <c r="M365" i="1" s="1"/>
  <c r="L364" i="1"/>
  <c r="M364" i="1" s="1"/>
  <c r="L363" i="1"/>
  <c r="M363" i="1" s="1"/>
  <c r="L362" i="1"/>
  <c r="M362" i="1" s="1"/>
  <c r="L361" i="1"/>
  <c r="M361" i="1" s="1"/>
  <c r="L360" i="1"/>
  <c r="M360" i="1" s="1"/>
  <c r="L359" i="1"/>
  <c r="M359" i="1" s="1"/>
  <c r="L358" i="1"/>
  <c r="M358" i="1" s="1"/>
  <c r="L357" i="1"/>
  <c r="M357" i="1" s="1"/>
  <c r="L356" i="1"/>
  <c r="M356" i="1" s="1"/>
  <c r="L355" i="1"/>
  <c r="M355" i="1" s="1"/>
  <c r="L354" i="1"/>
  <c r="M354" i="1" s="1"/>
  <c r="L353" i="1"/>
  <c r="M353" i="1" s="1"/>
  <c r="L352" i="1"/>
  <c r="M352" i="1" s="1"/>
  <c r="L351" i="1"/>
  <c r="M351" i="1" s="1"/>
  <c r="L350" i="1"/>
  <c r="M350" i="1" s="1"/>
  <c r="L349" i="1"/>
  <c r="M349" i="1" s="1"/>
  <c r="L348" i="1"/>
  <c r="M348" i="1" s="1"/>
  <c r="L347" i="1"/>
  <c r="M347" i="1" s="1"/>
  <c r="L346" i="1"/>
  <c r="M346" i="1" s="1"/>
  <c r="L345" i="1"/>
  <c r="M345" i="1" s="1"/>
  <c r="L344" i="1"/>
  <c r="M344" i="1" s="1"/>
  <c r="L343" i="1"/>
  <c r="M343" i="1" s="1"/>
  <c r="L342" i="1"/>
  <c r="M342" i="1" s="1"/>
  <c r="L341" i="1"/>
  <c r="M341" i="1" s="1"/>
  <c r="L340" i="1"/>
  <c r="M340" i="1" s="1"/>
  <c r="L339" i="1"/>
  <c r="M339" i="1" s="1"/>
  <c r="L338" i="1"/>
  <c r="M338" i="1" s="1"/>
  <c r="L337" i="1"/>
  <c r="M337" i="1" s="1"/>
  <c r="L336" i="1"/>
  <c r="M336" i="1" s="1"/>
  <c r="L335" i="1"/>
  <c r="M335" i="1" s="1"/>
  <c r="L334" i="1"/>
  <c r="M334" i="1" s="1"/>
  <c r="L333" i="1"/>
  <c r="M333" i="1" s="1"/>
  <c r="L332" i="1"/>
  <c r="M332" i="1" s="1"/>
  <c r="L331" i="1"/>
  <c r="M331" i="1" s="1"/>
  <c r="L330" i="1"/>
  <c r="M330" i="1" s="1"/>
  <c r="L329" i="1"/>
  <c r="M329" i="1" s="1"/>
  <c r="L328" i="1"/>
  <c r="M328" i="1" s="1"/>
  <c r="L327" i="1"/>
  <c r="M327" i="1" s="1"/>
  <c r="L326" i="1"/>
  <c r="M326" i="1" s="1"/>
  <c r="L325" i="1"/>
  <c r="M325" i="1" s="1"/>
  <c r="L324" i="1"/>
  <c r="M324" i="1" s="1"/>
  <c r="L323" i="1"/>
  <c r="M323" i="1" s="1"/>
  <c r="L322" i="1"/>
  <c r="M322" i="1" s="1"/>
  <c r="L321" i="1"/>
  <c r="M321" i="1" s="1"/>
  <c r="L320" i="1"/>
  <c r="M320" i="1" s="1"/>
  <c r="L319" i="1"/>
  <c r="M319" i="1" s="1"/>
  <c r="L318" i="1"/>
  <c r="M318" i="1" s="1"/>
  <c r="L317" i="1"/>
  <c r="M317" i="1" s="1"/>
  <c r="L316" i="1"/>
  <c r="M316" i="1" s="1"/>
  <c r="L315" i="1"/>
  <c r="M315" i="1" s="1"/>
  <c r="L314" i="1"/>
  <c r="M314" i="1" s="1"/>
  <c r="L313" i="1"/>
  <c r="M313" i="1" s="1"/>
  <c r="L312" i="1"/>
  <c r="M312" i="1" s="1"/>
  <c r="L311" i="1"/>
  <c r="M311" i="1" s="1"/>
  <c r="L310" i="1"/>
  <c r="M310" i="1" s="1"/>
  <c r="L309" i="1"/>
  <c r="M309" i="1" s="1"/>
  <c r="L308" i="1"/>
  <c r="M308" i="1" s="1"/>
  <c r="L307" i="1"/>
  <c r="M307" i="1" s="1"/>
  <c r="L306" i="1"/>
  <c r="M306" i="1" s="1"/>
  <c r="L305" i="1"/>
  <c r="M305" i="1" s="1"/>
  <c r="L304" i="1"/>
  <c r="M304" i="1" s="1"/>
  <c r="L303" i="1"/>
  <c r="M303" i="1" s="1"/>
  <c r="L302" i="1"/>
  <c r="M302" i="1" s="1"/>
  <c r="L301" i="1"/>
  <c r="M301" i="1" s="1"/>
  <c r="L300" i="1"/>
  <c r="M300" i="1" s="1"/>
  <c r="L299" i="1"/>
  <c r="M299" i="1" s="1"/>
  <c r="L298" i="1"/>
  <c r="M298" i="1" s="1"/>
  <c r="L297" i="1"/>
  <c r="M297" i="1" s="1"/>
  <c r="L296" i="1"/>
  <c r="M296" i="1" s="1"/>
  <c r="L295" i="1"/>
  <c r="M295" i="1" s="1"/>
  <c r="L294" i="1"/>
  <c r="M294" i="1" s="1"/>
  <c r="L293" i="1"/>
  <c r="M293" i="1" s="1"/>
  <c r="L292" i="1"/>
  <c r="M292" i="1" s="1"/>
  <c r="L291" i="1"/>
  <c r="M291" i="1" s="1"/>
  <c r="L290" i="1"/>
  <c r="M290" i="1" s="1"/>
  <c r="L289" i="1"/>
  <c r="M289" i="1" s="1"/>
  <c r="L288" i="1"/>
  <c r="M288" i="1" s="1"/>
  <c r="L287" i="1"/>
  <c r="M287" i="1" s="1"/>
  <c r="L286" i="1"/>
  <c r="M286" i="1" s="1"/>
  <c r="L285" i="1"/>
  <c r="M285" i="1" s="1"/>
  <c r="L284" i="1"/>
  <c r="M284" i="1" s="1"/>
  <c r="L283" i="1"/>
  <c r="M283" i="1" s="1"/>
  <c r="L282" i="1"/>
  <c r="M282" i="1" s="1"/>
  <c r="L281" i="1"/>
  <c r="M281" i="1" s="1"/>
  <c r="L280" i="1"/>
  <c r="M280" i="1" s="1"/>
  <c r="L279" i="1"/>
  <c r="M279" i="1" s="1"/>
  <c r="L278" i="1"/>
  <c r="M278" i="1" s="1"/>
  <c r="L277" i="1"/>
  <c r="M277" i="1" s="1"/>
  <c r="L276" i="1"/>
  <c r="M276" i="1" s="1"/>
  <c r="L275" i="1"/>
  <c r="M275" i="1" s="1"/>
  <c r="L274" i="1"/>
  <c r="M274" i="1" s="1"/>
  <c r="L273" i="1"/>
  <c r="M273" i="1" s="1"/>
  <c r="L272" i="1"/>
  <c r="M272" i="1" s="1"/>
  <c r="L271" i="1"/>
  <c r="M271" i="1" s="1"/>
  <c r="L270" i="1"/>
  <c r="M270" i="1" s="1"/>
  <c r="L269" i="1"/>
  <c r="M269" i="1" s="1"/>
  <c r="L268" i="1"/>
  <c r="M268" i="1" s="1"/>
  <c r="L267" i="1"/>
  <c r="M267" i="1" s="1"/>
  <c r="L266" i="1"/>
  <c r="M266" i="1" s="1"/>
  <c r="L265" i="1"/>
  <c r="M265" i="1" s="1"/>
  <c r="L264" i="1"/>
  <c r="M264" i="1" s="1"/>
  <c r="L263" i="1"/>
  <c r="M263" i="1" s="1"/>
  <c r="L262" i="1"/>
  <c r="M262" i="1" s="1"/>
  <c r="L261" i="1"/>
  <c r="M261" i="1" s="1"/>
  <c r="L260" i="1"/>
  <c r="M260" i="1" s="1"/>
  <c r="L259" i="1"/>
  <c r="M259" i="1" s="1"/>
  <c r="L258" i="1"/>
  <c r="M258" i="1" s="1"/>
  <c r="L257" i="1"/>
  <c r="M257" i="1" s="1"/>
  <c r="L256" i="1"/>
  <c r="M256" i="1" s="1"/>
  <c r="L255" i="1"/>
  <c r="M255" i="1" s="1"/>
  <c r="L254" i="1"/>
  <c r="M254" i="1" s="1"/>
  <c r="L253" i="1"/>
  <c r="M253" i="1" s="1"/>
  <c r="L252" i="1"/>
  <c r="M252" i="1" s="1"/>
  <c r="L251" i="1"/>
  <c r="M251" i="1" s="1"/>
  <c r="L250" i="1"/>
  <c r="M250" i="1" s="1"/>
  <c r="L249" i="1"/>
  <c r="M249" i="1" s="1"/>
  <c r="L248" i="1"/>
  <c r="M248" i="1" s="1"/>
  <c r="L247" i="1"/>
  <c r="M247" i="1" s="1"/>
  <c r="L246" i="1"/>
  <c r="M246" i="1" s="1"/>
  <c r="L245" i="1"/>
  <c r="M245" i="1" s="1"/>
  <c r="L244" i="1"/>
  <c r="M244" i="1" s="1"/>
  <c r="L243" i="1"/>
  <c r="M243" i="1" s="1"/>
  <c r="L242" i="1"/>
  <c r="M242" i="1" s="1"/>
  <c r="L241" i="1"/>
  <c r="M241" i="1" s="1"/>
  <c r="L240" i="1"/>
  <c r="M240" i="1" s="1"/>
  <c r="L239" i="1"/>
  <c r="M239" i="1" s="1"/>
  <c r="L238" i="1"/>
  <c r="M238" i="1" s="1"/>
  <c r="L237" i="1"/>
  <c r="M237" i="1" s="1"/>
  <c r="L236" i="1"/>
  <c r="M236" i="1" s="1"/>
  <c r="L235" i="1"/>
  <c r="M235" i="1" s="1"/>
  <c r="L234" i="1"/>
  <c r="M234" i="1" s="1"/>
  <c r="L233" i="1"/>
  <c r="M233" i="1" s="1"/>
  <c r="L232" i="1"/>
  <c r="M232" i="1" s="1"/>
  <c r="L231" i="1"/>
  <c r="M231" i="1" s="1"/>
  <c r="L230" i="1"/>
  <c r="M230" i="1" s="1"/>
  <c r="L229" i="1"/>
  <c r="M229" i="1" s="1"/>
  <c r="L228" i="1"/>
  <c r="M228" i="1" s="1"/>
  <c r="L227" i="1"/>
  <c r="M227" i="1" s="1"/>
  <c r="L226" i="1"/>
  <c r="M226" i="1" s="1"/>
  <c r="L225" i="1"/>
  <c r="M225" i="1" s="1"/>
  <c r="L224" i="1"/>
  <c r="M224" i="1" s="1"/>
  <c r="L223" i="1"/>
  <c r="M223" i="1" s="1"/>
  <c r="L222" i="1"/>
  <c r="M222" i="1" s="1"/>
  <c r="L221" i="1"/>
  <c r="M221" i="1" s="1"/>
  <c r="L220" i="1"/>
  <c r="M220" i="1" s="1"/>
  <c r="L219" i="1"/>
  <c r="M219" i="1" s="1"/>
  <c r="L218" i="1"/>
  <c r="M218" i="1" s="1"/>
  <c r="L217" i="1"/>
  <c r="M217" i="1" s="1"/>
  <c r="L216" i="1"/>
  <c r="M216" i="1" s="1"/>
  <c r="L215" i="1"/>
  <c r="M215" i="1" s="1"/>
  <c r="L214" i="1"/>
  <c r="M214" i="1" s="1"/>
  <c r="L213" i="1"/>
  <c r="M213" i="1" s="1"/>
  <c r="L212" i="1"/>
  <c r="M212" i="1" s="1"/>
  <c r="L211" i="1"/>
  <c r="M211" i="1" s="1"/>
  <c r="L210" i="1"/>
  <c r="M210" i="1" s="1"/>
  <c r="L209" i="1"/>
  <c r="M209" i="1" s="1"/>
  <c r="L208" i="1"/>
  <c r="M208" i="1" s="1"/>
  <c r="L207" i="1"/>
  <c r="M207" i="1" s="1"/>
  <c r="L206" i="1"/>
  <c r="M206" i="1" s="1"/>
  <c r="L205" i="1"/>
  <c r="M205" i="1" s="1"/>
  <c r="L204" i="1"/>
  <c r="M204" i="1" s="1"/>
  <c r="L203" i="1"/>
  <c r="M203" i="1" s="1"/>
  <c r="L202" i="1"/>
  <c r="M202" i="1" s="1"/>
  <c r="L201" i="1"/>
  <c r="M201" i="1" s="1"/>
  <c r="L200" i="1"/>
  <c r="M200" i="1" s="1"/>
  <c r="L199" i="1"/>
  <c r="M199" i="1" s="1"/>
  <c r="L198" i="1"/>
  <c r="M198" i="1" s="1"/>
  <c r="L197" i="1"/>
  <c r="M197" i="1" s="1"/>
  <c r="L196" i="1"/>
  <c r="M196" i="1" s="1"/>
  <c r="L195" i="1"/>
  <c r="M195" i="1" s="1"/>
  <c r="L194" i="1"/>
  <c r="M194" i="1" s="1"/>
  <c r="L193" i="1"/>
  <c r="M193" i="1" s="1"/>
  <c r="L192" i="1"/>
  <c r="M192" i="1" s="1"/>
  <c r="L191" i="1"/>
  <c r="M191" i="1" s="1"/>
  <c r="L190" i="1"/>
  <c r="M190" i="1" s="1"/>
  <c r="L189" i="1"/>
  <c r="M189" i="1" s="1"/>
  <c r="L188" i="1"/>
  <c r="M188" i="1" s="1"/>
  <c r="L187" i="1"/>
  <c r="M187" i="1" s="1"/>
  <c r="L186" i="1"/>
  <c r="M186" i="1" s="1"/>
  <c r="L185" i="1"/>
  <c r="M185" i="1" s="1"/>
  <c r="L184" i="1"/>
  <c r="M184" i="1" s="1"/>
  <c r="L183" i="1"/>
  <c r="M183" i="1" s="1"/>
  <c r="L182" i="1"/>
  <c r="M182" i="1" s="1"/>
  <c r="L181" i="1"/>
  <c r="M181" i="1" s="1"/>
  <c r="L180" i="1"/>
  <c r="M180" i="1" s="1"/>
  <c r="L179" i="1"/>
  <c r="M179" i="1" s="1"/>
  <c r="L178" i="1"/>
  <c r="M178" i="1" s="1"/>
  <c r="L177" i="1"/>
  <c r="M177" i="1" s="1"/>
  <c r="L176" i="1"/>
  <c r="M176" i="1" s="1"/>
  <c r="L175" i="1"/>
  <c r="M175" i="1" s="1"/>
  <c r="L174" i="1"/>
  <c r="M174" i="1" s="1"/>
  <c r="L173" i="1"/>
  <c r="M173" i="1" s="1"/>
  <c r="L172" i="1"/>
  <c r="M172" i="1" s="1"/>
  <c r="L171" i="1"/>
  <c r="M171" i="1" s="1"/>
  <c r="L170" i="1"/>
  <c r="M170" i="1" s="1"/>
  <c r="L169" i="1"/>
  <c r="M169" i="1" s="1"/>
  <c r="L168" i="1"/>
  <c r="M168" i="1" s="1"/>
  <c r="L167" i="1"/>
  <c r="M167" i="1" s="1"/>
  <c r="L166" i="1"/>
  <c r="M166" i="1" s="1"/>
  <c r="L165" i="1"/>
  <c r="M165" i="1" s="1"/>
  <c r="L164" i="1"/>
  <c r="M164" i="1" s="1"/>
  <c r="L163" i="1"/>
  <c r="M163" i="1" s="1"/>
  <c r="L162" i="1"/>
  <c r="M162" i="1" s="1"/>
  <c r="L161" i="1"/>
  <c r="M161" i="1" s="1"/>
  <c r="L160" i="1"/>
  <c r="M160" i="1" s="1"/>
  <c r="L159" i="1"/>
  <c r="M159" i="1" s="1"/>
  <c r="L158" i="1"/>
  <c r="M158" i="1" s="1"/>
  <c r="L157" i="1"/>
  <c r="M157" i="1" s="1"/>
  <c r="L156" i="1"/>
  <c r="M156" i="1" s="1"/>
  <c r="L155" i="1"/>
  <c r="M155" i="1" s="1"/>
  <c r="L154" i="1"/>
  <c r="M154" i="1" s="1"/>
  <c r="L153" i="1"/>
  <c r="M153" i="1" s="1"/>
  <c r="L152" i="1"/>
  <c r="M152" i="1" s="1"/>
  <c r="L151" i="1"/>
  <c r="M151" i="1" s="1"/>
  <c r="L150" i="1"/>
  <c r="M150" i="1" s="1"/>
  <c r="L149" i="1"/>
  <c r="M149" i="1" s="1"/>
  <c r="L148" i="1"/>
  <c r="M148" i="1" s="1"/>
  <c r="L147" i="1"/>
  <c r="M147" i="1" s="1"/>
  <c r="L146" i="1"/>
  <c r="M146" i="1" s="1"/>
  <c r="L145" i="1"/>
  <c r="M145" i="1" s="1"/>
  <c r="L144" i="1"/>
  <c r="M144" i="1" s="1"/>
  <c r="L143" i="1"/>
  <c r="M143" i="1" s="1"/>
  <c r="L142" i="1"/>
  <c r="M142" i="1" s="1"/>
  <c r="L141" i="1"/>
  <c r="M141" i="1" s="1"/>
  <c r="L140" i="1"/>
  <c r="M140" i="1" s="1"/>
  <c r="L139" i="1"/>
  <c r="M139" i="1" s="1"/>
  <c r="L138" i="1"/>
  <c r="M138" i="1" s="1"/>
  <c r="L137" i="1"/>
  <c r="M137" i="1" s="1"/>
  <c r="L136" i="1"/>
  <c r="M136" i="1" s="1"/>
  <c r="L135" i="1"/>
  <c r="M135" i="1" s="1"/>
  <c r="L134" i="1"/>
  <c r="M134" i="1" s="1"/>
  <c r="L133" i="1"/>
  <c r="M133" i="1" s="1"/>
  <c r="L132" i="1"/>
  <c r="M132" i="1" s="1"/>
  <c r="L131" i="1"/>
  <c r="M131" i="1" s="1"/>
  <c r="L130" i="1"/>
  <c r="M130" i="1" s="1"/>
  <c r="L129" i="1"/>
  <c r="M129" i="1" s="1"/>
  <c r="L128" i="1"/>
  <c r="M128" i="1" s="1"/>
  <c r="L127" i="1"/>
  <c r="M127" i="1" s="1"/>
  <c r="L126" i="1"/>
  <c r="M126" i="1" s="1"/>
  <c r="L125" i="1"/>
  <c r="M125" i="1" s="1"/>
  <c r="L124" i="1"/>
  <c r="M124" i="1" s="1"/>
  <c r="L123" i="1"/>
  <c r="M123" i="1" s="1"/>
  <c r="L122" i="1"/>
  <c r="M122" i="1" s="1"/>
  <c r="L121" i="1"/>
  <c r="M121" i="1" s="1"/>
  <c r="L120" i="1"/>
  <c r="M120" i="1" s="1"/>
  <c r="L119" i="1"/>
  <c r="M119" i="1" s="1"/>
  <c r="L118" i="1"/>
  <c r="M118" i="1" s="1"/>
  <c r="L117" i="1"/>
  <c r="M117" i="1" s="1"/>
  <c r="L116" i="1"/>
  <c r="M116" i="1" s="1"/>
  <c r="L115" i="1"/>
  <c r="M115" i="1" s="1"/>
  <c r="L114" i="1"/>
  <c r="M114" i="1" s="1"/>
  <c r="L113" i="1"/>
  <c r="M113" i="1" s="1"/>
  <c r="L112" i="1"/>
  <c r="M112" i="1" s="1"/>
  <c r="L111" i="1"/>
  <c r="M111" i="1" s="1"/>
  <c r="L110" i="1"/>
  <c r="M110" i="1" s="1"/>
  <c r="L109" i="1"/>
  <c r="M109" i="1" s="1"/>
  <c r="L108" i="1"/>
  <c r="M108" i="1" s="1"/>
  <c r="L107" i="1"/>
  <c r="M107" i="1" s="1"/>
  <c r="L106" i="1"/>
  <c r="M106" i="1" s="1"/>
  <c r="L105" i="1"/>
  <c r="M105" i="1" s="1"/>
  <c r="L104" i="1"/>
  <c r="M104" i="1" s="1"/>
  <c r="L103" i="1"/>
  <c r="M103" i="1" s="1"/>
  <c r="L102" i="1"/>
  <c r="M102" i="1" s="1"/>
  <c r="L101" i="1"/>
  <c r="M101" i="1" s="1"/>
  <c r="L100" i="1"/>
  <c r="M100" i="1" s="1"/>
  <c r="L99" i="1"/>
  <c r="M99" i="1" s="1"/>
  <c r="L98" i="1"/>
  <c r="M98" i="1" s="1"/>
  <c r="L97" i="1"/>
  <c r="M97" i="1" s="1"/>
  <c r="L96" i="1"/>
  <c r="M96" i="1" s="1"/>
  <c r="L95" i="1"/>
  <c r="M95" i="1" s="1"/>
  <c r="L94" i="1"/>
  <c r="M94" i="1" s="1"/>
  <c r="L93" i="1"/>
  <c r="M93" i="1" s="1"/>
  <c r="L92" i="1"/>
  <c r="M92" i="1" s="1"/>
  <c r="L91" i="1"/>
  <c r="M91" i="1" s="1"/>
  <c r="L90" i="1"/>
  <c r="M90" i="1" s="1"/>
  <c r="L89" i="1"/>
  <c r="M89" i="1" s="1"/>
  <c r="L88" i="1"/>
  <c r="M88" i="1" s="1"/>
  <c r="L87" i="1"/>
  <c r="M87" i="1" s="1"/>
  <c r="L86" i="1"/>
  <c r="M86" i="1" s="1"/>
  <c r="L85" i="1"/>
  <c r="M85" i="1" s="1"/>
  <c r="L84" i="1"/>
  <c r="M84" i="1" s="1"/>
  <c r="L83" i="1"/>
  <c r="M83" i="1" s="1"/>
  <c r="L82" i="1"/>
  <c r="M82" i="1" s="1"/>
  <c r="L81" i="1"/>
  <c r="M81" i="1" s="1"/>
  <c r="L80" i="1"/>
  <c r="M80" i="1" s="1"/>
  <c r="L79" i="1"/>
  <c r="M79" i="1" s="1"/>
  <c r="L78" i="1"/>
  <c r="M78" i="1" s="1"/>
  <c r="L77" i="1"/>
  <c r="M77" i="1" s="1"/>
  <c r="L76" i="1"/>
  <c r="M76" i="1" s="1"/>
  <c r="L75" i="1"/>
  <c r="M75" i="1" s="1"/>
  <c r="L74" i="1"/>
  <c r="M74" i="1" s="1"/>
  <c r="L73" i="1"/>
  <c r="M73" i="1" s="1"/>
  <c r="L72" i="1"/>
  <c r="M72" i="1" s="1"/>
  <c r="L71" i="1"/>
  <c r="M71" i="1" s="1"/>
  <c r="L70" i="1"/>
  <c r="M70" i="1" s="1"/>
  <c r="L69" i="1"/>
  <c r="M69" i="1" s="1"/>
  <c r="L68" i="1"/>
  <c r="M68" i="1" s="1"/>
  <c r="L67" i="1"/>
  <c r="M67" i="1" s="1"/>
  <c r="L66" i="1"/>
  <c r="M66" i="1" s="1"/>
  <c r="L65" i="1"/>
  <c r="M65" i="1" s="1"/>
  <c r="L64" i="1"/>
  <c r="M64" i="1" s="1"/>
  <c r="L63" i="1"/>
  <c r="M63" i="1" s="1"/>
  <c r="L62" i="1"/>
  <c r="M62" i="1" s="1"/>
  <c r="L61" i="1"/>
  <c r="M61" i="1" s="1"/>
  <c r="L60" i="1"/>
  <c r="M60" i="1" s="1"/>
  <c r="L59" i="1"/>
  <c r="M59" i="1" s="1"/>
  <c r="L58" i="1"/>
  <c r="M58" i="1" s="1"/>
  <c r="L57" i="1"/>
  <c r="M57" i="1" s="1"/>
  <c r="L56" i="1"/>
  <c r="M56" i="1" s="1"/>
  <c r="L55" i="1"/>
  <c r="M55" i="1" s="1"/>
  <c r="L54" i="1"/>
  <c r="M54" i="1" s="1"/>
  <c r="L53" i="1"/>
  <c r="M53" i="1" s="1"/>
  <c r="L52" i="1"/>
  <c r="M52" i="1" s="1"/>
  <c r="L51" i="1"/>
  <c r="M51" i="1" s="1"/>
  <c r="L50" i="1"/>
  <c r="M50" i="1" s="1"/>
  <c r="L49" i="1"/>
  <c r="M49" i="1" s="1"/>
  <c r="L48" i="1"/>
  <c r="M48" i="1" s="1"/>
  <c r="L47" i="1"/>
  <c r="M47" i="1" s="1"/>
  <c r="L46" i="1"/>
  <c r="M46" i="1" s="1"/>
  <c r="L45" i="1"/>
  <c r="M45" i="1" s="1"/>
  <c r="L44" i="1"/>
  <c r="M44" i="1" s="1"/>
  <c r="L43" i="1"/>
  <c r="M43" i="1" s="1"/>
  <c r="L42" i="1"/>
  <c r="M42" i="1" s="1"/>
  <c r="L41" i="1"/>
  <c r="M41" i="1" s="1"/>
  <c r="L40" i="1"/>
  <c r="M40" i="1" s="1"/>
  <c r="L39" i="1"/>
  <c r="M39" i="1" s="1"/>
  <c r="L38" i="1"/>
  <c r="M38" i="1" s="1"/>
  <c r="L37" i="1"/>
  <c r="M37" i="1" s="1"/>
  <c r="L36" i="1"/>
  <c r="M36" i="1" s="1"/>
  <c r="L35" i="1"/>
  <c r="M35" i="1" s="1"/>
  <c r="L34" i="1"/>
  <c r="M34" i="1" s="1"/>
  <c r="L33" i="1"/>
  <c r="M33" i="1" s="1"/>
  <c r="L32" i="1"/>
  <c r="M32" i="1" s="1"/>
  <c r="L31" i="1"/>
  <c r="M31" i="1" s="1"/>
  <c r="L30" i="1"/>
  <c r="M30" i="1" s="1"/>
  <c r="L29" i="1"/>
  <c r="M29" i="1" s="1"/>
  <c r="L28" i="1"/>
  <c r="M28" i="1" s="1"/>
  <c r="L27" i="1"/>
  <c r="M27" i="1" s="1"/>
  <c r="L26" i="1"/>
  <c r="M26" i="1" s="1"/>
  <c r="L25" i="1"/>
  <c r="M25" i="1" s="1"/>
  <c r="L24" i="1"/>
  <c r="M24" i="1" s="1"/>
  <c r="L23" i="1"/>
  <c r="M23" i="1" s="1"/>
  <c r="L22" i="1"/>
  <c r="M22" i="1" s="1"/>
  <c r="L21" i="1"/>
  <c r="M21" i="1" s="1"/>
  <c r="L20" i="1"/>
  <c r="M20" i="1" s="1"/>
  <c r="L19" i="1"/>
  <c r="M19" i="1" s="1"/>
  <c r="L18" i="1"/>
  <c r="M18" i="1" s="1"/>
  <c r="L17" i="1"/>
  <c r="M17" i="1" s="1"/>
  <c r="L16" i="1"/>
  <c r="M16" i="1" s="1"/>
  <c r="L15" i="1"/>
  <c r="M15" i="1" s="1"/>
  <c r="L14" i="1"/>
  <c r="M14" i="1" s="1"/>
  <c r="L13" i="1"/>
  <c r="M13" i="1" s="1"/>
  <c r="L12" i="1"/>
  <c r="M12" i="1" s="1"/>
  <c r="L11" i="1"/>
  <c r="M11" i="1" s="1"/>
  <c r="L10" i="1"/>
  <c r="M10" i="1" s="1"/>
  <c r="L9" i="1"/>
  <c r="M9" i="1" s="1"/>
  <c r="L8" i="1"/>
  <c r="M8" i="1" s="1"/>
  <c r="L7" i="1"/>
  <c r="M7" i="1" s="1"/>
  <c r="L6" i="1"/>
  <c r="M6" i="1" s="1"/>
  <c r="L5" i="1"/>
  <c r="M5" i="1" s="1"/>
  <c r="L4" i="1"/>
  <c r="M4" i="1" s="1"/>
  <c r="L3" i="1"/>
  <c r="M3" i="1" s="1"/>
  <c r="M2" i="1"/>
  <c r="N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  <author>VANTEC</author>
    <author>Juan Carlos Rios GAMES</author>
    <author>Sony</author>
  </authors>
  <commentList>
    <comment ref="F147" authorId="0" shapeId="0" xr:uid="{14E6101A-0FCF-4BF0-9388-32054BE5C655}">
      <text>
        <r>
          <rPr>
            <b/>
            <sz val="9"/>
            <color indexed="81"/>
            <rFont val="Tahoma"/>
            <family val="2"/>
          </rPr>
          <t>LA DIFERENCIA DE 800 SE CANCELA CREDITO DIRECTO 36 CUOTAS DE 19 DOLARES</t>
        </r>
      </text>
    </comment>
    <comment ref="F151" authorId="0" shapeId="0" xr:uid="{672F3885-FC7A-44B5-BDFA-C132E79775A6}">
      <text>
        <r>
          <rPr>
            <b/>
            <sz val="9"/>
            <color indexed="81"/>
            <rFont val="Tahoma"/>
            <family val="2"/>
          </rPr>
          <t xml:space="preserve">DIFERENCIA DE 850 CANCELA A UN AÑO A PARTIR DE LA FIR,A DEL CONTRATO </t>
        </r>
      </text>
    </comment>
    <comment ref="F179" authorId="1" shapeId="0" xr:uid="{C770090B-0C0E-486B-9159-C758B2CDD4F8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VENTA DE 3990
RESTANTE 3849 CANCELA EL 27 JUNIO 2023</t>
        </r>
      </text>
    </comment>
    <comment ref="F181" authorId="1" shapeId="0" xr:uid="{40DB89CE-7562-4005-B519-97D09435B387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DIFERENCIA DE 700 PAGA EL 20-06-23
</t>
        </r>
      </text>
    </comment>
    <comment ref="F185" authorId="1" shapeId="0" xr:uid="{A237C937-1F48-4AEF-A9D1-58500331F705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300 MC CORRIENTEKEMPERY
400 VS CORRIENTE CORPONET, RESTANTE SERA CANCELADO EN NOVIEMBRE 2023 2290
</t>
        </r>
      </text>
    </comment>
    <comment ref="F186" authorId="1" shapeId="0" xr:uid="{0A93A20A-A9D6-4AFE-A2AF-02C354BF6681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600 CORRIENTE
500 DIF 12
</t>
        </r>
      </text>
    </comment>
    <comment ref="F195" authorId="1" shapeId="0" xr:uid="{BB9D87DD-4CED-456C-8A07-6E6932A659CF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700, PASA 600, DEBE 100 PAGADEROS EL 24 AGOSTO 2023</t>
        </r>
      </text>
    </comment>
    <comment ref="F198" authorId="0" shapeId="0" xr:uid="{D9D8AFF1-F21B-4618-9F6D-CB465776CB0B}">
      <text>
        <r>
          <rPr>
            <b/>
            <sz val="9"/>
            <color indexed="81"/>
            <rFont val="Tahoma"/>
            <family val="2"/>
          </rPr>
          <t>LA DIFERENCIA DE 800 SE CANCELA CREDITO DIRECTO 36 CUOTAS DE 19 DOLARES</t>
        </r>
      </text>
    </comment>
    <comment ref="F202" authorId="0" shapeId="0" xr:uid="{1D93218C-F4CE-483C-8C26-9441F01F5100}">
      <text>
        <r>
          <rPr>
            <b/>
            <sz val="9"/>
            <color indexed="81"/>
            <rFont val="Tahoma"/>
            <family val="2"/>
          </rPr>
          <t xml:space="preserve">DIFERENCIA DE 850 CANCELA A UN AÑO A PARTIR DE LA FIR,A DEL CONTRATO </t>
        </r>
      </text>
    </comment>
    <comment ref="F207" authorId="1" shapeId="0" xr:uid="{EFA8AB79-36AD-4198-B696-B129A5E50CB4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VENTA DDE 2000 PAGA PAGARA EL 6 DE JULIO 1750</t>
        </r>
      </text>
    </comment>
    <comment ref="K210" authorId="2" shapeId="0" xr:uid="{09273AEB-43F1-4671-9E0F-7C659AF32417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1250 VS CORRIENTE
750 GRUPO NOVA</t>
        </r>
      </text>
    </comment>
    <comment ref="F214" authorId="1" shapeId="0" xr:uid="{35E035E6-79AB-4FF0-AAF7-0E4B6FB2CE9D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RESTANTE DE VENTA 700 PAGADOS EL 12-01-2023</t>
        </r>
      </text>
    </comment>
    <comment ref="F217" authorId="1" shapeId="0" xr:uid="{0ABC3DCA-DD25-48E8-9ADC-08139414500D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490 PAGA A UN AÑO DEL CONTRATO</t>
        </r>
      </text>
    </comment>
    <comment ref="F218" authorId="1" shapeId="0" xr:uid="{31DDDF42-9EF5-4972-8852-A929A4BBA989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ASUMIR 2 CUOTAS</t>
        </r>
      </text>
    </comment>
    <comment ref="F224" authorId="1" shapeId="0" xr:uid="{EC1EA97A-BD48-4606-887C-6D0A9568144D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350 VISA
700 DISCOVER
450 PAGADOS EN UN AÑO DEL CONTRATO
</t>
        </r>
      </text>
    </comment>
    <comment ref="F232" authorId="1" shapeId="0" xr:uid="{E0B84CAA-B09E-4F88-AACF-A60975CEC900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1495 SERA PAGADO EN SEPTIEMBRE</t>
        </r>
      </text>
    </comment>
    <comment ref="F240" authorId="1" shapeId="0" xr:uid="{ADB1697F-6279-4EAC-8DCA-43BDF367B5D3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700 PAGARA EN 6 MESES</t>
        </r>
      </text>
    </comment>
    <comment ref="F249" authorId="1" shapeId="0" xr:uid="{16C4D463-9E9E-4AE9-A38C-CB7BC1F0099A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600 POR VISA
200 TRANSFERENCIA
600 PAGA EN ENERO</t>
        </r>
      </text>
    </comment>
    <comment ref="F259" authorId="1" shapeId="0" xr:uid="{8B1B4A57-A3FE-4009-A443-1F19CAD7EBE4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2980 SERAN PAGADOS EN 6 MESES</t>
        </r>
      </text>
    </comment>
    <comment ref="F261" authorId="1" shapeId="0" xr:uid="{73886038-CBE4-4C62-B1A3-A0FF02EEA47A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700 PAGA MEDIANTE ENLACE DE PAGO
1590 EN UN AÑO DE LA FIRMA
</t>
        </r>
      </text>
    </comment>
    <comment ref="F262" authorId="1" shapeId="0" xr:uid="{D8A8D375-F8C0-4E63-B8D4-2527093CBF3F}">
      <text>
        <r>
          <rPr>
            <b/>
            <sz val="9"/>
            <color indexed="81"/>
            <rFont val="Tahoma"/>
            <family val="2"/>
          </rPr>
          <t>VANTE1300 VS PACIFICO CORRIENTE
400 VS PICHINCHA DIF 24</t>
        </r>
      </text>
    </comment>
    <comment ref="F267" authorId="1" shapeId="0" xr:uid="{57F5079E-A17C-4673-AC82-E435369951D2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200 DISC DIF 24M
300 DIF 24M
500 VS DIF 24M Y 200CORRIENTE</t>
        </r>
      </text>
    </comment>
    <comment ref="F269" authorId="1" shapeId="0" xr:uid="{305C1E2E-DA52-463B-8B41-D2BEC50002FA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1240 SERA PAGADO EL 17-08-2025</t>
        </r>
      </text>
    </comment>
    <comment ref="F270" authorId="1" shapeId="0" xr:uid="{27B216E6-D047-48F6-98B2-CBEB8EA4066D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PAGO 600 CON PRODUBANCOI
100 CON PACIFICO
DEBE 300 PARA 18-02-24</t>
        </r>
      </text>
    </comment>
    <comment ref="F271" authorId="1" shapeId="0" xr:uid="{0EE4B34C-4CB0-4C7F-86FD-D52DF08DD536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690 18-02-2024</t>
        </r>
      </text>
    </comment>
    <comment ref="F272" authorId="1" shapeId="0" xr:uid="{BA6C62DD-8810-4F94-8527-70AFA705EFE9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500 AL 19-11-2023
</t>
        </r>
      </text>
    </comment>
    <comment ref="F301" authorId="1" shapeId="0" xr:uid="{C7A518E0-EF87-49C4-88CF-54F0FE9812CF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700 BANCO DEL AUSTRO CORRIENTE
500 DINERS DIF 24M</t>
        </r>
      </text>
    </comment>
    <comment ref="F303" authorId="1" shapeId="0" xr:uid="{49EC7142-839F-4B6E-A22E-B5226054A4D1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990  en 6 meses</t>
        </r>
      </text>
    </comment>
    <comment ref="F309" authorId="1" shapeId="0" xr:uid="{CB0C412E-AA5F-4A4F-BB67-48B6A029F556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CREDITO DIRECTO 
1159, EN 35 CUOTAS 33,11, el cinco de cada mes</t>
        </r>
      </text>
    </comment>
    <comment ref="F312" authorId="1" shapeId="0" xr:uid="{A63038E4-72E3-463D-9305-DB579B820B3E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CREDITO DIRECTO 100 CADA30
</t>
        </r>
      </text>
    </comment>
    <comment ref="F315" authorId="1" shapeId="0" xr:uid="{E0048603-A30E-4C3A-9FB4-6AD104247FBC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1197 paga en un año </t>
        </r>
      </text>
    </comment>
    <comment ref="F327" authorId="1" shapeId="0" xr:uid="{1EBAC2FC-5A74-46BC-80CA-15942A43F919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200 EN 6 MESES</t>
        </r>
      </text>
    </comment>
    <comment ref="F330" authorId="1" shapeId="0" xr:uid="{C497B22C-0056-4B4D-BE15-FBC5F8753D67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1700 POR TDC
290 POR TRANSFERENCIA</t>
        </r>
      </text>
    </comment>
    <comment ref="F333" authorId="1" shapeId="0" xr:uid="{DA2D055D-4761-4003-B0E1-BE99D9823C99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CREDITO DIRECTO DE 850 24,28 17 DE CADA MES 35 CUOTAS 24,28</t>
        </r>
      </text>
    </comment>
    <comment ref="F338" authorId="1" shapeId="0" xr:uid="{E4326686-4577-4CCF-AF97-934776A805D0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900 MARZO 2024</t>
        </r>
      </text>
    </comment>
    <comment ref="F340" authorId="1" shapeId="0" xr:uid="{B431D0F4-6AB4-41D4-90C3-0E6C97FA945D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1050 16-09-24</t>
        </r>
      </text>
    </comment>
    <comment ref="F351" authorId="1" shapeId="0" xr:uid="{7E0B3F2A-FACD-4067-8AFF-5DAE4A4D8429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1000 VSCORRIENTE
1000 AMEX CORRIENTE
500 VS DIF 24 M
390 DS DIF 24 M</t>
        </r>
      </text>
    </comment>
    <comment ref="F362" authorId="1" shapeId="0" xr:uid="{5AABB3BA-A3A0-4F25-B26B-8C16B09DF9B0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1990 29-09-23 SE AUMENTA A 10 AÑOS Y SE ENTREGA PUNTA CANA</t>
        </r>
      </text>
    </comment>
    <comment ref="F376" authorId="1" shapeId="0" xr:uid="{260D4CBA-B195-4906-B51E-10D331B2BEC3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700 PAGA EN 6 MESES</t>
        </r>
      </text>
    </comment>
    <comment ref="F391" authorId="1" shapeId="0" xr:uid="{358B243E-87C1-4ECC-8908-4EF8D99CF23F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600 paga en 6 meses</t>
        </r>
      </text>
    </comment>
    <comment ref="F410" authorId="1" shapeId="0" xr:uid="{7AEB2A64-F68A-4237-970C-83D741286FF8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500 PAGA A UN AÑO  24-20-24</t>
        </r>
      </text>
    </comment>
    <comment ref="F419" authorId="1" shapeId="0" xr:uid="{2315A992-52AA-4E0A-BCE5-B4260CF6C487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1000 SERAN PAGADOS EN ENERO 2024</t>
        </r>
      </text>
    </comment>
    <comment ref="F421" authorId="1" shapeId="0" xr:uid="{AC2711A0-44CC-4E70-A505-EEDF86EEE8E5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790 PAGADEROS A UN AÑO</t>
        </r>
      </text>
    </comment>
    <comment ref="F426" authorId="1" shapeId="0" xr:uid="{AB0C1D7A-801A-4B77-B931-B5E26C32CD55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6 MESES 995</t>
        </r>
      </text>
    </comment>
    <comment ref="F434" authorId="1" shapeId="0" xr:uid="{963733A7-2CDE-4CF1-BC92-AD2B16E295E7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13-11-2023
2500</t>
        </r>
      </text>
    </comment>
    <comment ref="F441" authorId="1" shapeId="0" xr:uid="{99361A48-109A-404F-B5ED-FEF154863E89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500 EN CREDITO DIRECTO CUOTAS DE 18 MENSUAL 36 CUOTAS</t>
        </r>
      </text>
    </comment>
    <comment ref="F444" authorId="1" shapeId="0" xr:uid="{98FB136A-1201-4723-A406-342E3D6972F2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900 en cd 36 cuotas de 31, primera cuota el 30 de diciembre</t>
        </r>
      </text>
    </comment>
    <comment ref="F453" authorId="1" shapeId="0" xr:uid="{7BE58ACC-63C0-49EF-9A19-7FA8955CD6C0}">
      <text>
        <r>
          <rPr>
            <b/>
            <sz val="9"/>
            <color indexed="81"/>
            <rFont val="Tahoma"/>
            <family val="2"/>
          </rPr>
          <t>VANTEC:</t>
        </r>
      </text>
    </comment>
    <comment ref="F470" authorId="1" shapeId="0" xr:uid="{A2E19F46-6448-477E-9BE0-E4C0079A84E9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1490 SE PAGA EN 12 MESES CREDITO DIRECTO
</t>
        </r>
      </text>
    </comment>
    <comment ref="F478" authorId="1" shapeId="0" xr:uid="{C9CC513A-CF37-401D-98A4-19CCE8DC1831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1090 PAGARA EN CD 58,19 EN 24 CUOTAS</t>
        </r>
      </text>
    </comment>
    <comment ref="F487" authorId="1" shapeId="0" xr:uid="{4773C2C3-8EB4-4627-A3EC-410C5594EEA6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1690 PAGA A 6 MESES DEL CONTRATO
</t>
        </r>
      </text>
    </comment>
    <comment ref="F497" authorId="1" shapeId="0" xr:uid="{4E8F6B50-AAB2-43C0-8910-7AED47B64CB3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800 A 3 MESES DE LA FIRMA</t>
        </r>
      </text>
    </comment>
    <comment ref="F538" authorId="1" shapeId="0" xr:uid="{DC58C32D-21C3-4A60-A8E9-FD4D51C490D3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ABRIL 250</t>
        </r>
      </text>
    </comment>
    <comment ref="N546" authorId="1" shapeId="0" xr:uid="{CBD76A55-2525-4216-9551-6E9A9318B2BE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2000 ADRIAN
290 JORGELIS</t>
        </r>
      </text>
    </comment>
    <comment ref="F549" authorId="2" shapeId="0" xr:uid="{C825CA99-AB65-406B-A273-DE222C0DC3F6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15 FEBRERO $2000</t>
        </r>
      </text>
    </comment>
    <comment ref="F554" authorId="1" shapeId="0" xr:uid="{E9810D58-B331-4CF5-833D-6236B01A569A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3000 PAGA COMPLETO EN 6 MESES</t>
        </r>
      </text>
    </comment>
    <comment ref="N555" authorId="1" shapeId="0" xr:uid="{494636C1-8F95-4BB8-A74A-8DAEC808FA3C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900 JULIO
150 ZINDY</t>
        </r>
      </text>
    </comment>
    <comment ref="N563" authorId="2" shapeId="0" xr:uid="{46FCA908-A512-4A9B-8BF5-2B66ECB7A891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$500 ALEJANDRO
$650 LEONARDO</t>
        </r>
      </text>
    </comment>
    <comment ref="F567" authorId="2" shapeId="0" xr:uid="{22ED0DD4-0A63-4F53-A89E-295A76132990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$990 EN 05/02/2026</t>
        </r>
      </text>
    </comment>
    <comment ref="F568" authorId="2" shapeId="0" xr:uid="{A2A455B4-E4F5-4A1A-9042-990AA7C89C5F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$300 EL 05/02/2026</t>
        </r>
      </text>
    </comment>
    <comment ref="F573" authorId="2" shapeId="0" xr:uid="{064D9A79-C5AA-49F9-B119-87E698C80B91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$500 08/10/2025</t>
        </r>
      </text>
    </comment>
    <comment ref="J574" authorId="2" shapeId="0" xr:uid="{15904E63-01BF-428C-BA44-B70FDE058195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$2000 PAYPHONE ZINDY
$990 ISS</t>
        </r>
      </text>
    </comment>
    <comment ref="F575" authorId="2" shapeId="0" xr:uid="{9BF5B0F3-3BA7-4960-A43A-AE9CF2A6BA13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PAGAN TODO 13/02/2025</t>
        </r>
      </text>
    </comment>
    <comment ref="F577" authorId="2" shapeId="0" xr:uid="{1A8AC980-9624-4815-98F1-8FE1B2C56A26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2990 13/10/2025</t>
        </r>
      </text>
    </comment>
    <comment ref="F580" authorId="2" shapeId="0" xr:uid="{44914B4C-095E-4576-B940-082771D17E0F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$300 14/08/2025</t>
        </r>
      </text>
    </comment>
    <comment ref="J580" authorId="2" shapeId="0" xr:uid="{04C71450-1E52-4E0E-8156-8CE1A405C468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$500 PAYPHONE ZINDY
$200 SOKURA</t>
        </r>
      </text>
    </comment>
    <comment ref="K583" authorId="2" shapeId="0" xr:uid="{3BEB75ED-791B-4A65-B66B-A52F81FE19C0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1999$ VS CORRIENTE
1000$ DN CORRIENTE</t>
        </r>
      </text>
    </comment>
    <comment ref="F593" authorId="2" shapeId="0" xr:uid="{910F8000-05E3-404F-B82A-59CC79C9F67F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$796 EN 36 CUOTAS DE $22,05 A PAGAR EL 28 DE CADA MES</t>
        </r>
      </text>
    </comment>
    <comment ref="F594" authorId="2" shapeId="0" xr:uid="{19DDEDAB-85DC-4362-B0F8-A853CFDAA96D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36 CUOTAS DE 51$ 17 DE CADA MES EMPEZANDO EN JUNIO</t>
        </r>
      </text>
    </comment>
    <comment ref="F595" authorId="2" shapeId="0" xr:uid="{C59AA51E-4F4E-46C8-86E1-7D2BC625A20F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Cobranza</t>
        </r>
      </text>
    </comment>
    <comment ref="F596" authorId="2" shapeId="0" xr:uid="{9309726F-E851-444E-9D32-11F78FAA191B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$750 06/06/2025</t>
        </r>
      </text>
    </comment>
    <comment ref="J596" authorId="2" shapeId="0" xr:uid="{11D4669B-0A77-4368-BD38-FFA8CE70B7EB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$650 ZINDY
$100 TRANSFER</t>
        </r>
      </text>
    </comment>
    <comment ref="F598" authorId="2" shapeId="0" xr:uid="{BB0E18E1-40F0-439C-B6B1-833F28069E4F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$560 8 SEPTIEMBRE</t>
        </r>
      </text>
    </comment>
    <comment ref="J600" authorId="2" shapeId="0" xr:uid="{6CF3F84F-AB72-470B-939A-06E19E9343AC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PAYPHONE 500
ISS 2000</t>
        </r>
      </text>
    </comment>
    <comment ref="F601" authorId="2" shapeId="0" xr:uid="{D70F6EBE-845D-496D-BF78-5C66C108BA76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$300 11/06/2025</t>
        </r>
      </text>
    </comment>
    <comment ref="F605" authorId="2" shapeId="0" xr:uid="{B4795B55-278F-40B4-8C0F-36687BB5BE70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$1070 13/06/2025</t>
        </r>
      </text>
    </comment>
    <comment ref="J605" authorId="2" shapeId="0" xr:uid="{FAC44E3F-C883-482D-9407-5361361471AC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ZINDY $200
ARBOLEDA $600</t>
        </r>
      </text>
    </comment>
    <comment ref="F607" authorId="2" shapeId="0" xr:uid="{F8F88A1A-B78D-49C6-A834-B4D5F7F255E2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$820 15/09/2025</t>
        </r>
      </text>
    </comment>
    <comment ref="F608" authorId="2" shapeId="0" xr:uid="{D6E15836-935C-46B5-98D3-57A1A4D2F98A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$200 15/05/2025</t>
        </r>
      </text>
    </comment>
    <comment ref="K610" authorId="2" shapeId="0" xr:uid="{B1921513-E419-463E-9BE4-21E0737B9981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$1000 PAYPHONE SUNSIDETRIP
$1990 MC CORRIENTE KEMPERY</t>
        </r>
      </text>
    </comment>
    <comment ref="F611" authorId="2" shapeId="0" xr:uid="{05729ACC-EE63-449F-812E-136725552CC5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$1490 06/04/2025</t>
        </r>
      </text>
    </comment>
    <comment ref="F612" authorId="2" shapeId="0" xr:uid="{7638AC5A-1047-43EA-B135-8F9096BB9E91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$700 21/03/2025</t>
        </r>
      </text>
    </comment>
    <comment ref="F613" authorId="2" shapeId="0" xr:uid="{D28010EC-E413-48A2-AE07-1977F0BBC26A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$1200 21/06/2025</t>
        </r>
      </text>
    </comment>
    <comment ref="F614" authorId="2" shapeId="0" xr:uid="{8CC54F7F-5B56-496F-9E7D-505DA8670021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$1000 22/06/2025</t>
        </r>
      </text>
    </comment>
    <comment ref="K614" authorId="2" shapeId="0" xr:uid="{896B4943-D662-4033-AF43-53BA77A90286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$100 VS CORRIENTE
$350 MC CORRIENTE
$50 MC CORRIENTE</t>
        </r>
      </text>
    </comment>
    <comment ref="F615" authorId="2" shapeId="0" xr:uid="{3A960B30-39AA-4BB1-9BD1-E1E873856069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$1390 22/06/2025</t>
        </r>
      </text>
    </comment>
    <comment ref="K615" authorId="2" shapeId="0" xr:uid="{8427042C-9C69-491B-9520-4F5240B6FB0B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$100 MC CORRIENTE
$200 MC CORRIENTE
$300 MC CORRIENTE</t>
        </r>
      </text>
    </comment>
    <comment ref="F620" authorId="2" shapeId="0" xr:uid="{53085305-49FA-4332-AEF6-64936A15610C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$1590 27/03/2025</t>
        </r>
      </text>
    </comment>
    <comment ref="K620" authorId="2" shapeId="0" xr:uid="{7523B67B-46A4-46DE-A2D0-313215CB48B8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$700 ISS
$700 MEDIANET ORO VERDE</t>
        </r>
      </text>
    </comment>
    <comment ref="F623" authorId="2" shapeId="0" xr:uid="{FDA6D1FA-EDD5-48BB-96EB-2903C50848AB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$1990 28/03/2025</t>
        </r>
      </text>
    </comment>
    <comment ref="F626" authorId="2" shapeId="0" xr:uid="{1A96361D-DC18-419B-843C-F8070434EC27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$2490 27/03/2029</t>
        </r>
      </text>
    </comment>
    <comment ref="F628" authorId="2" shapeId="0" xr:uid="{98C6E11E-B413-4A86-B576-80562CDC080C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$900 EN CUOTAS DE $25 A PARTIR DE MAYO 2025</t>
        </r>
      </text>
    </comment>
    <comment ref="F632" authorId="2" shapeId="0" xr:uid="{8145EAC3-8C12-4A47-AD93-571693E2C87B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$1000 EN PAGARÉ QUE NO ESTÁ</t>
        </r>
      </text>
    </comment>
    <comment ref="F634" authorId="2" shapeId="0" xr:uid="{E65170B7-7E1F-4547-95C3-1460C5D09F0D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$1490 5/04/2025</t>
        </r>
      </text>
    </comment>
    <comment ref="F635" authorId="2" shapeId="0" xr:uid="{258F2D0C-D08F-428F-A656-099423E3365E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$650 19 DE ABRIL 2025</t>
        </r>
      </text>
    </comment>
    <comment ref="F636" authorId="2" shapeId="0" xr:uid="{B3DDF48C-DB06-4E25-8E33-D28E905B30D3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$725 36 CUOTAS DE $20.13 A PARTIR DEL 09/05/2025</t>
        </r>
      </text>
    </comment>
    <comment ref="K638" authorId="2" shapeId="0" xr:uid="{F437BCFB-9325-4EB2-9EBC-18CB69DAEDE8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$1000 PAYPHONE
$1000 PAYPHONE
$990 MC CORRIENTE KEMPERY</t>
        </r>
      </text>
    </comment>
    <comment ref="F640" authorId="2" shapeId="0" xr:uid="{C44177F0-B1AE-433F-AA62-33FB03095E45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11/10/2025 $2740</t>
        </r>
      </text>
    </comment>
    <comment ref="F641" authorId="2" shapeId="0" xr:uid="{F7F69D11-44D4-44F2-B37F-702D42B2027B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$500 12/07/2025</t>
        </r>
      </text>
    </comment>
    <comment ref="F643" authorId="2" shapeId="0" xr:uid="{62004912-D0D0-4A54-86F0-9A2B15CE2620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$300 22/10/2025</t>
        </r>
      </text>
    </comment>
    <comment ref="F645" authorId="2" shapeId="0" xr:uid="{0C889C4E-04FB-46E4-929D-8B53685EF408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$2390 24/08/2025</t>
        </r>
      </text>
    </comment>
    <comment ref="F646" authorId="2" shapeId="0" xr:uid="{E62A7DF3-975C-4EC1-88D5-656911D09947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$700 06/05/2025
$1290 EN CRÉDITO DIRECTO</t>
        </r>
      </text>
    </comment>
    <comment ref="F648" authorId="2" shapeId="0" xr:uid="{175B5E6C-6224-49F7-8C46-C953F651CEA5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$400 28/07/2025</t>
        </r>
      </text>
    </comment>
    <comment ref="J648" authorId="2" shapeId="0" xr:uid="{896302A8-D93A-40CC-8B45-7A442E0755DF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$300 PAYPHONE ZINDY
$300 ISS</t>
        </r>
      </text>
    </comment>
    <comment ref="F653" authorId="2" shapeId="0" xr:uid="{1A92653A-1AAE-48C0-8F51-E8BCA37B6819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$300 28 JULIO 2025</t>
        </r>
      </text>
    </comment>
    <comment ref="K653" authorId="2" shapeId="0" xr:uid="{0CD8BE86-1F1E-427C-98C0-1807B775C71D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300$ DN DIF 12M
100$ TRANSFER</t>
        </r>
      </text>
    </comment>
    <comment ref="F654" authorId="2" shapeId="0" xr:uid="{DF4A2C14-A5C8-4384-AE79-7A88A11FD90C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6 CUOTAS DE $91.66 29 DE CADA MES </t>
        </r>
      </text>
    </comment>
    <comment ref="F659" authorId="2" shapeId="0" xr:uid="{D4D9A56B-1905-459D-BB69-034C70E68E23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$1500 30/04/2025</t>
        </r>
      </text>
    </comment>
    <comment ref="K660" authorId="2" shapeId="0" xr:uid="{14E397EC-3ED3-4877-84E3-FE4DF09BC1AF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100 VS CORRIENTE
300 DN DIF 12</t>
        </r>
      </text>
    </comment>
    <comment ref="K661" authorId="2" shapeId="0" xr:uid="{45FAE216-8570-4E03-9C16-7751ED77725B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$1500 VS CORRIENTE
$6490 TRANSFERENCIA</t>
        </r>
      </text>
    </comment>
    <comment ref="F663" authorId="2" shapeId="0" xr:uid="{0884C1F3-75D2-4F5D-BE4C-CF4B74889EE8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$6000 02/05/2025</t>
        </r>
      </text>
    </comment>
    <comment ref="J663" authorId="2" shapeId="0" xr:uid="{6190D885-BD59-40DB-873B-AE09997F766B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$1000 PAYPHONE ZINDY
$500 TRAVELING
$300 KEMPERY</t>
        </r>
      </text>
    </comment>
    <comment ref="K667" authorId="2" shapeId="0" xr:uid="{2B49949F-3B89-4969-BD6D-291119BDECA6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$500 MC CORRIENTE
$200 VS DIF 12M</t>
        </r>
      </text>
    </comment>
    <comment ref="F668" authorId="2" shapeId="0" xr:uid="{AD9C44FF-7132-45F6-B40E-30EAFFD5F270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$500 08/05/2025
$1190 08/01/2026</t>
        </r>
      </text>
    </comment>
    <comment ref="F673" authorId="2" shapeId="0" xr:uid="{9B72319F-1DB9-4247-83E3-18528FE5924D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$500 16/05/2025
$2190 09/01/2026</t>
        </r>
      </text>
    </comment>
    <comment ref="F674" authorId="2" shapeId="0" xr:uid="{345E0B1F-30E7-40D1-904E-25335137E406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$1000 09/11/2025</t>
        </r>
      </text>
    </comment>
    <comment ref="F681" authorId="2" shapeId="0" xr:uid="{E7B2A130-4F92-42EB-B977-09CEBF9B7CE9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$2990 EN CUOTAS DE $83,05 EN 36 CUOTAS 25 DE CADA MES</t>
        </r>
      </text>
    </comment>
    <comment ref="F683" authorId="2" shapeId="0" xr:uid="{3467E332-8E8E-4597-B9EB-F69391864681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$700 15/11/2025</t>
        </r>
      </text>
    </comment>
    <comment ref="F684" authorId="2" shapeId="0" xr:uid="{E48FA510-041B-4CC7-B1A9-06AAEAAFC508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$1990 16/05/2025</t>
        </r>
      </text>
    </comment>
    <comment ref="F687" authorId="2" shapeId="0" xr:uid="{5BC99581-4DF7-4887-AB74-1F6BF3D29947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$3990 19/05/2025</t>
        </r>
      </text>
    </comment>
    <comment ref="F688" authorId="2" shapeId="0" xr:uid="{517FE081-4170-43DE-A97A-14BEC305FD49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Juan Carlos Rios GAMES:
$500 17/05/2025
$4740 19/05/2025</t>
        </r>
      </text>
    </comment>
    <comment ref="F689" authorId="2" shapeId="0" xr:uid="{BC54275F-D695-438B-BABE-3D85BE3F047E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$990 17/08/2025</t>
        </r>
      </text>
    </comment>
    <comment ref="F695" authorId="2" shapeId="0" xr:uid="{97F3ABB9-03D9-44DE-B038-A7E898AF8AB1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350$ 22/05/2025
650$ 22/08/2025</t>
        </r>
      </text>
    </comment>
    <comment ref="F699" authorId="2" shapeId="0" xr:uid="{4B30B8F7-5EEA-4F93-B09D-87FC0629C8A0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$1250 30/12/2025</t>
        </r>
      </text>
    </comment>
    <comment ref="K711" authorId="2" shapeId="0" xr:uid="{7D284FBB-73A8-483E-9984-99868A8BB146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$700 VS DIF 12M
$250 MC DIF 12M</t>
        </r>
      </text>
    </comment>
    <comment ref="K713" authorId="2" shapeId="0" xr:uid="{8210730B-3797-4FE8-9051-ACEEFBC1E0D1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MC $2199
VS $1000 </t>
        </r>
      </text>
    </comment>
    <comment ref="K723" authorId="2" shapeId="0" xr:uid="{668759A6-88BB-46A5-A210-A9B1374EDDBA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$490 MS Produbanco 
$5500 VS Pacifico Corriente ($1000+3000+1500)</t>
        </r>
      </text>
    </comment>
    <comment ref="K728" authorId="2" shapeId="0" xr:uid="{7EE66D06-4A0C-4B37-8E2F-D9691E078080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VS $300
VS $100
VS $200  </t>
        </r>
      </text>
    </comment>
    <comment ref="N728" authorId="2" shapeId="0" xr:uid="{F6781826-4EA9-4D36-B881-5DF33474D5F4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VS $300
VS $100 
VS $200 </t>
        </r>
      </text>
    </comment>
    <comment ref="N730" authorId="2" shapeId="0" xr:uid="{443E92ED-D991-412B-9588-AAC3DCBF600B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MS Prod $1000
MS Prod $500 </t>
        </r>
      </text>
    </comment>
    <comment ref="N731" authorId="2" shapeId="0" xr:uid="{86109D53-1D31-4706-A0D1-A90EE54A7135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VS  Pich Corriente $200 
VS Pich Corriente $500 </t>
        </r>
      </text>
    </comment>
    <comment ref="K743" authorId="2" shapeId="0" xr:uid="{6923AC18-CC46-45A2-974C-5DD236A98CCC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$1000 TC MC PACF CORRIENTE 
$2990 TRANS BANC </t>
        </r>
      </text>
    </comment>
    <comment ref="K754" authorId="2" shapeId="0" xr:uid="{831BD493-1E09-49A0-AEB7-C220DF5A7122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$3050 VS BOL DATALINK 
$1000 VS PICH CORRI </t>
        </r>
      </text>
    </comment>
    <comment ref="K755" authorId="2" shapeId="0" xr:uid="{4B81A830-1E7C-44D8-9536-7174459B5B44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$300 VS BGR CORR 
$1200 DINERS C DIF24 </t>
        </r>
      </text>
    </comment>
    <comment ref="K763" authorId="2" shapeId="0" xr:uid="{556A2FD2-E219-4666-BA6D-58CEA3620739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Efectivo $250</t>
        </r>
      </text>
    </comment>
    <comment ref="N764" authorId="2" shapeId="0" xr:uid="{5C124F33-2EB2-438E-8DA0-69B62F02CA77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Se asumen 3 cuotas de $83</t>
        </r>
      </text>
    </comment>
    <comment ref="N765" authorId="2" shapeId="0" xr:uid="{CF7E7D4E-64EE-442B-BA70-E2C5CDDF4ED5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Ingresó con $800</t>
        </r>
      </text>
    </comment>
    <comment ref="N769" authorId="2" shapeId="0" xr:uid="{BE55B748-7585-4433-9FF8-83AAC0E565E6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$100 VS Titanium Corriente 
$300 VS Titanium Dif12m</t>
        </r>
      </text>
    </comment>
    <comment ref="N770" authorId="2" shapeId="0" xr:uid="{5F272D10-1757-4EAD-800B-947A7AFBDD8B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$100 Diners Club Corr 
$300 Diners Club Dif12M </t>
        </r>
      </text>
    </comment>
    <comment ref="K776" authorId="2" shapeId="0" xr:uid="{F3120D68-4C2E-4510-809B-C1E338F04656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$1290 Diners Club Dif24M 
$700 MC Pich Corr </t>
        </r>
      </text>
    </comment>
    <comment ref="N783" authorId="2" shapeId="0" xr:uid="{A507DC3F-19D7-4B76-89C3-2FD05BAAE4C3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$1000 Diners Club
$450 VS Bol Datalink traveling</t>
        </r>
      </text>
    </comment>
    <comment ref="N788" authorId="2" shapeId="0" xr:uid="{AAEFC169-D7A5-43B5-8845-AA03F39D2F54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$500 VS Titanium Dif24m 
$200 MC Pacifico Corr Payphone </t>
        </r>
      </text>
    </comment>
    <comment ref="N795" authorId="2" shapeId="0" xr:uid="{997A7F7E-572F-4FB6-B9E1-57686B793718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$500 VS Titanium Mod - Kempery 
$1.800 America Express Datalink traveling 
$ 690 MC Bolivariano Datalink traveling</t>
        </r>
      </text>
    </comment>
    <comment ref="N796" authorId="2" shapeId="0" xr:uid="{87EED61E-D3FA-4ECF-94E2-014CBB7D7943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VS Titanium $300
VS Titanium $300
VS Titanium $300 </t>
        </r>
      </text>
    </comment>
    <comment ref="N797" authorId="2" shapeId="0" xr:uid="{EC898342-1E68-4E16-B1DC-1E9C147134F6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$600 VS Titanium DIF12M
$300 VS Titanium Modalidad Corr </t>
        </r>
      </text>
    </comment>
    <comment ref="N802" authorId="2" shapeId="0" xr:uid="{0ECB9828-9A16-4ED3-B7B8-854A09987A6B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$500 American Express Corr
$500 MC Pacf Corr PayPhone </t>
        </r>
      </text>
    </comment>
    <comment ref="N805" authorId="2" shapeId="0" xr:uid="{A9B18DD8-860B-4BD7-B7D8-72AC82C07ACB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$500 Kempery 
$1000 Kempery </t>
        </r>
      </text>
    </comment>
    <comment ref="N806" authorId="2" shapeId="0" xr:uid="{507DFBE2-51E6-4588-959B-5BF7AAD0A263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$500 Payphone Zindy 
$550 Payphone Zindy </t>
        </r>
      </text>
    </comment>
    <comment ref="N808" authorId="2" shapeId="0" xr:uid="{65D97CA8-A74B-4F65-907E-60DF95DECA92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$1000 Kempery </t>
        </r>
      </text>
    </comment>
    <comment ref="N810" authorId="2" shapeId="0" xr:uid="{0B31C9DC-7FAA-405D-AA53-E257C9358D40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$200 VS AUS- </t>
        </r>
        <r>
          <rPr>
            <b/>
            <sz val="9"/>
            <color indexed="81"/>
            <rFont val="Tahoma"/>
            <family val="2"/>
          </rPr>
          <t xml:space="preserve">Payphone 
</t>
        </r>
        <r>
          <rPr>
            <sz val="9"/>
            <color indexed="81"/>
            <rFont val="Tahoma"/>
            <family val="2"/>
          </rPr>
          <t xml:space="preserve">$500  - </t>
        </r>
        <r>
          <rPr>
            <b/>
            <sz val="9"/>
            <color indexed="81"/>
            <rFont val="Tahoma"/>
            <family val="2"/>
          </rPr>
          <t>Kempery</t>
        </r>
        <r>
          <rPr>
            <sz val="9"/>
            <color indexed="81"/>
            <rFont val="Tahoma"/>
            <family val="2"/>
          </rPr>
          <t xml:space="preserve"> 
$1000 - </t>
        </r>
        <r>
          <rPr>
            <b/>
            <sz val="9"/>
            <color indexed="81"/>
            <rFont val="Tahoma"/>
            <family val="2"/>
          </rPr>
          <t>Kempery</t>
        </r>
      </text>
    </comment>
    <comment ref="N811" authorId="2" shapeId="0" xr:uid="{C1400BE7-9948-48AE-8F6D-D6755CA00157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$2990 VS Titanium Dif 24M - </t>
        </r>
        <r>
          <rPr>
            <b/>
            <sz val="9"/>
            <color indexed="81"/>
            <rFont val="Tahoma"/>
            <family val="2"/>
          </rPr>
          <t>Kempery</t>
        </r>
      </text>
    </comment>
    <comment ref="N812" authorId="2" shapeId="0" xr:uid="{27FA9D1D-CF38-4E6C-8326-27A4A67ED8DB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$2500 - Kempery
$2490 - Kempery </t>
        </r>
      </text>
    </comment>
    <comment ref="N813" authorId="2" shapeId="0" xr:uid="{137C16B1-7FFF-41ED-ADD7-DD624F8CAD1E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$2650 - Kempery </t>
        </r>
      </text>
    </comment>
    <comment ref="N814" authorId="2" shapeId="0" xr:uid="{5FC24983-4E9B-45D7-AB53-7434682C7BCF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$1990 - </t>
        </r>
        <r>
          <rPr>
            <b/>
            <sz val="9"/>
            <color indexed="81"/>
            <rFont val="Tahoma"/>
            <family val="2"/>
          </rPr>
          <t xml:space="preserve">Kempery </t>
        </r>
      </text>
    </comment>
    <comment ref="N815" authorId="2" shapeId="0" xr:uid="{94D54B40-1A68-4C5D-96A5-D216AF909C0E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$6990 - </t>
        </r>
        <r>
          <rPr>
            <b/>
            <sz val="9"/>
            <color indexed="81"/>
            <rFont val="Tahoma"/>
            <family val="2"/>
          </rPr>
          <t xml:space="preserve">Kempery </t>
        </r>
      </text>
    </comment>
    <comment ref="N816" authorId="2" shapeId="0" xr:uid="{DDB00282-E688-4345-9B9D-7512711CFAB1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$1200 - </t>
        </r>
        <r>
          <rPr>
            <b/>
            <sz val="9"/>
            <color indexed="81"/>
            <rFont val="Tahoma"/>
            <family val="2"/>
          </rPr>
          <t>Kempery</t>
        </r>
      </text>
    </comment>
    <comment ref="N817" authorId="2" shapeId="0" xr:uid="{6D3570A9-C79F-4D34-86C1-A563FB956782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$1050 - </t>
        </r>
        <r>
          <rPr>
            <b/>
            <sz val="9"/>
            <color indexed="81"/>
            <rFont val="Tahoma"/>
            <family val="2"/>
          </rPr>
          <t>Kempery</t>
        </r>
      </text>
    </comment>
    <comment ref="N818" authorId="2" shapeId="0" xr:uid="{AC83157D-F22A-4617-9A16-5BB281A8055A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$1000 - </t>
        </r>
        <r>
          <rPr>
            <b/>
            <sz val="9"/>
            <color indexed="81"/>
            <rFont val="Tahoma"/>
            <family val="2"/>
          </rPr>
          <t xml:space="preserve">Kempery </t>
        </r>
      </text>
    </comment>
    <comment ref="N820" authorId="2" shapeId="0" xr:uid="{2EE1F182-02A3-447F-988C-553899A23A2B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$600 - </t>
        </r>
        <r>
          <rPr>
            <b/>
            <sz val="9"/>
            <color indexed="81"/>
            <rFont val="Tahoma"/>
            <family val="2"/>
          </rPr>
          <t>Kempery</t>
        </r>
      </text>
    </comment>
    <comment ref="N821" authorId="2" shapeId="0" xr:uid="{91AB5B05-CE4F-4DD4-9D8C-6EA7A46C9467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$600 - </t>
        </r>
        <r>
          <rPr>
            <b/>
            <sz val="9"/>
            <color indexed="81"/>
            <rFont val="Tahoma"/>
            <family val="2"/>
          </rPr>
          <t>Kempery</t>
        </r>
      </text>
    </comment>
    <comment ref="N822" authorId="2" shapeId="0" xr:uid="{FC39814E-A196-4FC5-9AA6-7CAD5EE921D6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$1500 - </t>
        </r>
        <r>
          <rPr>
            <b/>
            <sz val="9"/>
            <color indexed="81"/>
            <rFont val="Tahoma"/>
            <family val="2"/>
          </rPr>
          <t>Kempery</t>
        </r>
      </text>
    </comment>
    <comment ref="N823" authorId="2" shapeId="0" xr:uid="{D9C68F51-23F3-43E9-9D32-320EBE2B5C52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$250 - </t>
        </r>
        <r>
          <rPr>
            <b/>
            <sz val="9"/>
            <color indexed="81"/>
            <rFont val="Tahoma"/>
            <family val="2"/>
          </rPr>
          <t>Kempery</t>
        </r>
      </text>
    </comment>
    <comment ref="N824" authorId="2" shapeId="0" xr:uid="{251E7249-EFCE-4184-A0C7-6D2BCFB29016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$1000 </t>
        </r>
        <r>
          <rPr>
            <b/>
            <sz val="9"/>
            <color indexed="81"/>
            <rFont val="Tahoma"/>
            <family val="2"/>
          </rPr>
          <t xml:space="preserve">Kempery </t>
        </r>
        <r>
          <rPr>
            <sz val="9"/>
            <color indexed="81"/>
            <rFont val="Tahoma"/>
            <family val="2"/>
          </rPr>
          <t xml:space="preserve">
$300 </t>
        </r>
        <r>
          <rPr>
            <b/>
            <sz val="9"/>
            <color indexed="81"/>
            <rFont val="Tahoma"/>
            <family val="2"/>
          </rPr>
          <t xml:space="preserve">Kempery </t>
        </r>
        <r>
          <rPr>
            <sz val="9"/>
            <color indexed="81"/>
            <rFont val="Tahoma"/>
            <family val="2"/>
          </rPr>
          <t xml:space="preserve">
$1690 </t>
        </r>
        <r>
          <rPr>
            <b/>
            <sz val="9"/>
            <color indexed="81"/>
            <rFont val="Tahoma"/>
            <family val="2"/>
          </rPr>
          <t>Link de Pago Kempery</t>
        </r>
        <r>
          <rPr>
            <sz val="9"/>
            <color indexed="81"/>
            <rFont val="Tahoma"/>
            <family val="2"/>
          </rPr>
          <t xml:space="preserve">
$1000 </t>
        </r>
        <r>
          <rPr>
            <b/>
            <sz val="9"/>
            <color indexed="81"/>
            <rFont val="Tahoma"/>
            <family val="2"/>
          </rPr>
          <t xml:space="preserve">Link de Pago Kempery </t>
        </r>
      </text>
    </comment>
    <comment ref="N825" authorId="2" shapeId="0" xr:uid="{243D4EB5-2DA4-4678-A8DD-5B99CD3C3DA8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$700 - </t>
        </r>
        <r>
          <rPr>
            <b/>
            <sz val="9"/>
            <color indexed="81"/>
            <rFont val="Tahoma"/>
            <family val="2"/>
          </rPr>
          <t>Kempery</t>
        </r>
        <r>
          <rPr>
            <sz val="9"/>
            <color indexed="81"/>
            <rFont val="Tahoma"/>
            <family val="2"/>
          </rPr>
          <t xml:space="preserve"> 
$350 - </t>
        </r>
        <r>
          <rPr>
            <b/>
            <sz val="9"/>
            <color indexed="81"/>
            <rFont val="Tahoma"/>
            <family val="2"/>
          </rPr>
          <t>Kempery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N827" authorId="2" shapeId="0" xr:uid="{9053778E-31CC-48CD-8C37-55DD9DA616BF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$3.010 - </t>
        </r>
        <r>
          <rPr>
            <b/>
            <sz val="9"/>
            <color indexed="81"/>
            <rFont val="Tahoma"/>
            <family val="2"/>
          </rPr>
          <t>Kempery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N828" authorId="2" shapeId="0" xr:uid="{59FB86FE-7ADE-4ABA-8B41-F19936E9FA19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$800 - </t>
        </r>
        <r>
          <rPr>
            <b/>
            <sz val="9"/>
            <color indexed="81"/>
            <rFont val="Tahoma"/>
            <family val="2"/>
          </rPr>
          <t>KMP TRAVEL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N830" authorId="2" shapeId="0" xr:uid="{386F9B40-2810-4C6D-AB69-D0DD7CB77930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$200 - </t>
        </r>
        <r>
          <rPr>
            <b/>
            <sz val="9"/>
            <color indexed="81"/>
            <rFont val="Tahoma"/>
            <family val="2"/>
          </rPr>
          <t xml:space="preserve">Kempery </t>
        </r>
      </text>
    </comment>
    <comment ref="N831" authorId="2" shapeId="0" xr:uid="{144A0152-4E52-4769-90EA-88688B1E4055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$1000 - </t>
        </r>
        <r>
          <rPr>
            <b/>
            <sz val="9"/>
            <color indexed="81"/>
            <rFont val="Tahoma"/>
            <family val="2"/>
          </rPr>
          <t>Kempery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N832" authorId="2" shapeId="0" xr:uid="{3AA56B19-75A4-47F4-8A8D-3BAE9CEF16BA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$700 - </t>
        </r>
        <r>
          <rPr>
            <b/>
            <sz val="9"/>
            <color indexed="81"/>
            <rFont val="Tahoma"/>
            <family val="2"/>
          </rPr>
          <t>KMP Travel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N833" authorId="2" shapeId="0" xr:uid="{14EB4635-EE85-4CA4-AD2B-FD1C8951D5E7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$250 - </t>
        </r>
        <r>
          <rPr>
            <b/>
            <sz val="9"/>
            <color indexed="81"/>
            <rFont val="Tahoma"/>
            <family val="2"/>
          </rPr>
          <t xml:space="preserve">Kempery </t>
        </r>
      </text>
    </comment>
    <comment ref="N834" authorId="2" shapeId="0" xr:uid="{81FAADB4-1400-4517-9239-AB0AD44BE218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$500 - </t>
        </r>
        <r>
          <rPr>
            <b/>
            <sz val="9"/>
            <color indexed="81"/>
            <rFont val="Tahoma"/>
            <family val="2"/>
          </rPr>
          <t>Importaciones RCC</t>
        </r>
        <r>
          <rPr>
            <sz val="9"/>
            <color indexed="81"/>
            <rFont val="Tahoma"/>
            <family val="2"/>
          </rPr>
          <t xml:space="preserve">
$500 - I</t>
        </r>
        <r>
          <rPr>
            <b/>
            <sz val="9"/>
            <color indexed="81"/>
            <rFont val="Tahoma"/>
            <family val="2"/>
          </rPr>
          <t>mportaciones RCC</t>
        </r>
        <r>
          <rPr>
            <sz val="9"/>
            <color indexed="81"/>
            <rFont val="Tahoma"/>
            <family val="2"/>
          </rPr>
          <t xml:space="preserve">
$500 - I</t>
        </r>
        <r>
          <rPr>
            <b/>
            <sz val="9"/>
            <color indexed="81"/>
            <rFont val="Tahoma"/>
            <family val="2"/>
          </rPr>
          <t xml:space="preserve">mportaciones RCC </t>
        </r>
      </text>
    </comment>
    <comment ref="N835" authorId="2" shapeId="0" xr:uid="{4B374609-01F9-409B-961F-4BC5CDDE15AE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$1.990 - </t>
        </r>
        <r>
          <rPr>
            <b/>
            <sz val="9"/>
            <color indexed="81"/>
            <rFont val="Tahoma"/>
            <family val="2"/>
          </rPr>
          <t>Kempery</t>
        </r>
      </text>
    </comment>
    <comment ref="N836" authorId="2" shapeId="0" xr:uid="{3928E50C-538B-464E-92FC-893C7D26876E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$4,350 - </t>
        </r>
        <r>
          <rPr>
            <b/>
            <sz val="9"/>
            <color indexed="81"/>
            <rFont val="Tahoma"/>
            <family val="2"/>
          </rPr>
          <t>KMP Trave</t>
        </r>
        <r>
          <rPr>
            <sz val="9"/>
            <color indexed="81"/>
            <rFont val="Tahoma"/>
            <family val="2"/>
          </rPr>
          <t>l</t>
        </r>
      </text>
    </comment>
    <comment ref="N837" authorId="2" shapeId="0" xr:uid="{357AB008-9058-468F-A8F9-5C264A01872D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$200 - </t>
        </r>
        <r>
          <rPr>
            <b/>
            <sz val="9"/>
            <color indexed="81"/>
            <rFont val="Tahoma"/>
            <family val="2"/>
          </rPr>
          <t xml:space="preserve">Kempery </t>
        </r>
        <r>
          <rPr>
            <sz val="9"/>
            <color indexed="81"/>
            <rFont val="Tahoma"/>
            <family val="2"/>
          </rPr>
          <t xml:space="preserve">
$500 - </t>
        </r>
        <r>
          <rPr>
            <b/>
            <sz val="9"/>
            <color indexed="81"/>
            <rFont val="Tahoma"/>
            <family val="2"/>
          </rPr>
          <t xml:space="preserve">Kempery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838" authorId="2" shapeId="0" xr:uid="{4212C4BF-F764-4659-A2BF-CE72F7CDE46D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$2.490 - </t>
        </r>
        <r>
          <rPr>
            <b/>
            <sz val="9"/>
            <color indexed="81"/>
            <rFont val="Tahoma"/>
            <family val="2"/>
          </rPr>
          <t>Kempery</t>
        </r>
      </text>
    </comment>
    <comment ref="N840" authorId="2" shapeId="0" xr:uid="{4B1E9C2A-9309-4AE5-8335-8D5A98E1C75B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$1.050 - </t>
        </r>
        <r>
          <rPr>
            <b/>
            <sz val="9"/>
            <color indexed="81"/>
            <rFont val="Tahoma"/>
            <family val="2"/>
          </rPr>
          <t xml:space="preserve">KMP - Travel </t>
        </r>
      </text>
    </comment>
    <comment ref="N841" authorId="2" shapeId="0" xr:uid="{6D4F9D8E-B165-49D7-9AC1-FD577F9ED022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$1000 - KMP Travel 
$1990 - KMP Travel </t>
        </r>
      </text>
    </comment>
    <comment ref="N842" authorId="2" shapeId="0" xr:uid="{588F3E82-B9D9-4905-9EBE-EB82903AABB3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$750 - KMP - Travel </t>
        </r>
      </text>
    </comment>
    <comment ref="N843" authorId="2" shapeId="0" xr:uid="{DB37A565-C648-4242-B675-D459670E5E29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$5.340 - KMPTravel </t>
        </r>
      </text>
    </comment>
    <comment ref="N844" authorId="2" shapeId="0" xr:uid="{4A2AE5FC-0682-4F7D-9DD4-09E9FEB7DEA6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$1000 - KMP Travel 
$1,990 - KMP - Travel </t>
        </r>
      </text>
    </comment>
    <comment ref="N845" authorId="2" shapeId="0" xr:uid="{5FD84984-AA45-47FA-A749-9CECDEE0B173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$1,050 - KMP Travel </t>
        </r>
      </text>
    </comment>
    <comment ref="N846" authorId="2" shapeId="0" xr:uid="{F51C470D-2BD9-4695-B7A3-97A5945BEB06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$5,990 - Kempery World </t>
        </r>
      </text>
    </comment>
    <comment ref="N847" authorId="2" shapeId="0" xr:uid="{5F917240-0E0D-4A5F-AB2D-C0AE9C1ABBA4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$1000 - KMP Travel </t>
        </r>
      </text>
    </comment>
    <comment ref="N848" authorId="2" shapeId="0" xr:uid="{6B79608E-A38C-4A47-A357-8638007274A4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$1,000 - Kempery 
$1,990 - Kempery </t>
        </r>
      </text>
    </comment>
    <comment ref="N849" authorId="2" shapeId="0" xr:uid="{2171490D-DDA1-4229-AE49-49D4F9BA2B29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$100 - Kempery 
$300 - Kempery 
</t>
        </r>
      </text>
    </comment>
    <comment ref="N850" authorId="2" shapeId="0" xr:uid="{8E9A7156-D725-4BFD-875E-3F1FEEE2DB0A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$300 - Transferencia Pichincha
$200 - Efectivo 
</t>
        </r>
        <r>
          <rPr>
            <b/>
            <sz val="9"/>
            <color indexed="81"/>
            <rFont val="Tahoma"/>
            <family val="2"/>
          </rPr>
          <t xml:space="preserve">CONTRATO ANULADO </t>
        </r>
      </text>
    </comment>
    <comment ref="N851" authorId="2" shapeId="0" xr:uid="{5C1E2491-F829-4052-93C2-CE3BE83655FC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$300 - Kempery 
$300 - Kempery </t>
        </r>
      </text>
    </comment>
    <comment ref="N852" authorId="2" shapeId="0" xr:uid="{5FECF701-30E9-407E-BA42-2D883E23C581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$300 - Kempery 
$300 - Kempery 
$100 - Kempery </t>
        </r>
      </text>
    </comment>
    <comment ref="N853" authorId="2" shapeId="0" xr:uid="{97795E6B-D922-4E58-BFB9-288FB29DCBE4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$1000 - Importaciones RCC</t>
        </r>
      </text>
    </comment>
    <comment ref="N854" authorId="2" shapeId="0" xr:uid="{287AB2D8-2408-4290-B564-280A0DF2C61A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$2000 - Kempery 
$1990 - Transferencia Bancaria  </t>
        </r>
      </text>
    </comment>
    <comment ref="N855" authorId="2" shapeId="0" xr:uid="{8AD55314-31D2-4B85-B1D7-3DFD614B4C35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$2,990 - Kempery </t>
        </r>
      </text>
    </comment>
    <comment ref="N856" authorId="2" shapeId="0" xr:uid="{46C5AAF9-A8DB-4FD2-A0B5-01AD3A98E52D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$700 - Kempery </t>
        </r>
      </text>
    </comment>
    <comment ref="N857" authorId="2" shapeId="0" xr:uid="{DA8A5317-EC50-4391-8456-D103D8052269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$700 - Kempery </t>
        </r>
      </text>
    </comment>
    <comment ref="N858" authorId="2" shapeId="0" xr:uid="{A460AB81-6E47-448B-B61D-FE0B9CB5A670}">
      <text>
        <r>
          <rPr>
            <b/>
            <sz val="9"/>
            <color indexed="81"/>
            <rFont val="Tahoma"/>
            <family val="2"/>
          </rPr>
          <t xml:space="preserve">Juan Carlos Rios GAMES:
</t>
        </r>
        <r>
          <rPr>
            <sz val="9"/>
            <color indexed="81"/>
            <rFont val="Tahoma"/>
            <family val="2"/>
          </rPr>
          <t xml:space="preserve">$1,150 -Kempery </t>
        </r>
      </text>
    </comment>
    <comment ref="N859" authorId="2" shapeId="0" xr:uid="{53CBB624-386B-4E03-AB1A-98B1F9BAEB61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$3,990 - Kempery 
$2,000 - KMP
$3,000 - Importaciones RCC </t>
        </r>
      </text>
    </comment>
    <comment ref="N860" authorId="2" shapeId="0" xr:uid="{B3710F7A-02C8-4E67-AEB3-5DFF1FD600AA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$1,990 - Kempery </t>
        </r>
      </text>
    </comment>
    <comment ref="N861" authorId="2" shapeId="0" xr:uid="{7BC25D0A-9D45-4819-965C-33C6F619475F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$700 - KMP Travel </t>
        </r>
      </text>
    </comment>
    <comment ref="N862" authorId="2" shapeId="0" xr:uid="{0768D9C0-C2EA-4932-90B1-2535B419C01C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$1000 - KMP Travel </t>
        </r>
      </text>
    </comment>
    <comment ref="N863" authorId="2" shapeId="0" xr:uid="{A18392BD-6E9C-4C65-AFC8-DFF49CD9E18B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$300 - Kempery 
$500 - Kempery </t>
        </r>
      </text>
    </comment>
    <comment ref="N864" authorId="2" shapeId="0" xr:uid="{344F9F2C-4C9E-4A3F-926E-ED263A02A863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$700 - KMP</t>
        </r>
      </text>
    </comment>
    <comment ref="N865" authorId="2" shapeId="0" xr:uid="{294A5322-8647-4307-ACD5-F215C930A689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$200 - Kempery 
$300 - Kempery </t>
        </r>
      </text>
    </comment>
    <comment ref="N866" authorId="2" shapeId="0" xr:uid="{558F37EA-B7F7-47C9-87FB-8225FD1CC655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$700 - Kempery </t>
        </r>
      </text>
    </comment>
    <comment ref="N867" authorId="2" shapeId="0" xr:uid="{270542DA-F549-4CBB-9764-484BCE9C32D2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$1150 - Importaciones RCC</t>
        </r>
      </text>
    </comment>
    <comment ref="N868" authorId="2" shapeId="0" xr:uid="{F3AED70C-883F-483B-8686-244814762E8B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$700 - Kempery </t>
        </r>
      </text>
    </comment>
    <comment ref="N869" authorId="2" shapeId="0" xr:uid="{521CC614-325F-4417-9DBC-C17A1AE4F992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$700 - Kempery </t>
        </r>
      </text>
    </comment>
    <comment ref="N870" authorId="2" shapeId="0" xr:uid="{D65E97C2-DD7D-41AD-A120-BD5FFCA6B5CC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$700 - Kempery </t>
        </r>
      </text>
    </comment>
    <comment ref="N871" authorId="2" shapeId="0" xr:uid="{90BF2D91-69F9-4C1A-8D59-135BE61CA612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$1,300 - KMP </t>
        </r>
      </text>
    </comment>
    <comment ref="N872" authorId="2" shapeId="0" xr:uid="{7F952203-A68B-44E3-8651-85D77C8AAB8B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$2,990 - KEMPERY </t>
        </r>
      </text>
    </comment>
    <comment ref="K873" authorId="2" shapeId="0" xr:uid="{0B8A5319-94F2-4623-83F1-6189AC239FDD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MC PRODU CORR 
MC PACIF CORRR </t>
        </r>
      </text>
    </comment>
    <comment ref="N873" authorId="2" shapeId="0" xr:uid="{646EA800-7315-4970-91F3-7BF1BFF56D09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$300 - KMP TRAVEL 
$300 - KEMPERY 
$300 - ZINDY </t>
        </r>
      </text>
    </comment>
    <comment ref="N874" authorId="2" shapeId="0" xr:uid="{609BB05B-0AE9-4A4E-B6DA-99B6ECA449B9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$1,990 - Kempery </t>
        </r>
      </text>
    </comment>
    <comment ref="N875" authorId="2" shapeId="0" xr:uid="{F1E78731-F3D2-4B8D-AEE1-BFBA16539D96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$700 - KEMPERY </t>
        </r>
      </text>
    </comment>
    <comment ref="N876" authorId="2" shapeId="0" xr:uid="{900F408E-0664-4E81-99A8-5F7E8121A5ED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$1000 - IMPORTACIONES RCC </t>
        </r>
      </text>
    </comment>
    <comment ref="N877" authorId="2" shapeId="0" xr:uid="{D5D78DED-2419-449D-9ABE-D76F936E23E1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$790 - KEMPERY </t>
        </r>
      </text>
    </comment>
    <comment ref="N878" authorId="2" shapeId="0" xr:uid="{1AB8A369-A9DD-42C9-9A03-942130931D6B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$500 - PAYPHONE ZINDY
$1000 - PAYPHONE ZINDY</t>
        </r>
      </text>
    </comment>
    <comment ref="N879" authorId="2" shapeId="0" xr:uid="{F078089B-AEB2-42A5-B208-9877DF8C6869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$300 - KEMPERY
$400 - KEMPERY
$300 - KEMPERY</t>
        </r>
      </text>
    </comment>
    <comment ref="N880" authorId="2" shapeId="0" xr:uid="{029CD79F-F43D-43AA-B9AB-C6D56802AD26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$1000 - KMP TRAVEL </t>
        </r>
      </text>
    </comment>
    <comment ref="N881" authorId="2" shapeId="0" xr:uid="{7F701706-B0D0-4050-8295-A0C5F4772E9A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$1990 - KEMPERY </t>
        </r>
      </text>
    </comment>
    <comment ref="N882" authorId="2" shapeId="0" xr:uid="{B4F68A97-0A1B-4CC3-8828-207F9BA02416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$2,990 - KMP TRAVEL </t>
        </r>
      </text>
    </comment>
    <comment ref="N883" authorId="2" shapeId="0" xr:uid="{88B01D46-E4B5-4C44-8E48-CB43D8BB6DDE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$1,000 - Payphone Zindy </t>
        </r>
      </text>
    </comment>
    <comment ref="N884" authorId="2" shapeId="0" xr:uid="{23768320-B0C1-43D2-AAA6-B407704083D1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$Ingresó con valor 0
Tiene un pagaré de $3k</t>
        </r>
      </text>
    </comment>
    <comment ref="N885" authorId="2" shapeId="0" xr:uid="{59AB3419-2D4B-476F-AC87-C0CEECF5AB30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$1,000 - Kempery 
$500 - Kempery 
#300 - Kempery </t>
        </r>
      </text>
    </comment>
    <comment ref="N886" authorId="2" shapeId="0" xr:uid="{6838C3CD-0EC3-48F0-BC52-FE87D03895CA}">
      <text>
        <r>
          <rPr>
            <b/>
            <sz val="9"/>
            <color indexed="81"/>
            <rFont val="Tahoma"/>
            <charset val="1"/>
          </rPr>
          <t>Juan Carlos Rios GAMES:</t>
        </r>
        <r>
          <rPr>
            <sz val="9"/>
            <color indexed="81"/>
            <rFont val="Tahoma"/>
            <charset val="1"/>
          </rPr>
          <t xml:space="preserve">
$4,590 - KEMPERY </t>
        </r>
      </text>
    </comment>
    <comment ref="N887" authorId="2" shapeId="0" xr:uid="{D0B7D146-CAF9-499C-8C62-3C2C3F107A08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$300 - TRANSFERENCIA </t>
        </r>
      </text>
    </comment>
    <comment ref="N888" authorId="2" shapeId="0" xr:uid="{3E10063C-A33F-4740-94BB-D75E5B7A6975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$200 - PAYPHONE ZINDY </t>
        </r>
      </text>
    </comment>
    <comment ref="N889" authorId="2" shapeId="0" xr:uid="{2CAA10E9-6A02-439A-A15E-124F1F027862}">
      <text>
        <r>
          <rPr>
            <b/>
            <sz val="9"/>
            <color indexed="81"/>
            <rFont val="Tahoma"/>
            <charset val="1"/>
          </rPr>
          <t>Juan Carlos Rios GAMES:</t>
        </r>
        <r>
          <rPr>
            <sz val="9"/>
            <color indexed="81"/>
            <rFont val="Tahoma"/>
            <charset val="1"/>
          </rPr>
          <t xml:space="preserve">
$1,000 - KEMPERY</t>
        </r>
      </text>
    </comment>
    <comment ref="N890" authorId="2" shapeId="0" xr:uid="{A09F808E-39D2-4B8E-A007-58A1530F27D0}">
      <text>
        <r>
          <rPr>
            <b/>
            <sz val="9"/>
            <color indexed="81"/>
            <rFont val="Tahoma"/>
            <charset val="1"/>
          </rPr>
          <t>Juan Carlos Rios GAMES:</t>
        </r>
        <r>
          <rPr>
            <sz val="9"/>
            <color indexed="81"/>
            <rFont val="Tahoma"/>
            <charset val="1"/>
          </rPr>
          <t xml:space="preserve">
$1,050 - KEMPERY </t>
        </r>
      </text>
    </comment>
    <comment ref="N891" authorId="2" shapeId="0" xr:uid="{CC25B3D7-D0F4-45DE-A902-052FEC235495}">
      <text>
        <r>
          <rPr>
            <b/>
            <sz val="9"/>
            <color indexed="81"/>
            <rFont val="Tahoma"/>
            <charset val="1"/>
          </rPr>
          <t>Juan Carlos Rios GAMES:</t>
        </r>
        <r>
          <rPr>
            <sz val="9"/>
            <color indexed="81"/>
            <rFont val="Tahoma"/>
            <charset val="1"/>
          </rPr>
          <t xml:space="preserve">
$1,990 - KEMPERY </t>
        </r>
      </text>
    </comment>
    <comment ref="N892" authorId="2" shapeId="0" xr:uid="{A5B6C18B-4428-454F-93C8-825E9B7099B8}">
      <text>
        <r>
          <rPr>
            <b/>
            <sz val="9"/>
            <color indexed="81"/>
            <rFont val="Tahoma"/>
            <charset val="1"/>
          </rPr>
          <t>Juan Carlos Rios GAMES:</t>
        </r>
        <r>
          <rPr>
            <sz val="9"/>
            <color indexed="81"/>
            <rFont val="Tahoma"/>
            <charset val="1"/>
          </rPr>
          <t xml:space="preserve">
$1,000 - Hotel Zeus </t>
        </r>
      </text>
    </comment>
    <comment ref="N893" authorId="2" shapeId="0" xr:uid="{6384803D-F9B4-4512-8917-876DE80ECC5E}">
      <text>
        <r>
          <rPr>
            <b/>
            <sz val="9"/>
            <color indexed="81"/>
            <rFont val="Tahoma"/>
            <charset val="1"/>
          </rPr>
          <t>Juan Carlos Rios GAMES:</t>
        </r>
        <r>
          <rPr>
            <sz val="9"/>
            <color indexed="81"/>
            <rFont val="Tahoma"/>
            <charset val="1"/>
          </rPr>
          <t xml:space="preserve">
$1,990 - KEMPERY </t>
        </r>
      </text>
    </comment>
    <comment ref="N894" authorId="2" shapeId="0" xr:uid="{E9992C85-6FD1-4E0E-BBBC-A7F746E6B791}">
      <text>
        <r>
          <rPr>
            <b/>
            <sz val="9"/>
            <color indexed="81"/>
            <rFont val="Tahoma"/>
            <charset val="1"/>
          </rPr>
          <t>Juan Carlos Rios GAMES:</t>
        </r>
        <r>
          <rPr>
            <sz val="9"/>
            <color indexed="81"/>
            <rFont val="Tahoma"/>
            <charset val="1"/>
          </rPr>
          <t xml:space="preserve">
$1,800 - KEMPERY </t>
        </r>
      </text>
    </comment>
    <comment ref="N895" authorId="2" shapeId="0" xr:uid="{D95C9A2C-3FE8-4A9B-9562-05E9609D089C}">
      <text>
        <r>
          <rPr>
            <b/>
            <sz val="9"/>
            <color indexed="81"/>
            <rFont val="Tahoma"/>
            <charset val="1"/>
          </rPr>
          <t>Juan Carlos Rios GAMES:</t>
        </r>
        <r>
          <rPr>
            <sz val="9"/>
            <color indexed="81"/>
            <rFont val="Tahoma"/>
            <charset val="1"/>
          </rPr>
          <t xml:space="preserve">
$300 - HOTEL ZEUS </t>
        </r>
      </text>
    </comment>
    <comment ref="N896" authorId="2" shapeId="0" xr:uid="{F653864A-8C40-4D65-9725-AC93EF6096A5}">
      <text>
        <r>
          <rPr>
            <b/>
            <sz val="9"/>
            <color indexed="81"/>
            <rFont val="Tahoma"/>
            <charset val="1"/>
          </rPr>
          <t>Juan Carlos Rios GAMES:</t>
        </r>
        <r>
          <rPr>
            <sz val="9"/>
            <color indexed="81"/>
            <rFont val="Tahoma"/>
            <charset val="1"/>
          </rPr>
          <t xml:space="preserve">
$1,990 - LINK DE PAGO KEMPERY </t>
        </r>
      </text>
    </comment>
    <comment ref="N897" authorId="2" shapeId="0" xr:uid="{38B59D51-C9A8-47C2-9AB3-947EF212F249}">
      <text>
        <r>
          <rPr>
            <b/>
            <sz val="9"/>
            <color indexed="81"/>
            <rFont val="Tahoma"/>
            <charset val="1"/>
          </rPr>
          <t>Juan Carlos Rios GAMES:</t>
        </r>
        <r>
          <rPr>
            <sz val="9"/>
            <color indexed="81"/>
            <rFont val="Tahoma"/>
            <charset val="1"/>
          </rPr>
          <t xml:space="preserve">
$1,990 - KEMPERY </t>
        </r>
      </text>
    </comment>
    <comment ref="N898" authorId="2" shapeId="0" xr:uid="{414DDA4A-6B39-49C9-9369-B2057BA00517}">
      <text>
        <r>
          <rPr>
            <b/>
            <sz val="9"/>
            <color indexed="81"/>
            <rFont val="Tahoma"/>
            <charset val="1"/>
          </rPr>
          <t>Juan Carlos Rios GAMES:</t>
        </r>
        <r>
          <rPr>
            <sz val="9"/>
            <color indexed="81"/>
            <rFont val="Tahoma"/>
            <charset val="1"/>
          </rPr>
          <t xml:space="preserve">
$300 - KEMPERY 
$300 - KEMPERY 
$300 - KEMPERY </t>
        </r>
      </text>
    </comment>
    <comment ref="N900" authorId="2" shapeId="0" xr:uid="{2E175B32-B58B-41BD-BCB4-84C37075B089}">
      <text>
        <r>
          <rPr>
            <b/>
            <sz val="9"/>
            <color indexed="81"/>
            <rFont val="Tahoma"/>
            <charset val="1"/>
          </rPr>
          <t>Juan Carlos Rios GAMES:</t>
        </r>
        <r>
          <rPr>
            <sz val="9"/>
            <color indexed="81"/>
            <rFont val="Tahoma"/>
            <charset val="1"/>
          </rPr>
          <t xml:space="preserve">
$3,500 - KEMPERY 
$1,000 - PAYPHONE </t>
        </r>
      </text>
    </comment>
    <comment ref="N901" authorId="2" shapeId="0" xr:uid="{FDB30276-F0D9-4F8D-84E5-64C63F34A420}">
      <text>
        <r>
          <rPr>
            <b/>
            <sz val="9"/>
            <color indexed="81"/>
            <rFont val="Tahoma"/>
            <charset val="1"/>
          </rPr>
          <t>Juan Carlos Rios GAMES:</t>
        </r>
        <r>
          <rPr>
            <sz val="9"/>
            <color indexed="81"/>
            <rFont val="Tahoma"/>
            <charset val="1"/>
          </rPr>
          <t xml:space="preserve">
$1,050 - KMP </t>
        </r>
      </text>
    </comment>
    <comment ref="N902" authorId="2" shapeId="0" xr:uid="{C7B203AF-C455-4C4D-914A-2EABF67C913C}">
      <text>
        <r>
          <rPr>
            <b/>
            <sz val="9"/>
            <color indexed="81"/>
            <rFont val="Tahoma"/>
            <charset val="1"/>
          </rPr>
          <t>Juan Carlos Rios GAMES:</t>
        </r>
        <r>
          <rPr>
            <sz val="9"/>
            <color indexed="81"/>
            <rFont val="Tahoma"/>
            <charset val="1"/>
          </rPr>
          <t xml:space="preserve">
$3,990 - KEMPERY</t>
        </r>
      </text>
    </comment>
    <comment ref="N903" authorId="2" shapeId="0" xr:uid="{617DE53F-C395-4196-A6FE-D476BF080640}">
      <text>
        <r>
          <rPr>
            <b/>
            <sz val="9"/>
            <color indexed="81"/>
            <rFont val="Tahoma"/>
            <charset val="1"/>
          </rPr>
          <t>Juan Carlos Rios GAMES:</t>
        </r>
        <r>
          <rPr>
            <sz val="9"/>
            <color indexed="81"/>
            <rFont val="Tahoma"/>
            <charset val="1"/>
          </rPr>
          <t xml:space="preserve">
$500 - KMP
$500 - KMP </t>
        </r>
      </text>
    </comment>
    <comment ref="N905" authorId="2" shapeId="0" xr:uid="{C30C51E8-0092-4D3F-B24F-69C717EF0C36}">
      <text>
        <r>
          <rPr>
            <b/>
            <sz val="9"/>
            <color indexed="81"/>
            <rFont val="Tahoma"/>
            <charset val="1"/>
          </rPr>
          <t>Juan Carlos Rios GAMES:</t>
        </r>
        <r>
          <rPr>
            <sz val="9"/>
            <color indexed="81"/>
            <rFont val="Tahoma"/>
            <charset val="1"/>
          </rPr>
          <t xml:space="preserve">
$700 - KEMPERY
$800 - KMP</t>
        </r>
      </text>
    </comment>
    <comment ref="N906" authorId="2" shapeId="0" xr:uid="{A7641070-2F45-4057-BFD7-F6AA521F1E17}">
      <text>
        <r>
          <rPr>
            <b/>
            <sz val="9"/>
            <color indexed="81"/>
            <rFont val="Tahoma"/>
            <charset val="1"/>
          </rPr>
          <t>Juan Carlos Rios GAMES:</t>
        </r>
        <r>
          <rPr>
            <sz val="9"/>
            <color indexed="81"/>
            <rFont val="Tahoma"/>
            <charset val="1"/>
          </rPr>
          <t xml:space="preserve">
$1000 - KMP</t>
        </r>
      </text>
    </comment>
    <comment ref="N907" authorId="2" shapeId="0" xr:uid="{4CF5EE9E-2B2D-41A2-9977-0B33C4308BD5}">
      <text>
        <r>
          <rPr>
            <b/>
            <sz val="9"/>
            <color indexed="81"/>
            <rFont val="Tahoma"/>
            <charset val="1"/>
          </rPr>
          <t>Juan Carlos Rios GAMES:</t>
        </r>
        <r>
          <rPr>
            <sz val="9"/>
            <color indexed="81"/>
            <rFont val="Tahoma"/>
            <charset val="1"/>
          </rPr>
          <t xml:space="preserve">
$2,200 - KEMPERY </t>
        </r>
      </text>
    </comment>
    <comment ref="N908" authorId="2" shapeId="0" xr:uid="{DD5D705E-AE5D-465F-8774-C39D012D2C46}">
      <text>
        <r>
          <rPr>
            <b/>
            <sz val="9"/>
            <color indexed="81"/>
            <rFont val="Tahoma"/>
            <charset val="1"/>
          </rPr>
          <t>Juan Carlos Rios GAMES:</t>
        </r>
        <r>
          <rPr>
            <sz val="9"/>
            <color indexed="81"/>
            <rFont val="Tahoma"/>
            <charset val="1"/>
          </rPr>
          <t xml:space="preserve">
$700 - KEMPERY</t>
        </r>
      </text>
    </comment>
    <comment ref="N909" authorId="2" shapeId="0" xr:uid="{338307E6-9E08-4C08-A050-95B891522B79}">
      <text>
        <r>
          <rPr>
            <b/>
            <sz val="9"/>
            <color indexed="81"/>
            <rFont val="Tahoma"/>
            <charset val="1"/>
          </rPr>
          <t>Juan Carlos Rios GAMES:</t>
        </r>
        <r>
          <rPr>
            <sz val="9"/>
            <color indexed="81"/>
            <rFont val="Tahoma"/>
            <charset val="1"/>
          </rPr>
          <t xml:space="preserve">
$1,000 PAYPHONE
$1,000 PAYPHONE </t>
        </r>
      </text>
    </comment>
    <comment ref="F919" authorId="1" shapeId="0" xr:uid="{91E77C5A-DBD9-495E-90CF-829F65F4EA67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ABONO EL 01-02-24 
2DO ABONO FINALIZADO LA VISA AMERICANA
</t>
        </r>
      </text>
    </comment>
    <comment ref="F922" authorId="1" shapeId="0" xr:uid="{9CEC9CCE-CD4C-494B-B0E8-19D0492CF687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1390 A UN AÑO DE LA FIRMA</t>
        </r>
      </text>
    </comment>
    <comment ref="F923" authorId="1" shapeId="0" xr:uid="{46C190A0-E1D2-4A75-811B-4E5AFEEF8E19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79 A 6 MESES DE LA FIRMA</t>
        </r>
      </text>
    </comment>
    <comment ref="F966" authorId="1" shapeId="0" xr:uid="{CC081C3A-5AD1-4A6F-8320-C91A799DAD56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1690 a un año de la firma</t>
        </r>
      </text>
    </comment>
    <comment ref="F970" authorId="1" shapeId="0" xr:uid="{FE944C0A-4D68-42A9-ACEC-D4D74ED68001}">
      <text>
        <r>
          <rPr>
            <b/>
            <sz val="9"/>
            <color indexed="81"/>
            <rFont val="Tahoma"/>
            <family val="2"/>
          </rPr>
          <t>VANTE225 EL 29 FEBRERO Y 225 EL 15 MARZODEL 2024</t>
        </r>
      </text>
    </comment>
    <comment ref="F976" authorId="1" shapeId="0" xr:uid="{C98C6FFB-2398-4213-AA4B-7A5BDE3D7105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800 A 6 MESES
</t>
        </r>
      </text>
    </comment>
    <comment ref="F980" authorId="1" shapeId="0" xr:uid="{960450D7-A2D8-46F5-8E34-58C5978A60CE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1490 PAGADOS A 6 MESES</t>
        </r>
      </text>
    </comment>
    <comment ref="F999" authorId="1" shapeId="0" xr:uid="{76D46AFA-7F9C-4581-9D88-946E1F6D719D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300 A UN AÑO DEL CONTRATO</t>
        </r>
      </text>
    </comment>
    <comment ref="K1002" authorId="1" shapeId="0" xr:uid="{DAEF2A8B-5C99-4A31-9D28-14C3E9F6C8A6}">
      <text>
        <r>
          <rPr>
            <b/>
            <sz val="9"/>
            <color indexed="81"/>
            <rFont val="Tahoma"/>
            <family val="2"/>
          </rPr>
          <t>VANTEC:VS DIF 12M 500</t>
        </r>
      </text>
    </comment>
    <comment ref="F1004" authorId="1" shapeId="0" xr:uid="{1BBEAF0A-4B50-423F-A4F0-5C037380A317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500 AL AÑO</t>
        </r>
      </text>
    </comment>
    <comment ref="F1007" authorId="1" shapeId="0" xr:uid="{F351F209-EA0E-4C21-A023-20032F567406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990 luego de 6 meses</t>
        </r>
      </text>
    </comment>
    <comment ref="F1020" authorId="1" shapeId="0" xr:uid="{45C6EABE-A8EF-46B6-9714-3E39919EDAE9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300 PAGARA A 3 MESES DE LA FIRMA</t>
        </r>
      </text>
    </comment>
    <comment ref="F1032" authorId="1" shapeId="0" xr:uid="{6BFCE5E1-2BED-4A63-A0DB-6D652C70CEB2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CREDITO DIRECTO EN 6 CUOTAS DE 150, COMENZANDO 22 ABRIL</t>
        </r>
      </text>
    </comment>
    <comment ref="F1033" authorId="1" shapeId="0" xr:uid="{06157A36-783D-4B9A-B38B-2341831D38BE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25 MARZO PAGA MEDIANTE LINK</t>
        </r>
      </text>
    </comment>
    <comment ref="F1038" authorId="1" shapeId="0" xr:uid="{240C4287-35FA-43A9-A361-2D61EC8DC83B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36 CUOTAS DE 27,77 INMEDIATAMENTE</t>
        </r>
      </text>
    </comment>
    <comment ref="F1039" authorId="1" shapeId="0" xr:uid="{6EB25136-DD45-4CBC-A993-CBEF2F4593F3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2-03 790 DEBEN PAGAR</t>
        </r>
      </text>
    </comment>
    <comment ref="F1046" authorId="1" shapeId="0" xr:uid="{B559A430-B1CC-4D59-9492-460B9E98FD70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2690 SERAN PAGADOS EL 02-04-24</t>
        </r>
      </text>
    </comment>
    <comment ref="F1054" authorId="1" shapeId="0" xr:uid="{9851DC95-DD9A-42ED-9CD9-C3EF44CF5AD6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400 PAGA EN CREDITO DIRECTO DESDE MAYO</t>
        </r>
      </text>
    </comment>
    <comment ref="K1058" authorId="1" shapeId="0" xr:uid="{95DC2E7D-B79F-4417-B345-B9D78A9DB1BD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VS DIF 1190
MC DIF 24M 800</t>
        </r>
      </text>
    </comment>
    <comment ref="K1059" authorId="1" shapeId="0" xr:uid="{57049DD3-A96C-42AF-96D5-30A7C202F291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VS DIF 24M 700
DN DIF 24M 3290</t>
        </r>
      </text>
    </comment>
    <comment ref="K1062" authorId="1" shapeId="0" xr:uid="{BA4A4807-5924-4BD7-8CCE-B5674D9C8339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VS CORRIENTE 300
AMEX 200</t>
        </r>
      </text>
    </comment>
    <comment ref="F1064" authorId="1" shapeId="0" xr:uid="{48446330-7575-41F9-91A8-71937217F56B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750 SERAN PAGADOS A CUOTAS 50 POR MES DESDE 03-05</t>
        </r>
      </text>
    </comment>
    <comment ref="K1064" authorId="1" shapeId="0" xr:uid="{59164A83-649D-42B6-9FDC-CFF8E4CBA1D6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VS DEBITO 150
MC DEBITO 150</t>
        </r>
      </text>
    </comment>
    <comment ref="F1065" authorId="1" shapeId="0" xr:uid="{3B155D3E-B415-4326-889C-7700B47487A2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15 JUNIO HACEN PAGO COMPLETO 1000</t>
        </r>
      </text>
    </comment>
    <comment ref="F1068" authorId="1" shapeId="0" xr:uid="{0E5CC04D-947F-4A35-B8F1-9939BA1ABC7F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98 CADA 1 DE CADA MES. A PARTIR DE MAYO</t>
        </r>
      </text>
    </comment>
    <comment ref="F1070" authorId="1" shapeId="0" xr:uid="{2B08FE2D-07DD-47B6-A362-2C60D0C9F764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400 PAGADOS EN CREDITO DIRECTO</t>
        </r>
      </text>
    </comment>
    <comment ref="F1072" authorId="1" shapeId="0" xr:uid="{EE9C26A7-991A-472B-A389-061B16750C87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800 PAGARA EL 18 DE ABRIL</t>
        </r>
      </text>
    </comment>
    <comment ref="F1073" authorId="1" shapeId="0" xr:uid="{FC7B4AEB-23F7-4893-91E5-1D54662B798D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700 PAGA EL 18 ABRL</t>
        </r>
      </text>
    </comment>
    <comment ref="F1077" authorId="1" shapeId="0" xr:uid="{8C3524A1-C4B7-4542-B95C-6B7A3AE19F80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18 CUOTAS DE 55,55 TOTAL 1000, COMIENZA 30 DE ABRIL</t>
        </r>
      </text>
    </comment>
    <comment ref="F1084" authorId="1" shapeId="0" xr:uid="{D7439A13-9BF2-4AD4-B6BE-51295B68D3AF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500 PAGADOS EN CREDITO DIRECTO</t>
        </r>
      </text>
    </comment>
    <comment ref="F1087" authorId="1" shapeId="0" xr:uid="{080CB159-11D6-4042-A38A-4B3BD59DF383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1890 SERAN PAGADOS EN NOV204</t>
        </r>
      </text>
    </comment>
    <comment ref="K1093" authorId="1" shapeId="0" xr:uid="{F09C3366-1145-412A-897E-F342ABD2E3DE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AM CORRIENTE 700
VISA PRODUBANCO CORRIENTE 700</t>
        </r>
      </text>
    </comment>
    <comment ref="F1094" authorId="1" shapeId="0" xr:uid="{DC6E2A9C-B763-4A41-BB82-B66C2683CD1A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PAGA EL 26/04/2024 
1600$</t>
        </r>
      </text>
    </comment>
    <comment ref="K1099" authorId="1" shapeId="0" xr:uid="{2AE86809-E892-4E50-88EF-07B7898620F4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VISA DIF 24M 700
MC CORRIENTE 500</t>
        </r>
      </text>
    </comment>
    <comment ref="F1101" authorId="1" shapeId="0" xr:uid="{B0090434-BF91-4D03-B0B7-680A4DB47DEE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VALOR RESTANTE DE 300$ A PAGAR EL 27/04/2024</t>
        </r>
      </text>
    </comment>
    <comment ref="K1101" authorId="1" shapeId="0" xr:uid="{BF1F3DC1-A6B5-45C6-9CA6-6FA2B878AE37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AMEX CORRIENTE 100$
MC CORRIENTE 100$
MC CORRIENTE 500$</t>
        </r>
      </text>
    </comment>
    <comment ref="F1103" authorId="1" shapeId="0" xr:uid="{4F6FF5AD-AEE9-4E53-B441-3B4EE7B5C780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LINK DE PAGO 30 DE ABRIL 2024</t>
        </r>
      </text>
    </comment>
    <comment ref="K1106" authorId="3" shapeId="0" xr:uid="{3E1B1248-A653-4B51-A551-F53B418C9BC3}">
      <text>
        <r>
          <rPr>
            <b/>
            <sz val="9"/>
            <color indexed="81"/>
            <rFont val="Tahoma"/>
            <family val="2"/>
          </rPr>
          <t>Sony:</t>
        </r>
        <r>
          <rPr>
            <sz val="9"/>
            <color indexed="81"/>
            <rFont val="Tahoma"/>
            <family val="2"/>
          </rPr>
          <t xml:space="preserve">
MC CORRIENTE 500$
TRANSFERENCIA 500$</t>
        </r>
      </text>
    </comment>
    <comment ref="F1109" authorId="3" shapeId="0" xr:uid="{6659CDE9-7278-46C8-8CCF-300328171F30}">
      <text>
        <r>
          <rPr>
            <b/>
            <sz val="9"/>
            <color indexed="81"/>
            <rFont val="Tahoma"/>
            <family val="2"/>
          </rPr>
          <t>Sony:</t>
        </r>
        <r>
          <rPr>
            <sz val="9"/>
            <color indexed="81"/>
            <rFont val="Tahoma"/>
            <family val="2"/>
          </rPr>
          <t xml:space="preserve">
RESTANTE DE 1490 CREDITO DIRECTO 24 CUOTAS MENSUALES DE 62,08$ A PARTIR DEL MES DE SEPTIEMBRE DEL 2024</t>
        </r>
      </text>
    </comment>
    <comment ref="K1109" authorId="3" shapeId="0" xr:uid="{06290494-84F9-41D3-9D46-5AC120702760}">
      <text>
        <r>
          <rPr>
            <b/>
            <sz val="9"/>
            <color indexed="81"/>
            <rFont val="Tahoma"/>
            <family val="2"/>
          </rPr>
          <t>Sony:</t>
        </r>
        <r>
          <rPr>
            <sz val="9"/>
            <color indexed="81"/>
            <rFont val="Tahoma"/>
            <family val="2"/>
          </rPr>
          <t xml:space="preserve">
VISA DEBITO 500
MC CORRIENTE 300</t>
        </r>
      </text>
    </comment>
    <comment ref="K1114" authorId="3" shapeId="0" xr:uid="{3A79835C-3B4A-42CF-8BE2-F8C03068136C}">
      <text>
        <r>
          <rPr>
            <b/>
            <sz val="9"/>
            <color indexed="81"/>
            <rFont val="Tahoma"/>
            <family val="2"/>
          </rPr>
          <t>Sony:</t>
        </r>
        <r>
          <rPr>
            <sz val="9"/>
            <color indexed="81"/>
            <rFont val="Tahoma"/>
            <family val="2"/>
          </rPr>
          <t xml:space="preserve">
MC CORRIENTE 300
MC CORRIENTE 700</t>
        </r>
      </text>
    </comment>
    <comment ref="K1115" authorId="3" shapeId="0" xr:uid="{BF27B2D5-2098-4271-A51A-AE0588925366}">
      <text>
        <r>
          <rPr>
            <b/>
            <sz val="9"/>
            <color indexed="81"/>
            <rFont val="Tahoma"/>
            <family val="2"/>
          </rPr>
          <t>Sony:</t>
        </r>
        <r>
          <rPr>
            <sz val="9"/>
            <color indexed="81"/>
            <rFont val="Tahoma"/>
            <family val="2"/>
          </rPr>
          <t xml:space="preserve">
VISA CORRIENTE 200
VISA CORRIENTE 1050</t>
        </r>
      </text>
    </comment>
    <comment ref="F1119" authorId="3" shapeId="0" xr:uid="{CA54383C-5D56-4728-9DEB-1193834F7A62}">
      <text>
        <r>
          <rPr>
            <b/>
            <sz val="9"/>
            <color indexed="81"/>
            <rFont val="Tahoma"/>
            <family val="2"/>
          </rPr>
          <t>Sony:</t>
        </r>
        <r>
          <rPr>
            <sz val="9"/>
            <color indexed="81"/>
            <rFont val="Tahoma"/>
            <family val="2"/>
          </rPr>
          <t xml:space="preserve">
1150$ SERAN PAGADOS A 6 MESES DE FIRMADO EL CONTRATO 02/11/2024</t>
        </r>
      </text>
    </comment>
    <comment ref="F1126" authorId="3" shapeId="0" xr:uid="{8B2931C5-71E8-4B2B-B4B1-23F293C66228}">
      <text>
        <r>
          <rPr>
            <b/>
            <sz val="9"/>
            <color indexed="81"/>
            <rFont val="Tahoma"/>
            <family val="2"/>
          </rPr>
          <t>Sony:</t>
        </r>
        <r>
          <rPr>
            <sz val="9"/>
            <color indexed="81"/>
            <rFont val="Tahoma"/>
            <family val="2"/>
          </rPr>
          <t xml:space="preserve">
PAGARAN EL RESTANTE DE 500$ A 6 MESES DE FIRMADO EL CONTRATO 07/11/2024</t>
        </r>
      </text>
    </comment>
    <comment ref="F1133" authorId="3" shapeId="0" xr:uid="{50694F8C-66C8-45AC-A59A-155589E044AB}">
      <text>
        <r>
          <rPr>
            <b/>
            <sz val="9"/>
            <color indexed="81"/>
            <rFont val="Tahoma"/>
            <family val="2"/>
          </rPr>
          <t>Sony:</t>
        </r>
        <r>
          <rPr>
            <sz val="9"/>
            <color indexed="81"/>
            <rFont val="Tahoma"/>
            <family val="2"/>
          </rPr>
          <t xml:space="preserve">
1790$ SERAN PAGADOS AL AÑO DE FIRMADO EL CONTRATO 09/05/2025</t>
        </r>
      </text>
    </comment>
    <comment ref="F1137" authorId="1" shapeId="0" xr:uid="{F807DFE7-D60E-4F7C-AB92-DADC30F1B6DA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RESTANTE PAGADO A 1 AÑO</t>
        </r>
      </text>
    </comment>
    <comment ref="K1140" authorId="1" shapeId="0" xr:uid="{27A0EAC4-23F3-4BEC-890A-DBB852C6FA04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490 PAGO DE TRANSFERENCIA</t>
        </r>
      </text>
    </comment>
    <comment ref="F1142" authorId="1" shapeId="0" xr:uid="{A8296225-6BF1-4E92-AD7C-71EC1F8E1636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300 PAGADOS A 3 MESES</t>
        </r>
      </text>
    </comment>
    <comment ref="F1143" authorId="1" shapeId="0" xr:uid="{59C490AE-BEB0-442A-A113-10868FEF9F61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PAGA EL 17 DE MAYO COMPELTO</t>
        </r>
      </text>
    </comment>
    <comment ref="K1144" authorId="1" shapeId="0" xr:uid="{6EE61308-A961-48F5-8DF3-5338FCFB223E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700 VS CORRIENTE
300 VS CORRIENTE</t>
        </r>
      </text>
    </comment>
    <comment ref="F1149" authorId="3" shapeId="0" xr:uid="{6854B4D2-7250-4255-8CE5-B29C1C0F2671}">
      <text>
        <r>
          <rPr>
            <b/>
            <sz val="9"/>
            <color indexed="81"/>
            <rFont val="Tahoma"/>
            <family val="2"/>
          </rPr>
          <t>Sony:</t>
        </r>
        <r>
          <rPr>
            <sz val="9"/>
            <color indexed="81"/>
            <rFont val="Tahoma"/>
            <family val="2"/>
          </rPr>
          <t xml:space="preserve">
PAGA 5 DE JUNIO CREDITO DIRECTO</t>
        </r>
      </text>
    </comment>
    <comment ref="F1153" authorId="3" shapeId="0" xr:uid="{E417823C-3ED7-4E9C-AD04-3E3382A5677B}">
      <text>
        <r>
          <rPr>
            <b/>
            <sz val="9"/>
            <color indexed="81"/>
            <rFont val="Tahoma"/>
            <family val="2"/>
          </rPr>
          <t>Sony:</t>
        </r>
        <r>
          <rPr>
            <sz val="9"/>
            <color indexed="81"/>
            <rFont val="Tahoma"/>
            <family val="2"/>
          </rPr>
          <t xml:space="preserve">
790$ SERAN PAGADOS A 1 AÑO DE LA FIRMA DEL CONTRATO 17/05/2025</t>
        </r>
      </text>
    </comment>
    <comment ref="K1165" authorId="1" shapeId="0" xr:uid="{F50F438C-B8B0-4170-BEE5-A4033A5B8708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1500 AMEX
1490 VS DIF 24M</t>
        </r>
      </text>
    </comment>
    <comment ref="F1168" authorId="1" shapeId="0" xr:uid="{E764B844-3B4E-4497-9053-E5A6C8390303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1-5 DICIEMBRE PAGA LOS 400 RESTANTES</t>
        </r>
      </text>
    </comment>
    <comment ref="F1175" authorId="3" shapeId="0" xr:uid="{F7E5828D-D957-41A7-B3E2-20DCD873810F}">
      <text>
        <r>
          <rPr>
            <b/>
            <sz val="9"/>
            <color indexed="81"/>
            <rFont val="Tahoma"/>
            <family val="2"/>
          </rPr>
          <t>Sony:</t>
        </r>
        <r>
          <rPr>
            <sz val="9"/>
            <color indexed="81"/>
            <rFont val="Tahoma"/>
            <family val="2"/>
          </rPr>
          <t xml:space="preserve">
PAGARAN 1300 EL 01/07/2024</t>
        </r>
      </text>
    </comment>
    <comment ref="F1178" authorId="3" shapeId="0" xr:uid="{9E3A45D4-60E3-476D-BA49-3DE3FDF6F1C0}">
      <text>
        <r>
          <rPr>
            <b/>
            <sz val="9"/>
            <color indexed="81"/>
            <rFont val="Tahoma"/>
            <family val="2"/>
          </rPr>
          <t>Sony:</t>
        </r>
        <r>
          <rPr>
            <sz val="9"/>
            <color indexed="81"/>
            <rFont val="Tahoma"/>
            <family val="2"/>
          </rPr>
          <t xml:space="preserve">
PAGARAN 500$ ENTRE EL 01 Y 06 DE JUNIO DE 2024</t>
        </r>
      </text>
    </comment>
    <comment ref="F1181" authorId="3" shapeId="0" xr:uid="{1F8A45DD-524D-481C-8EB7-06A728567EC5}">
      <text>
        <r>
          <rPr>
            <b/>
            <sz val="9"/>
            <color indexed="81"/>
            <rFont val="Tahoma"/>
            <family val="2"/>
          </rPr>
          <t>Sony:</t>
        </r>
        <r>
          <rPr>
            <sz val="9"/>
            <color indexed="81"/>
            <rFont val="Tahoma"/>
            <family val="2"/>
          </rPr>
          <t xml:space="preserve">
PAGARAN 1990$ LUEGO DE 3 MESES 24/08/2024</t>
        </r>
      </text>
    </comment>
    <comment ref="K1184" authorId="3" shapeId="0" xr:uid="{0C6FEB41-6860-4422-8209-A69EC1637E39}">
      <text>
        <r>
          <rPr>
            <b/>
            <sz val="9"/>
            <color indexed="81"/>
            <rFont val="Tahoma"/>
            <family val="2"/>
          </rPr>
          <t>Sony:</t>
        </r>
        <r>
          <rPr>
            <sz val="9"/>
            <color indexed="81"/>
            <rFont val="Tahoma"/>
            <family val="2"/>
          </rPr>
          <t xml:space="preserve">
AM CORRIENTE 700
MC CORRIENTE 400</t>
        </r>
      </text>
    </comment>
    <comment ref="F1187" authorId="3" shapeId="0" xr:uid="{C576F021-91AC-403E-A062-C297798DC7F9}">
      <text>
        <r>
          <rPr>
            <b/>
            <sz val="9"/>
            <color indexed="81"/>
            <rFont val="Tahoma"/>
            <family val="2"/>
          </rPr>
          <t>Sony:</t>
        </r>
        <r>
          <rPr>
            <sz val="9"/>
            <color indexed="81"/>
            <rFont val="Tahoma"/>
            <family val="2"/>
          </rPr>
          <t xml:space="preserve">
PAGARAN 990$ AL AÑO 26/05/2025</t>
        </r>
      </text>
    </comment>
    <comment ref="K1187" authorId="3" shapeId="0" xr:uid="{BE5773BB-3628-4940-8941-E34529D3435F}">
      <text>
        <r>
          <rPr>
            <b/>
            <sz val="9"/>
            <color indexed="81"/>
            <rFont val="Tahoma"/>
            <family val="2"/>
          </rPr>
          <t>Sony:</t>
        </r>
        <r>
          <rPr>
            <sz val="9"/>
            <color indexed="81"/>
            <rFont val="Tahoma"/>
            <family val="2"/>
          </rPr>
          <t xml:space="preserve">
SE ASUMEN 3 CUOTAS DE 28$</t>
        </r>
      </text>
    </comment>
    <comment ref="K1192" authorId="1" shapeId="0" xr:uid="{E069B25E-FCF5-4705-A216-802358668E87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400 VISA DIF 24M
300 VISA DIF 24M</t>
        </r>
      </text>
    </comment>
    <comment ref="F1193" authorId="1" shapeId="0" xr:uid="{6F47307A-9B67-41C7-B686-BE235A0D2DF8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700 A CREDITO DIRECTO</t>
        </r>
      </text>
    </comment>
    <comment ref="K1193" authorId="1" shapeId="0" xr:uid="{327C4C57-2AB6-4B4C-B7DF-87E181D2544D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200 DINNERS
300 MC CORRIENTE</t>
        </r>
      </text>
    </comment>
    <comment ref="F1197" authorId="1" shapeId="0" xr:uid="{1859E4CC-CB3C-4F58-840A-E7F0EB958EAD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700 EN 3 MESES</t>
        </r>
      </text>
    </comment>
    <comment ref="F1202" authorId="3" shapeId="0" xr:uid="{82E00BA5-A32C-413E-9CD2-3888A04C8C05}">
      <text>
        <r>
          <rPr>
            <b/>
            <sz val="9"/>
            <color indexed="81"/>
            <rFont val="Tahoma"/>
            <family val="2"/>
          </rPr>
          <t>Sony:</t>
        </r>
        <r>
          <rPr>
            <sz val="9"/>
            <color indexed="81"/>
            <rFont val="Tahoma"/>
            <family val="2"/>
          </rPr>
          <t xml:space="preserve">
1190 SERAN PAGADOS EN 6 MESES 01/12/2024</t>
        </r>
      </text>
    </comment>
    <comment ref="K1203" authorId="3" shapeId="0" xr:uid="{56B04935-C9DF-4500-A032-0A936D976161}">
      <text>
        <r>
          <rPr>
            <b/>
            <sz val="9"/>
            <color indexed="81"/>
            <rFont val="Tahoma"/>
            <family val="2"/>
          </rPr>
          <t>Sony:</t>
        </r>
        <r>
          <rPr>
            <sz val="9"/>
            <color indexed="81"/>
            <rFont val="Tahoma"/>
            <family val="2"/>
          </rPr>
          <t xml:space="preserve">
AM CORRIENTE 4206
DN CORRIENTE 2000</t>
        </r>
      </text>
    </comment>
    <comment ref="K1206" authorId="3" shapeId="0" xr:uid="{9454D43D-6B5B-4526-A018-587E85EDA755}">
      <text>
        <r>
          <rPr>
            <b/>
            <sz val="9"/>
            <color indexed="81"/>
            <rFont val="Tahoma"/>
            <family val="2"/>
          </rPr>
          <t>Sony:</t>
        </r>
        <r>
          <rPr>
            <sz val="9"/>
            <color indexed="81"/>
            <rFont val="Tahoma"/>
            <family val="2"/>
          </rPr>
          <t xml:space="preserve">
VS PACIFICO CORRIENTE 300
VS BOLIVARIANO CORRIENTE 700</t>
        </r>
      </text>
    </comment>
    <comment ref="K1210" authorId="1" shapeId="0" xr:uid="{2DEF2E0F-4AD9-4D5D-9399-F7DE3DFA375D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700 TDC 
300 LINK DE PAGO</t>
        </r>
      </text>
    </comment>
    <comment ref="K1220" authorId="3" shapeId="0" xr:uid="{B659CC11-8276-4065-9881-E06B8893E06C}">
      <text>
        <r>
          <rPr>
            <b/>
            <sz val="9"/>
            <color indexed="81"/>
            <rFont val="Tahoma"/>
            <family val="2"/>
          </rPr>
          <t>Sony:</t>
        </r>
        <r>
          <rPr>
            <sz val="9"/>
            <color indexed="81"/>
            <rFont val="Tahoma"/>
            <family val="2"/>
          </rPr>
          <t xml:space="preserve">
1990 SERAN PAGADOS 10/06/2024 LINK DE PAGO</t>
        </r>
      </text>
    </comment>
    <comment ref="K1229" authorId="3" shapeId="0" xr:uid="{EA67F977-8627-4CFF-B0C3-D0DC6B1F5D7B}">
      <text>
        <r>
          <rPr>
            <b/>
            <sz val="9"/>
            <color indexed="81"/>
            <rFont val="Tahoma"/>
            <family val="2"/>
          </rPr>
          <t>Sony:</t>
        </r>
        <r>
          <rPr>
            <sz val="9"/>
            <color indexed="81"/>
            <rFont val="Tahoma"/>
            <family val="2"/>
          </rPr>
          <t xml:space="preserve">
700 DN DIF 24M
350 DEBITO PICHINCHA</t>
        </r>
      </text>
    </comment>
    <comment ref="F1232" authorId="3" shapeId="0" xr:uid="{9D0B05F2-25E6-4320-A8CA-5EE9B26A5A3E}">
      <text>
        <r>
          <rPr>
            <b/>
            <sz val="9"/>
            <color indexed="81"/>
            <rFont val="Tahoma"/>
            <family val="2"/>
          </rPr>
          <t>Sony:</t>
        </r>
        <r>
          <rPr>
            <sz val="9"/>
            <color indexed="81"/>
            <rFont val="Tahoma"/>
            <family val="2"/>
          </rPr>
          <t xml:space="preserve">
1580 EN 18 CUOTAS DE 87,77</t>
        </r>
      </text>
    </comment>
    <comment ref="K1232" authorId="3" shapeId="0" xr:uid="{E11FB81F-86B8-4B55-9FD8-C22895170B52}">
      <text>
        <r>
          <rPr>
            <b/>
            <sz val="9"/>
            <color indexed="81"/>
            <rFont val="Tahoma"/>
            <family val="2"/>
          </rPr>
          <t>Sony:</t>
        </r>
        <r>
          <rPr>
            <sz val="9"/>
            <color indexed="81"/>
            <rFont val="Tahoma"/>
            <family val="2"/>
          </rPr>
          <t xml:space="preserve">
700$ DN DIF 24M
300$ VS CORRIENTE</t>
        </r>
      </text>
    </comment>
    <comment ref="F1241" authorId="1" shapeId="0" xr:uid="{99EBE35E-9FCC-41C7-8469-73CE329C2157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36 CUOTAS DE 63,61</t>
        </r>
      </text>
    </comment>
    <comment ref="K1244" authorId="1" shapeId="0" xr:uid="{816BD27E-3CAE-4F48-9364-787EE86FE2C6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2100 VS CORRIENTE
2100 VS DIF 24M</t>
        </r>
      </text>
    </comment>
    <comment ref="F1251" authorId="1" shapeId="0" xr:uid="{89AAF96F-7489-4D51-BED9-3C8EF5FA8035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200 PAGA EN UN AÑO</t>
        </r>
      </text>
    </comment>
    <comment ref="N1252" authorId="1" shapeId="0" xr:uid="{EA28EF61-4C14-44BB-BC72-0981BFD98511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400 VS CORRIENTE
600 VS CORRIENTE
500 VS CORRIENTE</t>
        </r>
      </text>
    </comment>
    <comment ref="N1254" authorId="1" shapeId="0" xr:uid="{FE0EE6F3-1EBC-48C7-B2E7-7F2FD25CD59A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700 MC PACI CORRIENTE
300 MC PACI CORRIENTE
500 MC PICH CORRIENTE</t>
        </r>
      </text>
    </comment>
    <comment ref="N1258" authorId="1" shapeId="0" xr:uid="{8B45357F-31B5-4D57-B239-2BCFEA0BE09B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700 DN
300 DN
</t>
        </r>
      </text>
    </comment>
    <comment ref="F1270" authorId="1" shapeId="0" xr:uid="{6905F138-B3F7-4BCC-AE9E-7611CDE4085B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300 A 6 MESES DE LA FIRMA
</t>
        </r>
      </text>
    </comment>
    <comment ref="N1272" authorId="1" shapeId="0" xr:uid="{5E96598B-7F9C-4D60-A6EC-5A2ACC2F280E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300VS DIF 24M
200VS DIF 24M
200 MC CORRIENTE</t>
        </r>
      </text>
    </comment>
    <comment ref="N1274" authorId="1" shapeId="0" xr:uid="{5F115CF5-FEEA-4C93-B357-F0B8E574643C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990 VS CORRIENTE
2000 MC CORRIENTE
1000 VS CORRIENTE</t>
        </r>
      </text>
    </comment>
    <comment ref="N1277" authorId="1" shapeId="0" xr:uid="{A14B4901-16F9-4E33-9961-5BAE6C79C90F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900 vs corriente
1100 AM CORRIENTE
586,45 MC DIF 24M
1500 VS DIF 24M</t>
        </r>
      </text>
    </comment>
    <comment ref="N1281" authorId="1" shapeId="0" xr:uid="{3DA40E53-5CC9-4542-AE8E-45C4AD7927A6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400 VS CORRIENTE
700 VS CORRIENTE</t>
        </r>
      </text>
    </comment>
    <comment ref="N1285" authorId="1" shapeId="0" xr:uid="{C4483427-BDCA-46B3-8F20-F425DADA4718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VS CORRIENTE 300
900 MC DIF 12M</t>
        </r>
      </text>
    </comment>
    <comment ref="F1291" authorId="1" shapeId="0" xr:uid="{5F15DB65-FE30-4AED-8ACF-035AE8C02D09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300 PAGADOS A UN AÑO DE LA FIRMA</t>
        </r>
      </text>
    </comment>
    <comment ref="N1306" authorId="1" shapeId="0" xr:uid="{CC13433E-E3ED-4B4B-89F8-F23BC88120B4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1490 VS CORIENTE
500 VS DIF 24M
1000 VS DIF 24M</t>
        </r>
      </text>
    </comment>
    <comment ref="N1307" authorId="1" shapeId="0" xr:uid="{F17747A7-89E8-49D7-907F-2C3B7D45348A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700 VS CORRIENTE
300 VS CORRIENTE</t>
        </r>
      </text>
    </comment>
    <comment ref="N1315" authorId="1" shapeId="0" xr:uid="{AC31F14E-A906-42C3-AB6E-EB2EE0AA8149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1990 VS CORRIENTE
600 MC DIF 24M</t>
        </r>
      </text>
    </comment>
    <comment ref="F1322" authorId="1" shapeId="0" xr:uid="{DCBCC0F0-0DAA-488F-B985-597713AE749B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300 PAGA A 6 MESES</t>
        </r>
      </text>
    </comment>
    <comment ref="K1339" authorId="1" shapeId="0" xr:uid="{48193D05-A50B-4708-B662-0E30629CF5BF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DN DIF 24M</t>
        </r>
      </text>
    </comment>
    <comment ref="K1351" authorId="1" shapeId="0" xr:uid="{B7060133-2A6B-4869-863C-0BE8C41ED239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MC DIF 24M
VS DIF 24M</t>
        </r>
      </text>
    </comment>
    <comment ref="K1362" authorId="1" shapeId="0" xr:uid="{53507F4A-E278-4301-89B2-8DE837654634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VS CORRIENTE 500
DS DIF 24M 700
VS DIF 24M 900</t>
        </r>
      </text>
    </comment>
    <comment ref="K1367" authorId="1" shapeId="0" xr:uid="{F00E1C29-3677-44EB-9AB9-935A39D72DF7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MC CORRIENTE 1300
AM CORRIENTE 500</t>
        </r>
      </text>
    </comment>
    <comment ref="K1379" authorId="1" shapeId="0" xr:uid="{E4C6A6AB-1923-4B00-8253-420D798562AE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VS DIF 24M 1500
MC CORRIENTE 700</t>
        </r>
      </text>
    </comment>
    <comment ref="F1386" authorId="3" shapeId="0" xr:uid="{B20CD657-8F0A-4532-B508-7DA31D62EF70}">
      <text>
        <r>
          <rPr>
            <b/>
            <sz val="9"/>
            <color indexed="81"/>
            <rFont val="Tahoma"/>
            <family val="2"/>
          </rPr>
          <t>Sony:</t>
        </r>
        <r>
          <rPr>
            <sz val="9"/>
            <color indexed="81"/>
            <rFont val="Tahoma"/>
            <family val="2"/>
          </rPr>
          <t xml:space="preserve">
500$ SERAN PAGADOS EN 6 MESES</t>
        </r>
      </text>
    </comment>
    <comment ref="F1422" authorId="3" shapeId="0" xr:uid="{930E8969-93C0-4DDF-970E-06FA2CC77010}">
      <text>
        <r>
          <rPr>
            <b/>
            <sz val="9"/>
            <color indexed="81"/>
            <rFont val="Tahoma"/>
            <family val="2"/>
          </rPr>
          <t>Sony:</t>
        </r>
        <r>
          <rPr>
            <sz val="9"/>
            <color indexed="81"/>
            <rFont val="Tahoma"/>
            <family val="2"/>
          </rPr>
          <t xml:space="preserve">
300 EN 4 MESES 24/12/2024</t>
        </r>
      </text>
    </comment>
    <comment ref="F1425" authorId="3" shapeId="0" xr:uid="{B91B9CCA-DA74-452F-96A1-28D2026440F4}">
      <text>
        <r>
          <rPr>
            <b/>
            <sz val="9"/>
            <color indexed="81"/>
            <rFont val="Tahoma"/>
            <family val="2"/>
          </rPr>
          <t>Sony:</t>
        </r>
        <r>
          <rPr>
            <sz val="9"/>
            <color indexed="81"/>
            <rFont val="Tahoma"/>
            <family val="2"/>
          </rPr>
          <t xml:space="preserve">
PAGARAN 1140$ EN 6 MESES 28/02/2025</t>
        </r>
      </text>
    </comment>
    <comment ref="K1425" authorId="3" shapeId="0" xr:uid="{672AB2F1-6CCB-4ADD-BC0C-B45803E09690}">
      <text>
        <r>
          <rPr>
            <b/>
            <sz val="9"/>
            <color indexed="81"/>
            <rFont val="Tahoma"/>
            <family val="2"/>
          </rPr>
          <t>Sony:</t>
        </r>
        <r>
          <rPr>
            <sz val="9"/>
            <color indexed="81"/>
            <rFont val="Tahoma"/>
            <family val="2"/>
          </rPr>
          <t xml:space="preserve">
DS DIF 12M 150$
DN DIF 12M 200$
MC DIF 12M 150$
MC CORRIENTE 200$
VS CORRIENTE 150$</t>
        </r>
      </text>
    </comment>
    <comment ref="F1427" authorId="3" shapeId="0" xr:uid="{BC8D7066-F3C4-4A0B-B75B-6E9E40CC45BE}">
      <text>
        <r>
          <rPr>
            <b/>
            <sz val="9"/>
            <color indexed="81"/>
            <rFont val="Tahoma"/>
            <family val="2"/>
          </rPr>
          <t>Sony:</t>
        </r>
        <r>
          <rPr>
            <sz val="9"/>
            <color indexed="81"/>
            <rFont val="Tahoma"/>
            <family val="2"/>
          </rPr>
          <t xml:space="preserve">
1000$ SERAN PAGADOS 30/08/2024</t>
        </r>
      </text>
    </comment>
    <comment ref="F1429" authorId="3" shapeId="0" xr:uid="{A54793FF-26A4-4C92-9293-0882E61AF628}">
      <text>
        <r>
          <rPr>
            <b/>
            <sz val="9"/>
            <color indexed="81"/>
            <rFont val="Tahoma"/>
            <family val="2"/>
          </rPr>
          <t>Sony:</t>
        </r>
        <r>
          <rPr>
            <sz val="9"/>
            <color indexed="81"/>
            <rFont val="Tahoma"/>
            <family val="2"/>
          </rPr>
          <t xml:space="preserve">
PAGAN 695$ EL 15/10/2024
1595$ EL 27/02/2025</t>
        </r>
      </text>
    </comment>
    <comment ref="N1433" authorId="1" shapeId="0" xr:uid="{1A8A2EC8-6071-4D23-9A22-2B1A73D6BE7D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2000 VS DIF 24M
500 DS DIF 24M
3000 MC CORRIRNTE</t>
        </r>
      </text>
    </comment>
    <comment ref="F1446" authorId="1" shapeId="0" xr:uid="{F5967117-819C-4AB3-9244-34AEA6EF49D1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300 A UN AÑO</t>
        </r>
      </text>
    </comment>
    <comment ref="N1446" authorId="1" shapeId="0" xr:uid="{75BD4442-1AB7-480F-84B3-35D4D7F5395F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300 VS DIF 12M
300 VS DIF 12M
100 VS DIF 12M</t>
        </r>
      </text>
    </comment>
    <comment ref="F1451" authorId="1" shapeId="0" xr:uid="{BDA06A6A-A1EB-4E99-9014-7A4ACD7E95B8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400 A 3 MESES DE LA FIRMA</t>
        </r>
      </text>
    </comment>
    <comment ref="F1453" authorId="1" shapeId="0" xr:uid="{E29A6E15-DE10-4A97-8423-479986E89E85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PAGA VIERNES 13-09
</t>
        </r>
      </text>
    </comment>
    <comment ref="F1456" authorId="3" shapeId="0" xr:uid="{BD341538-B81C-4462-90EB-983A95E420CC}">
      <text>
        <r>
          <rPr>
            <b/>
            <sz val="9"/>
            <color indexed="81"/>
            <rFont val="Tahoma"/>
            <family val="2"/>
          </rPr>
          <t>Sony:</t>
        </r>
        <r>
          <rPr>
            <sz val="9"/>
            <color indexed="81"/>
            <rFont val="Tahoma"/>
            <family val="2"/>
          </rPr>
          <t xml:space="preserve">
PAGAN 1500 10/03/2025
</t>
        </r>
      </text>
    </comment>
    <comment ref="F1459" authorId="3" shapeId="0" xr:uid="{986D7194-B3AB-46EB-B0CD-393B2C8CB62A}">
      <text>
        <r>
          <rPr>
            <b/>
            <sz val="9"/>
            <color indexed="81"/>
            <rFont val="Tahoma"/>
            <family val="2"/>
          </rPr>
          <t>Sony:</t>
        </r>
        <r>
          <rPr>
            <sz val="9"/>
            <color indexed="81"/>
            <rFont val="Tahoma"/>
            <family val="2"/>
          </rPr>
          <t xml:space="preserve">
800$ PAGAN EL 10/03/2025</t>
        </r>
      </text>
    </comment>
    <comment ref="F1460" authorId="3" shapeId="0" xr:uid="{7F9E9103-1F8F-4A6D-BA63-F5326B1D37F9}">
      <text>
        <r>
          <rPr>
            <b/>
            <sz val="9"/>
            <color indexed="81"/>
            <rFont val="Tahoma"/>
            <family val="2"/>
          </rPr>
          <t>Sony:</t>
        </r>
        <r>
          <rPr>
            <sz val="9"/>
            <color indexed="81"/>
            <rFont val="Tahoma"/>
            <family val="2"/>
          </rPr>
          <t xml:space="preserve">
550$ EN 12/03/2025</t>
        </r>
      </text>
    </comment>
    <comment ref="F1461" authorId="3" shapeId="0" xr:uid="{618D59FD-D7E4-4652-8627-BFD6DE2B3A39}">
      <text>
        <r>
          <rPr>
            <b/>
            <sz val="9"/>
            <color indexed="81"/>
            <rFont val="Tahoma"/>
            <family val="2"/>
          </rPr>
          <t>Sony:</t>
        </r>
        <r>
          <rPr>
            <sz val="9"/>
            <color indexed="81"/>
            <rFont val="Tahoma"/>
            <family val="2"/>
          </rPr>
          <t xml:space="preserve">
300$ EL 12/03/2025</t>
        </r>
      </text>
    </comment>
    <comment ref="K1466" authorId="3" shapeId="0" xr:uid="{F0BC7EBA-B299-40CB-95F0-CDAC31B60878}">
      <text>
        <r>
          <rPr>
            <b/>
            <sz val="9"/>
            <color indexed="81"/>
            <rFont val="Tahoma"/>
            <family val="2"/>
          </rPr>
          <t>Sony:</t>
        </r>
        <r>
          <rPr>
            <sz val="9"/>
            <color indexed="81"/>
            <rFont val="Tahoma"/>
            <family val="2"/>
          </rPr>
          <t xml:space="preserve">
500 MC CORRIENTE
200 TRANSFER</t>
        </r>
      </text>
    </comment>
    <comment ref="F1471" authorId="3" shapeId="0" xr:uid="{1288C1F0-1F08-40D5-99E2-35CF70ED2234}">
      <text>
        <r>
          <rPr>
            <b/>
            <sz val="9"/>
            <color indexed="81"/>
            <rFont val="Tahoma"/>
            <family val="2"/>
          </rPr>
          <t>Sony:</t>
        </r>
        <r>
          <rPr>
            <sz val="9"/>
            <color indexed="81"/>
            <rFont val="Tahoma"/>
            <family val="2"/>
          </rPr>
          <t xml:space="preserve">
300$ EL 13/04/2025</t>
        </r>
      </text>
    </comment>
    <comment ref="F1472" authorId="3" shapeId="0" xr:uid="{1EE96CB3-6ED3-49B0-8C14-DBD7E8190F6A}">
      <text>
        <r>
          <rPr>
            <b/>
            <sz val="9"/>
            <color indexed="81"/>
            <rFont val="Tahoma"/>
            <family val="2"/>
          </rPr>
          <t>Sony:</t>
        </r>
        <r>
          <rPr>
            <sz val="9"/>
            <color indexed="81"/>
            <rFont val="Tahoma"/>
            <family val="2"/>
          </rPr>
          <t xml:space="preserve">
100$ 14/09/2025</t>
        </r>
      </text>
    </comment>
    <comment ref="K1476" authorId="2" shapeId="0" xr:uid="{BAFC9732-63AB-4B73-BC44-00D6EDA1DC90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1800 VS DIF 24M
990 PAYPHONE</t>
        </r>
      </text>
    </comment>
    <comment ref="K1477" authorId="2" shapeId="0" xr:uid="{7180A16B-96F0-4A7D-8C96-8CE307B9D23C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250 VS DIF 12M
1200 VS DIF 24M</t>
        </r>
      </text>
    </comment>
    <comment ref="K1483" authorId="2" shapeId="0" xr:uid="{ED29FBD4-179E-4302-8E10-7F79AC880A20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1500 VS DIF 24M
1500 VS DIF 24M</t>
        </r>
      </text>
    </comment>
    <comment ref="F1484" authorId="2" shapeId="0" xr:uid="{A86ED6F3-80F9-47E8-AEA9-C351FC3FDB30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790 26/09/2024</t>
        </r>
      </text>
    </comment>
    <comment ref="F1486" authorId="2" shapeId="0" xr:uid="{F8C8FFCE-C594-44EB-B831-CBF7C43B7057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5290 26/09/2024</t>
        </r>
      </text>
    </comment>
    <comment ref="K1486" authorId="2" shapeId="0" xr:uid="{4FC21B80-37E8-496A-BAD5-786A02F16EB8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700 VS DIF 24M
1400 VS DIF 24M
900 PAYPHONE
600 DATALINK</t>
        </r>
      </text>
    </comment>
    <comment ref="F1498" authorId="2" shapeId="0" xr:uid="{CB657CF1-632C-42AE-95A9-BA7AC5145BBA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1500$ EL 04/10/2024</t>
        </r>
      </text>
    </comment>
    <comment ref="K1499" authorId="2" shapeId="0" xr:uid="{547966CE-3216-45BF-A63E-5A7E9CC5E289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600 DN DIF 24M
600 PAYPHONE</t>
        </r>
      </text>
    </comment>
    <comment ref="K1505" authorId="2" shapeId="0" xr:uid="{0BABE795-0CC5-4DD1-B7FE-8A9BBBEA2E45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1000$ PAYPHONE
700$ LINK DE PAGO</t>
        </r>
      </text>
    </comment>
    <comment ref="K1510" authorId="2" shapeId="0" xr:uid="{D4A4847E-052D-45C2-B9FB-92FB68B9E44F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500 VS INTERNACIONAL
500 LINK DE PAGO</t>
        </r>
      </text>
    </comment>
    <comment ref="F1512" authorId="2" shapeId="0" xr:uid="{5A80FB54-269B-4FDD-96FA-4B6D57675094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FALTAN 300</t>
        </r>
      </text>
    </comment>
    <comment ref="K1516" authorId="2" shapeId="0" xr:uid="{BC34D0FF-7C45-4796-9351-4E9F5DD15167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1990$ LINK DE PAGO
1000$ DN DIF 24M</t>
        </r>
      </text>
    </comment>
    <comment ref="K1522" authorId="2" shapeId="0" xr:uid="{D987F6F0-91DB-4DCC-B496-EB1B328F4C31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1500 VS CORRIENTE
1490 MC CORRIENTE</t>
        </r>
      </text>
    </comment>
    <comment ref="K1523" authorId="2" shapeId="0" xr:uid="{85E34028-C795-4490-958B-3C7A06C6221D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2000$ EDUARDO
991$ LEONARDO
</t>
        </r>
      </text>
    </comment>
    <comment ref="F1524" authorId="2" shapeId="0" xr:uid="{D3062A57-C850-4DB9-A443-1B30DB4DCEEC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790$ 22/10/2025</t>
        </r>
      </text>
    </comment>
    <comment ref="K1524" authorId="2" shapeId="0" xr:uid="{511903BA-2CFD-4AFC-BC9E-DC7DAB52D88C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600$ MC DIF 12M
600$ DN DIF 12M
300$ VS DF 12M
300$ PAYPHONE</t>
        </r>
      </text>
    </comment>
    <comment ref="K1528" authorId="2" shapeId="0" xr:uid="{E7731E62-0765-4CC8-977A-2F6914405E69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4000$ EDUARDO
1990$ LEONARDO</t>
        </r>
      </text>
    </comment>
    <comment ref="K1538" authorId="2" shapeId="0" xr:uid="{4FF3BCB3-176C-4787-ABE2-78314360A600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600$ MC DIF 24M
600$ DN DIF 24M</t>
        </r>
      </text>
    </comment>
    <comment ref="K1541" authorId="2" shapeId="0" xr:uid="{6056832B-5711-463F-8737-3046334E3764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1000$ DATA LINK
50$ PAYPHONE EDUARDO</t>
        </r>
      </text>
    </comment>
    <comment ref="I1542" authorId="2" shapeId="0" xr:uid="{1C9FD074-1EF1-4B8E-BA81-D77B272FA8E0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CON IMPUESTOS</t>
        </r>
      </text>
    </comment>
    <comment ref="K1542" authorId="2" shapeId="0" xr:uid="{265B2193-559C-4340-BDA9-77D3FC82CB0A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300$ GRUPO NOVA
400$ PAYPHONE EDUARDO</t>
        </r>
      </text>
    </comment>
    <comment ref="F1550" authorId="2" shapeId="0" xr:uid="{8B437F7C-4E97-46A3-BDA3-B765C1138FAB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PAGAN 2990$ 30/10/2024</t>
        </r>
      </text>
    </comment>
    <comment ref="K1553" authorId="2" shapeId="0" xr:uid="{9AD137B1-CDBA-4B0A-94C4-C0550A645C4F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100$ PAYPHONE JULIO
900$ PAYPHONE EDUARDO</t>
        </r>
      </text>
    </comment>
    <comment ref="K1556" authorId="2" shapeId="0" xr:uid="{8181A151-1A12-4C2A-B0DB-9BD36ED473E5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1200$
300$</t>
        </r>
      </text>
    </comment>
    <comment ref="K1562" authorId="2" shapeId="0" xr:uid="{5B72840D-1054-45D8-9983-226CA28ACE26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700$ GRUPO NOVA
350 PAYPHONE EDUARDO</t>
        </r>
      </text>
    </comment>
    <comment ref="F1563" authorId="2" shapeId="0" xr:uid="{95DA2188-FA25-4F22-BB23-B3EE4CE4B753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850$ PAGA EL 15/11/2024</t>
        </r>
      </text>
    </comment>
    <comment ref="K1566" authorId="2" shapeId="0" xr:uid="{C5C83A4C-EB45-423B-9AF5-8514A7830F6A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5000$ PAYPHONE EDUARDO
1000$ DATA LINK</t>
        </r>
      </text>
    </comment>
    <comment ref="F1568" authorId="2" shapeId="0" xr:uid="{C161CECC-4F8A-4412-B259-62BF32427288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2999$ 15/02/2025
2999$ 15/05/2025</t>
        </r>
      </text>
    </comment>
    <comment ref="K1572" authorId="2" shapeId="0" xr:uid="{EFC75D71-683B-49AE-84EC-B32BC79A65B7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1000$ DATA LINK
300$ JULIO</t>
        </r>
      </text>
    </comment>
    <comment ref="K1578" authorId="2" shapeId="0" xr:uid="{97AE936D-2422-486A-BAAB-A09DC0547129}">
      <text>
        <r>
          <rPr>
            <b/>
            <sz val="9"/>
            <color indexed="81"/>
            <rFont val="Tahoma"/>
            <family val="2"/>
          </rPr>
          <t>Juan Carlos Rios GAMES:
$600 JULIO
$100 ADRIAN</t>
        </r>
      </text>
    </comment>
    <comment ref="F1581" authorId="2" shapeId="0" xr:uid="{0AD9DB89-5F0B-4F47-842C-DE06643D97B1}">
      <text>
        <r>
          <rPr>
            <b/>
            <sz val="9"/>
            <color indexed="81"/>
            <rFont val="Tahoma"/>
            <family val="2"/>
          </rPr>
          <t>Juan Carlos Rios GAMES:
$500 TRANSFERENCIA 22/11/2024
$590 21/11/2025</t>
        </r>
      </text>
    </comment>
    <comment ref="F1585" authorId="2" shapeId="0" xr:uid="{5215ADEC-C8B6-40FF-98A1-F5AD396F7794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COORDINAR CLIENTE PAGO</t>
        </r>
      </text>
    </comment>
    <comment ref="F1587" authorId="2" shapeId="0" xr:uid="{C52CBEC5-30FC-4F04-8098-431A4A0423AE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$300 23/11/2025</t>
        </r>
      </text>
    </comment>
    <comment ref="K1587" authorId="2" shapeId="0" xr:uid="{07BFCF24-F719-4BE9-9226-A66EDD4DE8FB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$300 EDUARDO
$100 ADRIAN</t>
        </r>
      </text>
    </comment>
    <comment ref="K1589" authorId="2" shapeId="0" xr:uid="{FC3B6ABB-5FF4-4A27-9331-DD1F27DE2FF2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DN DIF 24M $300
AMEX CORRIENTE $1500</t>
        </r>
      </text>
    </comment>
    <comment ref="K1592" authorId="2" shapeId="0" xr:uid="{E4E6E758-E0AB-44F4-AB32-37869019FF28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$1000 DATA LINK
$1000 GRUPO NOVA</t>
        </r>
      </text>
    </comment>
    <comment ref="F1594" authorId="2" shapeId="0" xr:uid="{95D8F868-F3A5-4E1B-A104-E619A658F0AD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$1300 20/12/2024</t>
        </r>
      </text>
    </comment>
    <comment ref="K1596" authorId="2" shapeId="0" xr:uid="{321803B9-95F9-40E2-B6DD-3E23AB047168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$450 VS DIF 24M
$300 VS DIF 12M
$300 DS DIF 12M</t>
        </r>
      </text>
    </comment>
    <comment ref="K1600" authorId="2" shapeId="0" xr:uid="{DAFD6422-29F8-497B-94A0-BFA50856E252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$3000 DATA LINK
$1000 PAYPHONE LEO
$1000 PAYPHONE LEO
$990 PAYPHONE LEO</t>
        </r>
      </text>
    </comment>
    <comment ref="F1601" authorId="2" shapeId="0" xr:uid="{A1130400-FFA1-47C5-BEDB-E2286CC88D3A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$3990 FALTAN</t>
        </r>
      </text>
    </comment>
    <comment ref="N1602" authorId="1" shapeId="0" xr:uid="{CB5E6E25-7ECA-4E47-8D52-3E7A6AD89B81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1000CARLOS
100 LEO</t>
        </r>
      </text>
    </comment>
    <comment ref="N1603" authorId="1" shapeId="0" xr:uid="{7EE39B73-A27F-45F5-AEBB-45A95B028BA8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550 CARLOS
500 LEO</t>
        </r>
      </text>
    </comment>
    <comment ref="F1607" authorId="1" shapeId="0" xr:uid="{FEF2108F-3E05-4187-9522-E75A66149B50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700 PAGA EN 6 MESES</t>
        </r>
      </text>
    </comment>
    <comment ref="F1612" authorId="1" shapeId="0" xr:uid="{72CFBE78-095C-424A-9270-19543F1E5D7F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300 JUNIO 2025</t>
        </r>
      </text>
    </comment>
    <comment ref="N1613" authorId="1" shapeId="0" xr:uid="{EFF30D92-A383-488D-A40F-86DC51E7ACEE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400 ADRIAN
200 CARLOS
1000 JULIO</t>
        </r>
      </text>
    </comment>
    <comment ref="F1617" authorId="1" shapeId="0" xr:uid="{6F4CBC79-2E70-4CDB-8C54-D003A750470A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1600 paga en 3 meses a partir de la firma</t>
        </r>
      </text>
    </comment>
    <comment ref="F1619" authorId="1" shapeId="0" xr:uid="{45187C91-E976-40EB-AF8D-7963D766D2A2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940 paga en 6meses</t>
        </r>
      </text>
    </comment>
    <comment ref="F1623" authorId="1" shapeId="0" xr:uid="{E58F22A3-DB43-4077-B374-6BCD7EC073AB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400 SERAN PAGOS EN 6 MESES DE LA FIRMA</t>
        </r>
      </text>
    </comment>
    <comment ref="N1623" authorId="1" shapeId="0" xr:uid="{1B5EFAD6-0FAD-44CA-8BE1-24D3AC8A448E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300 EDUARDO
100 ADRIAN
100 DS DIF 24M
100 DN DIF 24M</t>
        </r>
      </text>
    </comment>
    <comment ref="N1625" authorId="1" shapeId="0" xr:uid="{067697ED-0D03-4357-A8EA-0C674F8423E6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800- EDUARDO
200- CARLOS</t>
        </r>
      </text>
    </comment>
    <comment ref="K1632" authorId="2" shapeId="0" xr:uid="{5374A9F0-ECB9-4FEC-8950-84A214127E4A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$1000 PAYPHONE JULIO
$2000 DATA LINK</t>
        </r>
      </text>
    </comment>
    <comment ref="K1633" authorId="2" shapeId="0" xr:uid="{DD186756-28F8-449B-B2D2-659C6DDA8C33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$3000 PAYPHONE EDGAR
$1000 GRUPO NOVA</t>
        </r>
      </text>
    </comment>
    <comment ref="J1635" authorId="2" shapeId="0" xr:uid="{1F9C2398-5F22-4C35-9BDA-D945712483E4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$1000 LEO
$1000 OSCAR</t>
        </r>
      </text>
    </comment>
    <comment ref="J1636" authorId="2" shapeId="0" xr:uid="{3750FA3C-1518-42D8-9D31-841D6FEFC741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$1000 LEO
$990 OSCAR</t>
        </r>
      </text>
    </comment>
    <comment ref="J1638" authorId="2" shapeId="0" xr:uid="{35C79CF2-B13F-4371-A7F6-F23E248F837E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$3000 OSCAR
$990 LEO</t>
        </r>
      </text>
    </comment>
    <comment ref="F1641" authorId="2" shapeId="0" xr:uid="{2CF83B51-E216-4541-B1E0-36DEE68E4247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1790$ 30/01/2025</t>
        </r>
      </text>
    </comment>
  </commentList>
</comments>
</file>

<file path=xl/sharedStrings.xml><?xml version="1.0" encoding="utf-8"?>
<sst xmlns="http://schemas.openxmlformats.org/spreadsheetml/2006/main" count="18022" uniqueCount="9743">
  <si>
    <t xml:space="preserve">FECHA </t>
  </si>
  <si>
    <t xml:space="preserve">CONTRATO </t>
  </si>
  <si>
    <t xml:space="preserve">NOMBRES </t>
  </si>
  <si>
    <t xml:space="preserve">APELLIDOS </t>
  </si>
  <si>
    <t xml:space="preserve">CEDULA </t>
  </si>
  <si>
    <t xml:space="preserve">TELEFONO </t>
  </si>
  <si>
    <t>NOCHES</t>
  </si>
  <si>
    <t>AÑOS</t>
  </si>
  <si>
    <t>INTERNACIONAL</t>
  </si>
  <si>
    <t>DATA</t>
  </si>
  <si>
    <t>TIPO</t>
  </si>
  <si>
    <t xml:space="preserve">NETO </t>
  </si>
  <si>
    <t xml:space="preserve">IVA </t>
  </si>
  <si>
    <t xml:space="preserve">TOTAL </t>
  </si>
  <si>
    <t>CORREO ELEC</t>
  </si>
  <si>
    <t>LINER</t>
  </si>
  <si>
    <t>CLOSED</t>
  </si>
  <si>
    <t>OBSERVACIONES</t>
  </si>
  <si>
    <t>KMPRY LOH-1001</t>
  </si>
  <si>
    <t xml:space="preserve">MERCEDES PATRICIA </t>
  </si>
  <si>
    <t>VILLAVICENCIO RUIZ</t>
  </si>
  <si>
    <t>KMPRY-LOH-1002</t>
  </si>
  <si>
    <t xml:space="preserve">MARCOS DAVID </t>
  </si>
  <si>
    <t xml:space="preserve">RIOFRIO LOZANO </t>
  </si>
  <si>
    <t>KMPRY-LOH-1003</t>
  </si>
  <si>
    <t xml:space="preserve">ANGELA DALILA </t>
  </si>
  <si>
    <t xml:space="preserve">ROMAN LAPO </t>
  </si>
  <si>
    <t>KMPRY-LOH-1004</t>
  </si>
  <si>
    <t xml:space="preserve">ELVIA FLORESMILA </t>
  </si>
  <si>
    <t xml:space="preserve">MATAILO PINTA </t>
  </si>
  <si>
    <t>KMPRY-LOH-1005</t>
  </si>
  <si>
    <t xml:space="preserve">BEATRIZ SALOME </t>
  </si>
  <si>
    <t xml:space="preserve">ROSADO TAPIA </t>
  </si>
  <si>
    <t>KMPRY-LOH-1006</t>
  </si>
  <si>
    <t xml:space="preserve">MARIA ANTONIETA </t>
  </si>
  <si>
    <t xml:space="preserve">OCHOA PALADINES </t>
  </si>
  <si>
    <t>KMPRY-MCH-1007</t>
  </si>
  <si>
    <t>KERLY ALEXANDRA</t>
  </si>
  <si>
    <t xml:space="preserve">CUEVA GUERRERO </t>
  </si>
  <si>
    <t>KMPRY-MCH-1008</t>
  </si>
  <si>
    <t xml:space="preserve">CESAR ALBERTO </t>
  </si>
  <si>
    <t xml:space="preserve">CABANILLA DUTAN </t>
  </si>
  <si>
    <t>KMPRY-MCH-1009</t>
  </si>
  <si>
    <t xml:space="preserve">PRISCILA LISSBETH </t>
  </si>
  <si>
    <t>PONTON ESPINOZA</t>
  </si>
  <si>
    <t>KMPRY-MCH-1010</t>
  </si>
  <si>
    <t xml:space="preserve">MIRIAM ALEXANDRA </t>
  </si>
  <si>
    <t>QUINDE MALDONADO</t>
  </si>
  <si>
    <t>KMPRY-MCH-1011</t>
  </si>
  <si>
    <t xml:space="preserve">ENMA TEREZA </t>
  </si>
  <si>
    <t xml:space="preserve">BLANCA VERA </t>
  </si>
  <si>
    <t>KMPRY-MCH-1012</t>
  </si>
  <si>
    <t xml:space="preserve">MARIA DEL CISNE </t>
  </si>
  <si>
    <t xml:space="preserve">ORDOÑEZ LUCIN </t>
  </si>
  <si>
    <t>KMPRY-MCH-1014</t>
  </si>
  <si>
    <t xml:space="preserve">HAYDEE DEL CISNE </t>
  </si>
  <si>
    <t xml:space="preserve">ORELLANA VILLAO </t>
  </si>
  <si>
    <t xml:space="preserve">AEJANDRO / LEONARDO </t>
  </si>
  <si>
    <t>MAYRA</t>
  </si>
  <si>
    <t xml:space="preserve">MARIAN </t>
  </si>
  <si>
    <t xml:space="preserve">RONALD </t>
  </si>
  <si>
    <t xml:space="preserve">LEONARDO </t>
  </si>
  <si>
    <t xml:space="preserve">DIEGO </t>
  </si>
  <si>
    <t xml:space="preserve">EDUARDO </t>
  </si>
  <si>
    <t>ROANLD</t>
  </si>
  <si>
    <t>ZINDY</t>
  </si>
  <si>
    <t xml:space="preserve">JOSE </t>
  </si>
  <si>
    <t xml:space="preserve">MAYRA </t>
  </si>
  <si>
    <t xml:space="preserve">DANIEL </t>
  </si>
  <si>
    <t xml:space="preserve">ZINDY </t>
  </si>
  <si>
    <t xml:space="preserve">MA ALEJANDRA </t>
  </si>
  <si>
    <t>KMPRY-OTV-1015</t>
  </si>
  <si>
    <t xml:space="preserve">LUIS HUMBRETO </t>
  </si>
  <si>
    <t xml:space="preserve">RUEDA RUIZ </t>
  </si>
  <si>
    <t>KMPRY-OTV-1013</t>
  </si>
  <si>
    <t xml:space="preserve">DIEGO VINICIO </t>
  </si>
  <si>
    <t>PINTO BUSTILLOS</t>
  </si>
  <si>
    <t>KMPRY-OTV-1016</t>
  </si>
  <si>
    <t xml:space="preserve">MARCO ENRIQUE </t>
  </si>
  <si>
    <t xml:space="preserve">MENDEZ CHICAIZA </t>
  </si>
  <si>
    <t>KMPRY-OTV-1017</t>
  </si>
  <si>
    <t xml:space="preserve">CARLOS MANUEL </t>
  </si>
  <si>
    <t xml:space="preserve">DIAZ MALDONADO </t>
  </si>
  <si>
    <t>KMPRY-OTV-1018</t>
  </si>
  <si>
    <t>MIRIAM CONSUELO</t>
  </si>
  <si>
    <t xml:space="preserve">QUIMBO LEMA </t>
  </si>
  <si>
    <t>KMPRY-OTV-1019</t>
  </si>
  <si>
    <t xml:space="preserve">AMPARITO MYRIAM </t>
  </si>
  <si>
    <t xml:space="preserve">VALENZUELA BARAHONA </t>
  </si>
  <si>
    <t>KMPRY-OTV-1020</t>
  </si>
  <si>
    <t xml:space="preserve">JOSE MAURICIO </t>
  </si>
  <si>
    <t xml:space="preserve">CERVANTES CALDERON </t>
  </si>
  <si>
    <t>KMPRY-UIO -1021</t>
  </si>
  <si>
    <t xml:space="preserve">GUIDO WLADIMIR </t>
  </si>
  <si>
    <t xml:space="preserve">NEGRETE BRAVO </t>
  </si>
  <si>
    <t>KMPRY-UIO-1022</t>
  </si>
  <si>
    <t xml:space="preserve">ANA MARIA </t>
  </si>
  <si>
    <t xml:space="preserve">MERA VARGAS </t>
  </si>
  <si>
    <t>KMPRY-PTV-1023</t>
  </si>
  <si>
    <t>CLARA MONSERRATE</t>
  </si>
  <si>
    <t xml:space="preserve">ZAMBRANO MOREIRA </t>
  </si>
  <si>
    <t>KMPRY-PTV-1024</t>
  </si>
  <si>
    <t xml:space="preserve">XIMENA CARMEN </t>
  </si>
  <si>
    <t xml:space="preserve">VEGA LOZADA </t>
  </si>
  <si>
    <t>KMPRY-PTV-1025</t>
  </si>
  <si>
    <t xml:space="preserve">LESLY SARAY </t>
  </si>
  <si>
    <t xml:space="preserve">RODRIGUEZ ESPINAL </t>
  </si>
  <si>
    <t>KMPRY-PTV-1026</t>
  </si>
  <si>
    <t xml:space="preserve">YANDRI GEOVANNY </t>
  </si>
  <si>
    <t xml:space="preserve">CHAVEZ CEVALLOS </t>
  </si>
  <si>
    <t>KMPRY-PTV-1027</t>
  </si>
  <si>
    <t xml:space="preserve">ESTELA ISABEL </t>
  </si>
  <si>
    <t xml:space="preserve">MANCHENO GUERRERO </t>
  </si>
  <si>
    <t>KMPRY-PTV-1028</t>
  </si>
  <si>
    <t xml:space="preserve">AMPARO ELIZABETH </t>
  </si>
  <si>
    <t>BRAVO BONILLA</t>
  </si>
  <si>
    <t>KMPRY-PTV-1029</t>
  </si>
  <si>
    <t xml:space="preserve">MARLON ARTURO </t>
  </si>
  <si>
    <t xml:space="preserve">CEDEÑO ALAVA </t>
  </si>
  <si>
    <t>KMPRY-PTV-1030</t>
  </si>
  <si>
    <t xml:space="preserve">GINA CARLOTA </t>
  </si>
  <si>
    <t xml:space="preserve">BRIONES CEDEÑO </t>
  </si>
  <si>
    <t>KMPRY-PTV-1031</t>
  </si>
  <si>
    <t>CHARLES HORACIO</t>
  </si>
  <si>
    <t xml:space="preserve">GOMEZ ULLOA </t>
  </si>
  <si>
    <t>KMPRY-PTV-1032</t>
  </si>
  <si>
    <t xml:space="preserve">ANTONIO JAVIER </t>
  </si>
  <si>
    <t xml:space="preserve">PINARGOTE PICO </t>
  </si>
  <si>
    <t>KMPRY-PTV-1033</t>
  </si>
  <si>
    <t xml:space="preserve">LUZ MARIANA BEATRIZ </t>
  </si>
  <si>
    <t xml:space="preserve">RIVADENEIRA VITERI </t>
  </si>
  <si>
    <t>KMPRY-PTV-1034</t>
  </si>
  <si>
    <t xml:space="preserve">WILSON MARCELO </t>
  </si>
  <si>
    <t xml:space="preserve">TALLEDO LUCAS </t>
  </si>
  <si>
    <t>KMPRY-PTV-1035</t>
  </si>
  <si>
    <t xml:space="preserve">LILIAN BETARIZ </t>
  </si>
  <si>
    <t xml:space="preserve">PILAZO MARTINEZ </t>
  </si>
  <si>
    <t>KMPRY-PTV-1036</t>
  </si>
  <si>
    <t xml:space="preserve">LILIANA MIRELLA </t>
  </si>
  <si>
    <t>MENDOZA MENDOZA</t>
  </si>
  <si>
    <t>KMPRY-PTV-1037</t>
  </si>
  <si>
    <t xml:space="preserve">ALBA MARIA </t>
  </si>
  <si>
    <t xml:space="preserve">MERO SLDARRIAGA </t>
  </si>
  <si>
    <t>KMPRY-PTV-1038</t>
  </si>
  <si>
    <t>JANETH MONSERRATE</t>
  </si>
  <si>
    <t>HURTADO TUAREZ</t>
  </si>
  <si>
    <t>KMPRY-PTV-1039</t>
  </si>
  <si>
    <t xml:space="preserve">ALFIDO ALMAGRO </t>
  </si>
  <si>
    <t>MERA QUIROZ</t>
  </si>
  <si>
    <t>KMPRY-PTV-1040</t>
  </si>
  <si>
    <t xml:space="preserve">MARIA JOSE </t>
  </si>
  <si>
    <t xml:space="preserve">MOREIRA CASTRO </t>
  </si>
  <si>
    <t>KMPRY-PTV-1041</t>
  </si>
  <si>
    <t xml:space="preserve">ANDREA MARIANA </t>
  </si>
  <si>
    <t>CEVALLOS CEDEÑO</t>
  </si>
  <si>
    <t>KMPRY-PTV-1042</t>
  </si>
  <si>
    <t xml:space="preserve">GENESIS GEMA </t>
  </si>
  <si>
    <t xml:space="preserve">MOLINA MERA </t>
  </si>
  <si>
    <t>KMPRY-PTV-1043</t>
  </si>
  <si>
    <t xml:space="preserve">ANGELICA FERNANDA </t>
  </si>
  <si>
    <t>VIZUETA SANCHEZ</t>
  </si>
  <si>
    <t>KMPRY-PTV-1044</t>
  </si>
  <si>
    <t xml:space="preserve">PEDRO RAMIRO </t>
  </si>
  <si>
    <t xml:space="preserve">PAREDES MONAR </t>
  </si>
  <si>
    <t>KMPRY-PTV-1045</t>
  </si>
  <si>
    <t xml:space="preserve">DIANA MARIA AUXILIADORA </t>
  </si>
  <si>
    <t>VALENCIA SOLORZANO</t>
  </si>
  <si>
    <t>KMPRY-PTV-1046</t>
  </si>
  <si>
    <t>CARLA ANDREA</t>
  </si>
  <si>
    <t xml:space="preserve">STOPPER AVEIGA </t>
  </si>
  <si>
    <t>KMPRY-PTV-1047</t>
  </si>
  <si>
    <t>ANDREA VERONICA</t>
  </si>
  <si>
    <t xml:space="preserve">OLMEDO MOLINA </t>
  </si>
  <si>
    <t>KMPRY-PTV-1048</t>
  </si>
  <si>
    <t>JENIFER ELIZABETH</t>
  </si>
  <si>
    <t xml:space="preserve">PALMA PIN </t>
  </si>
  <si>
    <t>KMPRY-PTV-1049</t>
  </si>
  <si>
    <t xml:space="preserve">MARIA ELENA </t>
  </si>
  <si>
    <t xml:space="preserve">PACHAY LEON </t>
  </si>
  <si>
    <t>KMPRY-PTV-1050</t>
  </si>
  <si>
    <t xml:space="preserve">VICTOR HUGO </t>
  </si>
  <si>
    <t>ARMENDARIZ ESPINOZA</t>
  </si>
  <si>
    <t>KMPRY  MCS 1051</t>
  </si>
  <si>
    <t>MARIA ALEXANDRA</t>
  </si>
  <si>
    <t xml:space="preserve">VERDUGO GONZALEZ </t>
  </si>
  <si>
    <t>KMPRY  MCS 1052</t>
  </si>
  <si>
    <t>CARLOS GIOVANNY</t>
  </si>
  <si>
    <t xml:space="preserve">SAGUAY DUTAN </t>
  </si>
  <si>
    <t>KMPRY  MCS 1053</t>
  </si>
  <si>
    <t>MARIA DEL CARMEN</t>
  </si>
  <si>
    <t xml:space="preserve">MORENO ORELLANA </t>
  </si>
  <si>
    <t>KMPRY  MCS 1054</t>
  </si>
  <si>
    <t>ANDRES HECTOR</t>
  </si>
  <si>
    <t>MORALES VICUÑA</t>
  </si>
  <si>
    <t>KMPRY  MCS 1055</t>
  </si>
  <si>
    <t>CRISTINA MARILIN</t>
  </si>
  <si>
    <t>GAROFALO MALDONADO</t>
  </si>
  <si>
    <t>DINERS 36M</t>
  </si>
  <si>
    <t>AMEXCORIIENTE</t>
  </si>
  <si>
    <t>MC CORRIENTE</t>
  </si>
  <si>
    <t>VS CORRIENTE</t>
  </si>
  <si>
    <t>DINERS 24M</t>
  </si>
  <si>
    <t>VISA 36M</t>
  </si>
  <si>
    <t>VISA 12M</t>
  </si>
  <si>
    <t xml:space="preserve">CORRIENTE </t>
  </si>
  <si>
    <t>VISA 36</t>
  </si>
  <si>
    <t>AMEX 36M</t>
  </si>
  <si>
    <t>DISCOVER 6M</t>
  </si>
  <si>
    <t xml:space="preserve">DINERS 36M </t>
  </si>
  <si>
    <t xml:space="preserve">VISA 36M </t>
  </si>
  <si>
    <t>DINERS 12M</t>
  </si>
  <si>
    <t>EFECTIVO</t>
  </si>
  <si>
    <t xml:space="preserve">SOLNAGE </t>
  </si>
  <si>
    <t xml:space="preserve">JOSE M </t>
  </si>
  <si>
    <t xml:space="preserve">CARLOS </t>
  </si>
  <si>
    <t xml:space="preserve">SOLANGE </t>
  </si>
  <si>
    <t xml:space="preserve">ALEJANDRO </t>
  </si>
  <si>
    <t>ALEJANDRO G</t>
  </si>
  <si>
    <t>GUILLERMO</t>
  </si>
  <si>
    <t xml:space="preserve">M ALEJANDRA </t>
  </si>
  <si>
    <t xml:space="preserve">GUILLERMO </t>
  </si>
  <si>
    <t>RONALD</t>
  </si>
  <si>
    <t>MA ALEJANDRA</t>
  </si>
  <si>
    <t>JOSE.M</t>
  </si>
  <si>
    <t>SOLANGE</t>
  </si>
  <si>
    <t>LEONARDO</t>
  </si>
  <si>
    <t>ELOY</t>
  </si>
  <si>
    <t>KMPRY  MCS 1056</t>
  </si>
  <si>
    <t>LOLI MARIANITA</t>
  </si>
  <si>
    <t xml:space="preserve">BASANTE JARA </t>
  </si>
  <si>
    <t>KMPRY  MCS 1057</t>
  </si>
  <si>
    <t>HERIBERTO WILSON</t>
  </si>
  <si>
    <t xml:space="preserve">VASQUEZ VEGA </t>
  </si>
  <si>
    <t>KMPRY  MCS 1058</t>
  </si>
  <si>
    <t>JESSICA CATHERINE</t>
  </si>
  <si>
    <t>SANTELLAN SANCHIM</t>
  </si>
  <si>
    <t>KMPRY  MCS 1059</t>
  </si>
  <si>
    <t>DIGNA MARISOL</t>
  </si>
  <si>
    <t>ZHUNIO PILLACELA</t>
  </si>
  <si>
    <t>KMPRY  BBH 1060</t>
  </si>
  <si>
    <t>MARTHA ROCIO</t>
  </si>
  <si>
    <t>CIFUENTES VASCONEZ</t>
  </si>
  <si>
    <t>KMPRY  BBH 1061</t>
  </si>
  <si>
    <t>JOEL ABELARDO</t>
  </si>
  <si>
    <t>CHICA TROYA</t>
  </si>
  <si>
    <t>KMPRY  BBH 1062</t>
  </si>
  <si>
    <t>MARITZA LEONOR</t>
  </si>
  <si>
    <t>CASTRO ORTIZ</t>
  </si>
  <si>
    <t>KMPRY  BBH 1063</t>
  </si>
  <si>
    <t>ENEIDA MARISOL</t>
  </si>
  <si>
    <t xml:space="preserve">BASTIDAS MUÑOZ </t>
  </si>
  <si>
    <t>KMPRY  BBH 1064</t>
  </si>
  <si>
    <t xml:space="preserve">FLAVIO RAUL </t>
  </si>
  <si>
    <t>RAMOS MARTINEZ</t>
  </si>
  <si>
    <t>KMPRY  BBH 1065</t>
  </si>
  <si>
    <t xml:space="preserve">GLORIA ADELINA </t>
  </si>
  <si>
    <t>MORAN MURILLO</t>
  </si>
  <si>
    <t>KMPRY  BBH 1066</t>
  </si>
  <si>
    <t>JORGE JAJIL</t>
  </si>
  <si>
    <t>VERA MENDOZA</t>
  </si>
  <si>
    <t>KMPRY  AMB 1067</t>
  </si>
  <si>
    <t>ALEX OSWALDO</t>
  </si>
  <si>
    <t xml:space="preserve">COBO RODRIGUEZ </t>
  </si>
  <si>
    <t>KMPRY  AMB 1068</t>
  </si>
  <si>
    <t xml:space="preserve">DIANA CAROLINA </t>
  </si>
  <si>
    <t xml:space="preserve">GOMEZ MORAN </t>
  </si>
  <si>
    <t>KMPRY  AMB 1069</t>
  </si>
  <si>
    <t>DIEGO FERNANDO</t>
  </si>
  <si>
    <t>FIALLOS QUINGA</t>
  </si>
  <si>
    <t>KMPRY  AMB 1070</t>
  </si>
  <si>
    <t xml:space="preserve">JORGE LUIS </t>
  </si>
  <si>
    <t>PAEZ GUZMAN</t>
  </si>
  <si>
    <t>KMPRY  AMB 1071</t>
  </si>
  <si>
    <t>SANDRA ELIZABETH</t>
  </si>
  <si>
    <t>MENA MORA</t>
  </si>
  <si>
    <t>KMPRY AMB 1072 A</t>
  </si>
  <si>
    <t xml:space="preserve">IVAN ALBERTO </t>
  </si>
  <si>
    <t>PEREZ MOLINA</t>
  </si>
  <si>
    <t>KMPRY TUL 1072 B</t>
  </si>
  <si>
    <t>JENNY LOURDES</t>
  </si>
  <si>
    <t xml:space="preserve">LOMA ROSERO </t>
  </si>
  <si>
    <t>KMPRY TUL 1073</t>
  </si>
  <si>
    <t>GERMANIA DEL SOCORRO</t>
  </si>
  <si>
    <t>HERNANDEZ HERNANDEZ</t>
  </si>
  <si>
    <t>KMPRY TUL 1074</t>
  </si>
  <si>
    <t>LUIS SIGIFREDO</t>
  </si>
  <si>
    <t xml:space="preserve">RUALES GARCES </t>
  </si>
  <si>
    <t>KMPRY TUL 1075</t>
  </si>
  <si>
    <t>CRISTIAN ERLENI</t>
  </si>
  <si>
    <t>PORTILLA ORTIZ</t>
  </si>
  <si>
    <t>KMPRY TUL 1076</t>
  </si>
  <si>
    <t xml:space="preserve">MARCO HOMERO </t>
  </si>
  <si>
    <t>CAICEDON CASTILLO</t>
  </si>
  <si>
    <t>KMPRY CUE 1077</t>
  </si>
  <si>
    <t>FERNANDO OCTAVIO</t>
  </si>
  <si>
    <t>CARRION PLATON</t>
  </si>
  <si>
    <t>KMPRY CUE 1078</t>
  </si>
  <si>
    <t xml:space="preserve">KARELIS </t>
  </si>
  <si>
    <t>TARAZON MONTENEGRO</t>
  </si>
  <si>
    <t>KMPRY CUE 1079</t>
  </si>
  <si>
    <t>ESTHER PAULINA</t>
  </si>
  <si>
    <t>BELTRAN OCAMPOS</t>
  </si>
  <si>
    <t>KMPRY CUE 1080</t>
  </si>
  <si>
    <t>VICTOR HUGO</t>
  </si>
  <si>
    <t>VALENCIA NARANJO</t>
  </si>
  <si>
    <t>KMPRY CUE 1081</t>
  </si>
  <si>
    <t>RONNY DANIEL</t>
  </si>
  <si>
    <t>VERA ZAMBRANO</t>
  </si>
  <si>
    <t>KMPRY CUE 1082</t>
  </si>
  <si>
    <t>KMPRY CUE 1083</t>
  </si>
  <si>
    <t>MARCOS VINICIO</t>
  </si>
  <si>
    <t>SANCHEZ AREVALO</t>
  </si>
  <si>
    <t>KMPRY CUE 1084</t>
  </si>
  <si>
    <t>BERNAL SANCHEZ</t>
  </si>
  <si>
    <t>KMPRY CUE 1085</t>
  </si>
  <si>
    <t>DIANA NATALY</t>
  </si>
  <si>
    <t>SALDAÑA TACURI</t>
  </si>
  <si>
    <t>KMPRY CUE 1086</t>
  </si>
  <si>
    <t>MARIA EULALIA</t>
  </si>
  <si>
    <t>PACHECO GUANOQUIZA</t>
  </si>
  <si>
    <t>KMPRY CUE 1087</t>
  </si>
  <si>
    <t>JHON MAURICIO</t>
  </si>
  <si>
    <t>ZEAS CHAUCA</t>
  </si>
  <si>
    <t>KMPRY CUE 1088</t>
  </si>
  <si>
    <t>MARCO ANTONIO</t>
  </si>
  <si>
    <t>ZAMBRANO GARCIA</t>
  </si>
  <si>
    <t xml:space="preserve">VS CORRIENTE </t>
  </si>
  <si>
    <t>DN CORRIENTE</t>
  </si>
  <si>
    <t>AMEX 24M</t>
  </si>
  <si>
    <t xml:space="preserve">ANULADO </t>
  </si>
  <si>
    <t>CREDITO DIR</t>
  </si>
  <si>
    <t xml:space="preserve">VISA CORRIENTE </t>
  </si>
  <si>
    <t>AMEX CORRIENTE</t>
  </si>
  <si>
    <t>lolibas2009@hotmail.com</t>
  </si>
  <si>
    <t>atropinqvazquez@yahoo.com</t>
  </si>
  <si>
    <t>DIEGO</t>
  </si>
  <si>
    <t>jessi.santellan277@hotmail.com</t>
  </si>
  <si>
    <t>DANIEL</t>
  </si>
  <si>
    <t>marien2020@gmail.com</t>
  </si>
  <si>
    <t>JOSE</t>
  </si>
  <si>
    <t>EDUARDO</t>
  </si>
  <si>
    <t>martrocifuvasc@gmail.com</t>
  </si>
  <si>
    <t>joelchicatroya@gmail.com</t>
  </si>
  <si>
    <t>MARIA.A</t>
  </si>
  <si>
    <t>maritza-c75@hotmail.com</t>
  </si>
  <si>
    <t xml:space="preserve">eneidabast@yahoo.es </t>
  </si>
  <si>
    <t>flavioramos19@gmail.com</t>
  </si>
  <si>
    <t xml:space="preserve">ALEJANDRA </t>
  </si>
  <si>
    <t>ALEJANDRA</t>
  </si>
  <si>
    <t>yayita762@hotmail.com</t>
  </si>
  <si>
    <t>lvera-consulivra@hotmail.com</t>
  </si>
  <si>
    <t>axquicobo@gmail.com</t>
  </si>
  <si>
    <t>diegofernandofiallo1@gmail.com</t>
  </si>
  <si>
    <t>jorpaguz@gmail.com</t>
  </si>
  <si>
    <t>sandyelizam@hotmail.com</t>
  </si>
  <si>
    <t>licivanrezo3@gmail.com</t>
  </si>
  <si>
    <t>JOSE M</t>
  </si>
  <si>
    <t>miguelgamer26.2@gmail.com</t>
  </si>
  <si>
    <t>CARLOS</t>
  </si>
  <si>
    <t>lsrualesg@hotmail.com</t>
  </si>
  <si>
    <t>erleniortiz@hotmail.com</t>
  </si>
  <si>
    <t>homero.caicedo@yahoo.com</t>
  </si>
  <si>
    <t>fernando.carrionp@gmail.com</t>
  </si>
  <si>
    <t>karelistarazon@gmail.com</t>
  </si>
  <si>
    <t>panbel230291@gmail.com</t>
  </si>
  <si>
    <t>hugo.valencia@gmail.com</t>
  </si>
  <si>
    <t>roniev0808@gmail.com</t>
  </si>
  <si>
    <t>marco-s16@gmail.com</t>
  </si>
  <si>
    <t>disgrafpublicidad@hotmail.com</t>
  </si>
  <si>
    <t>dianis64_ds@hotmail.com</t>
  </si>
  <si>
    <t>lolitap2@hotmail.com</t>
  </si>
  <si>
    <t>LUIS</t>
  </si>
  <si>
    <t>jhonzeas06@gmail.com</t>
  </si>
  <si>
    <t>marco1942za@gmail.com</t>
  </si>
  <si>
    <t xml:space="preserve">VIVIANA </t>
  </si>
  <si>
    <t>KMPRY CUE 1090</t>
  </si>
  <si>
    <t>PAULINA OLIMPIA</t>
  </si>
  <si>
    <t>AVILES AÑAZCO</t>
  </si>
  <si>
    <t>KMPRY CUE 1091</t>
  </si>
  <si>
    <t>VICTOR FERNANDO</t>
  </si>
  <si>
    <t>ROLDAN PILLEO</t>
  </si>
  <si>
    <t>KMPRY CUE 1092</t>
  </si>
  <si>
    <t>LOURDES MARGARITA</t>
  </si>
  <si>
    <t>VAZQUEZN SOLIZ</t>
  </si>
  <si>
    <t>KMPRY CUE 1093</t>
  </si>
  <si>
    <t>MARIA JOSE</t>
  </si>
  <si>
    <t>CABRERA CALLE</t>
  </si>
  <si>
    <t>KMPRY CUE 1094</t>
  </si>
  <si>
    <t>VACILIO IVAN</t>
  </si>
  <si>
    <t xml:space="preserve">QUICHIMBO GARCES </t>
  </si>
  <si>
    <t>KMPRY CUE 1095</t>
  </si>
  <si>
    <t>MARIA GRACIA</t>
  </si>
  <si>
    <t>ORDOÑEZ PESANTEZ</t>
  </si>
  <si>
    <t>KMPRY CUE 1096</t>
  </si>
  <si>
    <t>LUCIA MARISOL</t>
  </si>
  <si>
    <t>ORELLANA TORAL</t>
  </si>
  <si>
    <t>KMPRY CUE 1097</t>
  </si>
  <si>
    <t>KMPRY CUE 1098</t>
  </si>
  <si>
    <t>SANDRA GABRIELA</t>
  </si>
  <si>
    <t>PERALTA QUITO</t>
  </si>
  <si>
    <t>KMPRY CUE 1099</t>
  </si>
  <si>
    <t>KATHERINE ADRIANA</t>
  </si>
  <si>
    <t>VELEZ ORTIZ</t>
  </si>
  <si>
    <t>KMPRY CUE 1100</t>
  </si>
  <si>
    <t>EDISON HIPOLITO</t>
  </si>
  <si>
    <t xml:space="preserve">JARA LOPEZ </t>
  </si>
  <si>
    <t>KMPRY CUE 1101</t>
  </si>
  <si>
    <t>VALERIA LISETH</t>
  </si>
  <si>
    <t>PESANTES BERREZUETA</t>
  </si>
  <si>
    <t>KMPRY CUE 1102</t>
  </si>
  <si>
    <t>MIGUEL ANGEL</t>
  </si>
  <si>
    <t>MOROCHO CORONEL</t>
  </si>
  <si>
    <t>KMPRY CUE 1103</t>
  </si>
  <si>
    <t>JULIO CESAR</t>
  </si>
  <si>
    <t xml:space="preserve">RODRIGUEZ CLAVIJO </t>
  </si>
  <si>
    <t>KMPRY CUE 1104</t>
  </si>
  <si>
    <t xml:space="preserve">MARIA LUCIA </t>
  </si>
  <si>
    <t xml:space="preserve">ANGAMARCA ANGAMARCA </t>
  </si>
  <si>
    <t>KMPRY UIO 1105</t>
  </si>
  <si>
    <t xml:space="preserve">JUAN CARLOS </t>
  </si>
  <si>
    <t>AVILES RIOS</t>
  </si>
  <si>
    <t>KMPRY UIO 1106</t>
  </si>
  <si>
    <t xml:space="preserve">JHONNY BOLIVAR </t>
  </si>
  <si>
    <t>VELEZ BONE</t>
  </si>
  <si>
    <t>KMPRY UIO 1107</t>
  </si>
  <si>
    <t>WILLIAM SANTIAGO</t>
  </si>
  <si>
    <t>COLINA LOPEZ</t>
  </si>
  <si>
    <t>KMPRY UIO 1108</t>
  </si>
  <si>
    <t>PIEDAD AMPARITO</t>
  </si>
  <si>
    <t xml:space="preserve">RAMIREZ LOPEZ </t>
  </si>
  <si>
    <t>KMPRY UIO 1109</t>
  </si>
  <si>
    <t>ENDER JOSE</t>
  </si>
  <si>
    <t>BLONDELL DIAZ</t>
  </si>
  <si>
    <t>KMPRY UIO 1110</t>
  </si>
  <si>
    <t>YESSENIA LORENA</t>
  </si>
  <si>
    <t>QUIROZ MALUSIN</t>
  </si>
  <si>
    <t>KMPRY UIO 1111</t>
  </si>
  <si>
    <t>MARIA LUISA</t>
  </si>
  <si>
    <t>GUZMAN CHILENO</t>
  </si>
  <si>
    <t>KMPRY UIO 1112</t>
  </si>
  <si>
    <t>FABIO LUIS</t>
  </si>
  <si>
    <t>LUGMANIA EGAS</t>
  </si>
  <si>
    <t>KMPRY IBR 1113</t>
  </si>
  <si>
    <t xml:space="preserve">ANDRES SISERON </t>
  </si>
  <si>
    <t>JACOME VITERI</t>
  </si>
  <si>
    <t>KMPRY IBR 1114</t>
  </si>
  <si>
    <t xml:space="preserve">EDISON </t>
  </si>
  <si>
    <t>AGUILAR ROMERO</t>
  </si>
  <si>
    <t>KMPRY IBR 1115</t>
  </si>
  <si>
    <t xml:space="preserve">ROSA ANDREA </t>
  </si>
  <si>
    <t>CARRERA ROSERO</t>
  </si>
  <si>
    <t>KMPRY IBR 1116</t>
  </si>
  <si>
    <t xml:space="preserve">CARLOS JOSE </t>
  </si>
  <si>
    <t>ARTEAGA VELEZ</t>
  </si>
  <si>
    <t>KMPRY IBR 1117</t>
  </si>
  <si>
    <t>YADIRA MARCELA</t>
  </si>
  <si>
    <t>GUZMAN ALMEIDA</t>
  </si>
  <si>
    <t>KMPRY IBR 1118</t>
  </si>
  <si>
    <t>GABRIELA VERONICA</t>
  </si>
  <si>
    <t>BUSTOS PADILLA</t>
  </si>
  <si>
    <t>KMPRY IBR 1119</t>
  </si>
  <si>
    <t>RICARDO SANTIAGO</t>
  </si>
  <si>
    <t>DE LA TORRE CORTES</t>
  </si>
  <si>
    <t>KMPRY IBR FDS01</t>
  </si>
  <si>
    <t xml:space="preserve">EDGAR PATRICIO </t>
  </si>
  <si>
    <t xml:space="preserve">YEPEZ SEGOVIA </t>
  </si>
  <si>
    <t>KMPRY IBR FDS02</t>
  </si>
  <si>
    <t xml:space="preserve">SANDRA VIVIANA </t>
  </si>
  <si>
    <t>TUQUERES CAIZA</t>
  </si>
  <si>
    <t>KMPRY IBR 1121</t>
  </si>
  <si>
    <t>MARIANA YAJAIRA</t>
  </si>
  <si>
    <t>GARCIA AVENDAÑO</t>
  </si>
  <si>
    <t>KMPRY IBR 1122</t>
  </si>
  <si>
    <t>RICARDO MOISES</t>
  </si>
  <si>
    <t>TIILIMA ARIAS</t>
  </si>
  <si>
    <t>KMPRY IBR 1123</t>
  </si>
  <si>
    <t>DAYANARA DEL CARMEN</t>
  </si>
  <si>
    <t>CARRILLO BURGOS</t>
  </si>
  <si>
    <t>KMPRY RBM 1124</t>
  </si>
  <si>
    <t>SANDRA MARLENE</t>
  </si>
  <si>
    <t>TENE LOPEZ</t>
  </si>
  <si>
    <t>KMPRY RBM 1125</t>
  </si>
  <si>
    <t xml:space="preserve">ANA BELEN </t>
  </si>
  <si>
    <t>PROAÑO GOYES</t>
  </si>
  <si>
    <t>KMPRY RBM 1126</t>
  </si>
  <si>
    <t>MONICA PATRICIA</t>
  </si>
  <si>
    <t>CISNEROS NAULA</t>
  </si>
  <si>
    <t>KMPRY RBM 1127</t>
  </si>
  <si>
    <t>WENDY MICHELL</t>
  </si>
  <si>
    <t>NUÑEZ GUAÑO</t>
  </si>
  <si>
    <t>KMPRY RBM 1128</t>
  </si>
  <si>
    <t>CLAUDIA ANGELICA</t>
  </si>
  <si>
    <t>YANEZ SINCHE</t>
  </si>
  <si>
    <t>KMPRY RBM 1129</t>
  </si>
  <si>
    <t>MARIA ROSA</t>
  </si>
  <si>
    <t>BALLA QUINCHE</t>
  </si>
  <si>
    <t>KMPRY RBM 1130</t>
  </si>
  <si>
    <t>JESSICA ROCIO</t>
  </si>
  <si>
    <t>TIXI PUNINA</t>
  </si>
  <si>
    <t>KMPRY RBM 1131</t>
  </si>
  <si>
    <t>JOHANNA ALIEN</t>
  </si>
  <si>
    <t>MARTI NULEZ</t>
  </si>
  <si>
    <t>KMPRY RBM 1132</t>
  </si>
  <si>
    <t xml:space="preserve">TATIANA MICHELLE </t>
  </si>
  <si>
    <t>GUADALUPE SAMANIEGO</t>
  </si>
  <si>
    <t>KMPRY RBM 1133</t>
  </si>
  <si>
    <t>SANDRA VERONICA</t>
  </si>
  <si>
    <t>RODRIGUEZ BUENAÑO</t>
  </si>
  <si>
    <t>KMPRY RBM 1134</t>
  </si>
  <si>
    <t>FANNY ISABEL</t>
  </si>
  <si>
    <t>QUISPE CHOCA</t>
  </si>
  <si>
    <t>KMPRY RBM 1135</t>
  </si>
  <si>
    <t>BYRON CRISTOBAL</t>
  </si>
  <si>
    <t>LLONGO CALI</t>
  </si>
  <si>
    <t>KMPRY RBM 1136</t>
  </si>
  <si>
    <t xml:space="preserve">HERMES GONZALO </t>
  </si>
  <si>
    <t>CORDOVILLO OCAÑA</t>
  </si>
  <si>
    <t>KMPRY RBM 1137</t>
  </si>
  <si>
    <t>SUSANA MARIELA</t>
  </si>
  <si>
    <t>CUENCA RANIOS</t>
  </si>
  <si>
    <t>KMPRY RBM 1138</t>
  </si>
  <si>
    <t>MARTHA FABIOLA</t>
  </si>
  <si>
    <t>CARCHI MORA</t>
  </si>
  <si>
    <t>KMPRY GYE 1139</t>
  </si>
  <si>
    <t>KENJI GERARDO</t>
  </si>
  <si>
    <t>AZULEZ ALONZO</t>
  </si>
  <si>
    <t>KMPRY GYE 1140</t>
  </si>
  <si>
    <t>FLOR SUSANA DEL PILAR</t>
  </si>
  <si>
    <t xml:space="preserve">VINUEZA NUÑEZ </t>
  </si>
  <si>
    <t>KMPRY GYE 1141</t>
  </si>
  <si>
    <t xml:space="preserve">KAREN LUCIA </t>
  </si>
  <si>
    <t xml:space="preserve">VINTIMILLA VASQUEZ </t>
  </si>
  <si>
    <t>KMPRY GYE 1142</t>
  </si>
  <si>
    <t>ALBERTO CONRADO</t>
  </si>
  <si>
    <t>PAREDES RENDON</t>
  </si>
  <si>
    <t>KMPRY GYE 1143</t>
  </si>
  <si>
    <t>LEUXER ALEXANDER</t>
  </si>
  <si>
    <t>CAMACHO VACA</t>
  </si>
  <si>
    <t xml:space="preserve">MC CORRIENTE </t>
  </si>
  <si>
    <t>KEMPERY</t>
  </si>
  <si>
    <t xml:space="preserve">DN CORRIENTE </t>
  </si>
  <si>
    <t xml:space="preserve">CREDITO </t>
  </si>
  <si>
    <t>paulizaviles@yahoo.com</t>
  </si>
  <si>
    <t>SEBASTIAN</t>
  </si>
  <si>
    <t>fernandoroldan751@gmail.com</t>
  </si>
  <si>
    <t>lolivazquezsoliz@gmail.com</t>
  </si>
  <si>
    <t>majitocc1991@hotmail.com</t>
  </si>
  <si>
    <t>hoja30@gmail.com</t>
  </si>
  <si>
    <t>VIVIANA</t>
  </si>
  <si>
    <t>mgordoñez.p@gmail.com</t>
  </si>
  <si>
    <t>marisol.orellana.t@gmail.com</t>
  </si>
  <si>
    <t>gaby_pe88@hotmail.com</t>
  </si>
  <si>
    <t>adry_velezortiz@hotmail.com</t>
  </si>
  <si>
    <t>balarezoanita18@gmail.com</t>
  </si>
  <si>
    <t>pasantesvaleria@gmail.com</t>
  </si>
  <si>
    <t>morochomigelangel@gmail.com</t>
  </si>
  <si>
    <t>esthela-9@hotmail.com</t>
  </si>
  <si>
    <t>lucyangamarca@hotmail.com</t>
  </si>
  <si>
    <t>juanaviles2806@gmail.com</t>
  </si>
  <si>
    <t>D.QUEVEDO</t>
  </si>
  <si>
    <t>jhonnyvelez029@gmail.com</t>
  </si>
  <si>
    <t>santhyc2003@yahoo.es</t>
  </si>
  <si>
    <t>amparito.ramirezlopez@gmail.com</t>
  </si>
  <si>
    <t>enderblondell@gmail.com</t>
  </si>
  <si>
    <t>yessylore30@gmail.com</t>
  </si>
  <si>
    <t>luisa0910guzman@gmail.com</t>
  </si>
  <si>
    <t>flezzg@yahoo.com</t>
  </si>
  <si>
    <t>a76jacom@yahoo.com</t>
  </si>
  <si>
    <t>eaguilar0428@gmail.com</t>
  </si>
  <si>
    <t>LESLIE</t>
  </si>
  <si>
    <t>amndreanitago@hotmail.com</t>
  </si>
  <si>
    <t>carlos_cjav@hotmail.com</t>
  </si>
  <si>
    <t>yadira95guzman@gmail.com</t>
  </si>
  <si>
    <t>gabbibp87-@gmail.com</t>
  </si>
  <si>
    <t>ricky-1989dlt@hotmail.com</t>
  </si>
  <si>
    <t>yepezedgarpatricio@gmail.com</t>
  </si>
  <si>
    <t>sandra99tuquerres@gmail.com</t>
  </si>
  <si>
    <t>mariana-147@hotmail.com</t>
  </si>
  <si>
    <t>ricardo.edda@gmail.com</t>
  </si>
  <si>
    <t>daya_carrillo@yahoo.es</t>
  </si>
  <si>
    <t>tenesandra11@hotmail.com</t>
  </si>
  <si>
    <t>anaitabelen@yahoo.com</t>
  </si>
  <si>
    <t>patycis1984@hotmail.com</t>
  </si>
  <si>
    <t>wendy_love19@hotmail.com</t>
  </si>
  <si>
    <t>angieyanezs12@yahoo.es</t>
  </si>
  <si>
    <t>rocitaballa4@gmail.com</t>
  </si>
  <si>
    <t>jessijou8804@gmail.com</t>
  </si>
  <si>
    <t>johanmguerrero@gmail.com</t>
  </si>
  <si>
    <t>tatime229@hotmail.com</t>
  </si>
  <si>
    <t>sandraveronicarodriguezbuenaño@gmail.com</t>
  </si>
  <si>
    <t>leslibeli@yahoo.com</t>
  </si>
  <si>
    <t>llongobyron@gmail.com</t>
  </si>
  <si>
    <t>ALEJANDRO</t>
  </si>
  <si>
    <t>hcordovillo@gmail.com</t>
  </si>
  <si>
    <t>susy-85282004@hotmail.com</t>
  </si>
  <si>
    <t>dialuzmora@hotmail.com</t>
  </si>
  <si>
    <t>gerardkenji91@gmail.com</t>
  </si>
  <si>
    <t>pilar.vinueza@hotmail.com</t>
  </si>
  <si>
    <t>karenvintimilla@hotmail.com</t>
  </si>
  <si>
    <t>conra-54@hotmail.com</t>
  </si>
  <si>
    <t>leuxer@hotmail.com</t>
  </si>
  <si>
    <t>KMPRY GYE 1144</t>
  </si>
  <si>
    <t xml:space="preserve">OSCAR OSWALDO </t>
  </si>
  <si>
    <t xml:space="preserve">ALVAREZ CASTRO </t>
  </si>
  <si>
    <t>0921720629</t>
  </si>
  <si>
    <t>NO</t>
  </si>
  <si>
    <t xml:space="preserve">KEMPERY </t>
  </si>
  <si>
    <t>KMPRY GYE 1145</t>
  </si>
  <si>
    <t xml:space="preserve">BELA LETICIA </t>
  </si>
  <si>
    <t xml:space="preserve">HARO PEREZ </t>
  </si>
  <si>
    <t>0920017340</t>
  </si>
  <si>
    <t>CANCUNCARD</t>
  </si>
  <si>
    <t>belaharo@outlook.es</t>
  </si>
  <si>
    <t>KMPRY GYE 1146</t>
  </si>
  <si>
    <t xml:space="preserve">CINTHYA ESTEFANIA </t>
  </si>
  <si>
    <t xml:space="preserve">JARAMILLO CANALES </t>
  </si>
  <si>
    <t>0926555384</t>
  </si>
  <si>
    <t>PUNTA CANA</t>
  </si>
  <si>
    <t>cinthyajaramillo1@gmail.com</t>
  </si>
  <si>
    <t>KMPRY GYE 1147</t>
  </si>
  <si>
    <t xml:space="preserve">KAREN LISSETH </t>
  </si>
  <si>
    <t xml:space="preserve">ACAN AREVALO </t>
  </si>
  <si>
    <t>0940167653</t>
  </si>
  <si>
    <t>karenacan92@gmail.com</t>
  </si>
  <si>
    <t xml:space="preserve">LUIS </t>
  </si>
  <si>
    <t>KMPRY GYE 1148</t>
  </si>
  <si>
    <t xml:space="preserve">LUIS EDUARDO </t>
  </si>
  <si>
    <t xml:space="preserve">VERA NUÑEZ </t>
  </si>
  <si>
    <t>0953502317</t>
  </si>
  <si>
    <t>luis-vera-1994@outlook.com</t>
  </si>
  <si>
    <t>KMPRY GYE 1149</t>
  </si>
  <si>
    <t xml:space="preserve">LUIS EDGAR </t>
  </si>
  <si>
    <t xml:space="preserve">QUIROZ QUIROZ </t>
  </si>
  <si>
    <t>0603736927</t>
  </si>
  <si>
    <t>luis.quiroz@hotmail.com</t>
  </si>
  <si>
    <t xml:space="preserve">JULIO </t>
  </si>
  <si>
    <t>JULIO</t>
  </si>
  <si>
    <t>KMPRY GYE 1150</t>
  </si>
  <si>
    <t xml:space="preserve">MARILU MARISOL </t>
  </si>
  <si>
    <t>VILLAFUERTE SANDOVAL</t>
  </si>
  <si>
    <t>2300197072</t>
  </si>
  <si>
    <t>marilyn.sandoval91@gmail.com</t>
  </si>
  <si>
    <t>KMPRY GYE 1151</t>
  </si>
  <si>
    <t xml:space="preserve">ROSSMARY MILAGROS </t>
  </si>
  <si>
    <t xml:space="preserve">CARPIO SERRANO </t>
  </si>
  <si>
    <t>0963625652</t>
  </si>
  <si>
    <t>rossmayc125@gmail.com</t>
  </si>
  <si>
    <t>KMPRY GYE FD503</t>
  </si>
  <si>
    <t>JONATHAN DAVID</t>
  </si>
  <si>
    <t>VEGA CRESPO</t>
  </si>
  <si>
    <t>0924543382</t>
  </si>
  <si>
    <t>UN FIN DE SEMANA</t>
  </si>
  <si>
    <t>jvegac_dj1531@hotmail.com</t>
  </si>
  <si>
    <t>KMPRY GYE 1152</t>
  </si>
  <si>
    <t>FERNANDO LUIS</t>
  </si>
  <si>
    <t>GARCIA ALBUJA</t>
  </si>
  <si>
    <t>0904262656</t>
  </si>
  <si>
    <t>DN  DIF12</t>
  </si>
  <si>
    <t>garcia1455@hotmail.com</t>
  </si>
  <si>
    <t>KMPRY GYE 1153</t>
  </si>
  <si>
    <t>JORDY ROYER</t>
  </si>
  <si>
    <t>TUMBACO VALLEJO</t>
  </si>
  <si>
    <t>0932082498</t>
  </si>
  <si>
    <t>jordyr Tumbaco@gmail.com</t>
  </si>
  <si>
    <t>KMPRYGYE 1154</t>
  </si>
  <si>
    <t xml:space="preserve">TERRY PAUL </t>
  </si>
  <si>
    <t>BORJA YAGUAL</t>
  </si>
  <si>
    <t>0922772397</t>
  </si>
  <si>
    <t>terry.91.borja.@gmail.com</t>
  </si>
  <si>
    <t>KMPRY GYE 1155</t>
  </si>
  <si>
    <t>ELVIS SAUL</t>
  </si>
  <si>
    <t>ASPIAZU PAREDEZ</t>
  </si>
  <si>
    <t>0952541563</t>
  </si>
  <si>
    <t>Aspiazu.elvis.c@gmail.com</t>
  </si>
  <si>
    <t>KMPRY GYE 1156</t>
  </si>
  <si>
    <t>MIGUEL ANDRES</t>
  </si>
  <si>
    <t>MONAR AVILA</t>
  </si>
  <si>
    <t>0923921910</t>
  </si>
  <si>
    <t>VST DIF24</t>
  </si>
  <si>
    <t>miguel.monar123@gmail.com</t>
  </si>
  <si>
    <t>SOL</t>
  </si>
  <si>
    <t>KMPRY GYE 1157</t>
  </si>
  <si>
    <t>MARIA VALERIA</t>
  </si>
  <si>
    <t>ALMEIDA QUIJIJE</t>
  </si>
  <si>
    <t>Valeriaalmeida120@gmail.com</t>
  </si>
  <si>
    <t>KMPRY GYE 1158</t>
  </si>
  <si>
    <t>YORDAN ANDRES</t>
  </si>
  <si>
    <t>BARAHONA ZAVALA</t>
  </si>
  <si>
    <t>0930918503</t>
  </si>
  <si>
    <t>AMEX DIF 24 M</t>
  </si>
  <si>
    <t>arq.jordanbarahona@gmail.com</t>
  </si>
  <si>
    <t>JORGE</t>
  </si>
  <si>
    <t>KMPRY GYE 1159</t>
  </si>
  <si>
    <t>ERICK ALEXADER</t>
  </si>
  <si>
    <t xml:space="preserve"> PERALTA HUERTAS</t>
  </si>
  <si>
    <t>0952294916</t>
  </si>
  <si>
    <t>erick.torito@hotmail.com</t>
  </si>
  <si>
    <t>KMPRY GYE 1160</t>
  </si>
  <si>
    <t>IVAN ANDRES</t>
  </si>
  <si>
    <t>PEÑAFIEL AVILES</t>
  </si>
  <si>
    <t>0927829077</t>
  </si>
  <si>
    <t>ivan_andpenafiel@hotmail.com</t>
  </si>
  <si>
    <t>KMPRY GYE 1161</t>
  </si>
  <si>
    <t>ANGALA ESPERANZA</t>
  </si>
  <si>
    <t>BERMUDEZ LOPEZ</t>
  </si>
  <si>
    <t>0800809295</t>
  </si>
  <si>
    <t>angelabermudez834@gmail.com</t>
  </si>
  <si>
    <t>KMPRY GYE 1162</t>
  </si>
  <si>
    <t>DIANA LORENA</t>
  </si>
  <si>
    <t>SILVA PEÑALOZA</t>
  </si>
  <si>
    <t>0928773589</t>
  </si>
  <si>
    <t>dianasilvamb@gmail.com</t>
  </si>
  <si>
    <t>KMPRY GYE 1163</t>
  </si>
  <si>
    <t>DANNY MANUEL</t>
  </si>
  <si>
    <t>FREIRE ECHANIQUE</t>
  </si>
  <si>
    <t>0951795277</t>
  </si>
  <si>
    <t>TRASFERENCIA B</t>
  </si>
  <si>
    <t>kristinavelez04@gmail.com</t>
  </si>
  <si>
    <t>KMPRY GYE 1164</t>
  </si>
  <si>
    <t>KIMBERLY FERNANDA</t>
  </si>
  <si>
    <t>BOLAÑOS NARANJO</t>
  </si>
  <si>
    <t>0950187278</t>
  </si>
  <si>
    <t>VS DIF 24</t>
  </si>
  <si>
    <t>kimbbolanos@outlook.es</t>
  </si>
  <si>
    <t>14/6/22023</t>
  </si>
  <si>
    <t>KMPRY TUL 1165</t>
  </si>
  <si>
    <t>ROSIBEL GERMANIA</t>
  </si>
  <si>
    <t>ALVAREZ TAPIA</t>
  </si>
  <si>
    <t>0401691100</t>
  </si>
  <si>
    <t>DN  DIF24</t>
  </si>
  <si>
    <t>rosialvarezt@hotmail.com</t>
  </si>
  <si>
    <t>PAMELA</t>
  </si>
  <si>
    <t>KMPRY TUL 1166</t>
  </si>
  <si>
    <t>DAVID SHAMPIER</t>
  </si>
  <si>
    <t>POZO CORAL</t>
  </si>
  <si>
    <t>0401712419</t>
  </si>
  <si>
    <t>MC DIF 24</t>
  </si>
  <si>
    <t>shampier25pozo@gmail.com</t>
  </si>
  <si>
    <t>KMPRY TUL 1167</t>
  </si>
  <si>
    <t>ERTHA JOHANA</t>
  </si>
  <si>
    <t>RIVADENEIRA VELA</t>
  </si>
  <si>
    <t>0401540539</t>
  </si>
  <si>
    <t>DN DIF 24</t>
  </si>
  <si>
    <t>Rivadeneria750@gmail.com</t>
  </si>
  <si>
    <t>KMPRY TUL 1168</t>
  </si>
  <si>
    <t>NUBIA DEL SOCORRO</t>
  </si>
  <si>
    <t>ROCERO MONTENEGRO</t>
  </si>
  <si>
    <t>0401198163</t>
  </si>
  <si>
    <t>Nubiarocero3a@hotmail.com</t>
  </si>
  <si>
    <t>KMPRY TUL 1169</t>
  </si>
  <si>
    <t>BRAYAN ARMANDO</t>
  </si>
  <si>
    <t>SANCHEZ ARTEAGA</t>
  </si>
  <si>
    <t>0401867296</t>
  </si>
  <si>
    <t>brsasanw@gmail.com</t>
  </si>
  <si>
    <t>KMPRY TUL 1170</t>
  </si>
  <si>
    <t>JEFFERSON BOLIVAR</t>
  </si>
  <si>
    <t>CEVALLOS GUAMAN</t>
  </si>
  <si>
    <t>0401737218</t>
  </si>
  <si>
    <t>jeffersoncevallos16@gmail.com</t>
  </si>
  <si>
    <t>KMPRY TUL 1171</t>
  </si>
  <si>
    <t>SANDRA EMERITA</t>
  </si>
  <si>
    <t>PUSDA RUANO</t>
  </si>
  <si>
    <t>0401670013</t>
  </si>
  <si>
    <t>sandrapusdo385@gmail.com</t>
  </si>
  <si>
    <t>KMPRY TUL 1172</t>
  </si>
  <si>
    <t>HENRRY ALEXANDER</t>
  </si>
  <si>
    <t>REALPE TEZ</t>
  </si>
  <si>
    <t>0401770755</t>
  </si>
  <si>
    <t>henrryxx87@hotmail.com</t>
  </si>
  <si>
    <t>KMPRY TUL 1173</t>
  </si>
  <si>
    <t>0400738563</t>
  </si>
  <si>
    <t>GALAPAGOS</t>
  </si>
  <si>
    <t>hgermania1965@hotmail.com</t>
  </si>
  <si>
    <t>KMPRY TUL 1174</t>
  </si>
  <si>
    <t>SILVIA MAGALY</t>
  </si>
  <si>
    <t>ROMO BRAVO</t>
  </si>
  <si>
    <t>0401400205</t>
  </si>
  <si>
    <t>silvimrb@hotmail.com</t>
  </si>
  <si>
    <t>KMPRY LGQ 1175</t>
  </si>
  <si>
    <t>MARISELA ALEXANDRA</t>
  </si>
  <si>
    <t>LLANOS VERGARA</t>
  </si>
  <si>
    <t>mariselallanos1990@gmail.com</t>
  </si>
  <si>
    <t>ADRIAN</t>
  </si>
  <si>
    <t>KMPRY LGQ 1176</t>
  </si>
  <si>
    <t>JEYSSI DANIELA</t>
  </si>
  <si>
    <t>ATIENCIA ALBAN</t>
  </si>
  <si>
    <t>jeyssidaniela90@hotmail.com</t>
  </si>
  <si>
    <t>KMPRYLGQ 1177</t>
  </si>
  <si>
    <t>GEOVANY ADRIAN</t>
  </si>
  <si>
    <t>MATAILO DEL VALLE</t>
  </si>
  <si>
    <t>DS DIF 24</t>
  </si>
  <si>
    <t>adrianmatailo99@gmail.com</t>
  </si>
  <si>
    <t>KMPRY LGQ 1178</t>
  </si>
  <si>
    <t>HENRY GABRIEL</t>
  </si>
  <si>
    <t>SAAVEDRA YAMPUEZAN</t>
  </si>
  <si>
    <t>saavhenry@hotmail.com</t>
  </si>
  <si>
    <t>KMPRY LGQ 1179</t>
  </si>
  <si>
    <t>JHONEIR RUBEN</t>
  </si>
  <si>
    <t>GUILCA BARRIGAS</t>
  </si>
  <si>
    <t>DN DIF 12</t>
  </si>
  <si>
    <t>guilca_1990@hotmail.com</t>
  </si>
  <si>
    <t>KMPRY LGQ 1180</t>
  </si>
  <si>
    <t>JESSICA LILIANA</t>
  </si>
  <si>
    <t>CASTRO PORTILLA</t>
  </si>
  <si>
    <t>stefyalcastro07@gmail.com</t>
  </si>
  <si>
    <t>KMPRY LGQ 1181</t>
  </si>
  <si>
    <t>JHEYSON MIGUEL</t>
  </si>
  <si>
    <t>CELI ZAMBRANO</t>
  </si>
  <si>
    <t>jheyson747@gmail.com</t>
  </si>
  <si>
    <t>KMPRY LGQ 1182</t>
  </si>
  <si>
    <t>JIMMY GABRIEL</t>
  </si>
  <si>
    <t>SALAZAR SISALIMA</t>
  </si>
  <si>
    <t>VS DIF 12</t>
  </si>
  <si>
    <t>jimmysalazar@outlook.com</t>
  </si>
  <si>
    <t>KMPRY LGQ 1183</t>
  </si>
  <si>
    <t>ROSA EMPERATRIZ</t>
  </si>
  <si>
    <t>JIRON JIMENEZ</t>
  </si>
  <si>
    <t>rosa_giron_jimenez@hotmail.com</t>
  </si>
  <si>
    <t>KMPRY LGQ 1184</t>
  </si>
  <si>
    <t>GEOVANNY ALEXANDER</t>
  </si>
  <si>
    <t>ACOSTA ALMEIDA</t>
  </si>
  <si>
    <t>CORPONET</t>
  </si>
  <si>
    <t>ingacosta2512@hotmail.com</t>
  </si>
  <si>
    <t xml:space="preserve">PAMELA </t>
  </si>
  <si>
    <t>KMPRY LGQ 1185</t>
  </si>
  <si>
    <t>LUIS STALIN</t>
  </si>
  <si>
    <t>PINZA RODRIGUEZ</t>
  </si>
  <si>
    <t>stalinpinza21@gmail.com</t>
  </si>
  <si>
    <t>KMPRY LGQ 1186</t>
  </si>
  <si>
    <t xml:space="preserve">JANINA VANESSA </t>
  </si>
  <si>
    <t>ALARCON QUINTANILLA</t>
  </si>
  <si>
    <t>janiz_vane@hotmail.com</t>
  </si>
  <si>
    <t>KMPRY LGQ 1187</t>
  </si>
  <si>
    <t>PAUL FERNANDO</t>
  </si>
  <si>
    <t>ZUÑIGA FIGUEROA</t>
  </si>
  <si>
    <t>0401069877</t>
  </si>
  <si>
    <t>paulz78@hotmail.com</t>
  </si>
  <si>
    <t>KMPRY LGQ 1188</t>
  </si>
  <si>
    <t xml:space="preserve">MAURICIO </t>
  </si>
  <si>
    <t>JIMENEZ ROJAS</t>
  </si>
  <si>
    <t>chavito_junior@outlook.com</t>
  </si>
  <si>
    <t>KMPRY LGQ 1189</t>
  </si>
  <si>
    <t>JOSE ANTONIO</t>
  </si>
  <si>
    <t>SALTOS VELOZ</t>
  </si>
  <si>
    <t>saltosjose127@gmail.com</t>
  </si>
  <si>
    <t>KMPRY LGQ 1190</t>
  </si>
  <si>
    <t>ROSA VIRMARIA</t>
  </si>
  <si>
    <t>SISALIMA SALAZAR</t>
  </si>
  <si>
    <t>rosasisalema@hotmail.com</t>
  </si>
  <si>
    <t>KMPRY LGQ 1191</t>
  </si>
  <si>
    <t>PAULA EMILIA</t>
  </si>
  <si>
    <t>VEGA PIN</t>
  </si>
  <si>
    <t>KMPRY LGQ 1192</t>
  </si>
  <si>
    <t>HENRY WILSON</t>
  </si>
  <si>
    <t>CABRERA VILLAMAGUA</t>
  </si>
  <si>
    <t>04007340</t>
  </si>
  <si>
    <t>henrycabreraw@hotmail.com</t>
  </si>
  <si>
    <t>KMPRY LTG 1193</t>
  </si>
  <si>
    <t>BRAVO CHILUIZA</t>
  </si>
  <si>
    <t>0501596274</t>
  </si>
  <si>
    <t>luchitobravo67@hotmail.com</t>
  </si>
  <si>
    <t>KMPERY LTG 1194</t>
  </si>
  <si>
    <t xml:space="preserve">LUIS FERNANDO </t>
  </si>
  <si>
    <t>TAPIA GALLO</t>
  </si>
  <si>
    <t>0502772502</t>
  </si>
  <si>
    <t>PUNTA CANA O CANCUN</t>
  </si>
  <si>
    <t>ferchotapia50@hotmail.com</t>
  </si>
  <si>
    <t>KMPERY TNW 1195</t>
  </si>
  <si>
    <t>INDIRA GABRIELA</t>
  </si>
  <si>
    <t>ARAUJO MUÑOZ</t>
  </si>
  <si>
    <t>150101917</t>
  </si>
  <si>
    <t>Cancún</t>
  </si>
  <si>
    <t>munozamira967@gmail.com</t>
  </si>
  <si>
    <t>KMPERY TNW 1196</t>
  </si>
  <si>
    <t>LETICIA DOLORES</t>
  </si>
  <si>
    <t>AGUINDA CERDA</t>
  </si>
  <si>
    <t>1500520141</t>
  </si>
  <si>
    <t>letoaguinda@yahoo.es</t>
  </si>
  <si>
    <t>KMPERY TNW 1197</t>
  </si>
  <si>
    <t>KMPERY TNW 1198</t>
  </si>
  <si>
    <t xml:space="preserve">STEFANY ROSSANDRA </t>
  </si>
  <si>
    <t>SUAREZ REALPE</t>
  </si>
  <si>
    <t>1500855786</t>
  </si>
  <si>
    <t>kachitasuarez@gmail.com</t>
  </si>
  <si>
    <t>KMPERY TNW 1199</t>
  </si>
  <si>
    <t>VICENTE MARCIAL</t>
  </si>
  <si>
    <t>GUTIERREZ LOPEZ</t>
  </si>
  <si>
    <t>1500185382</t>
  </si>
  <si>
    <t>marcial.gutierrez@yahoo.es</t>
  </si>
  <si>
    <t>KMPERY TNW 1200</t>
  </si>
  <si>
    <t>GLADYS NOEMI</t>
  </si>
  <si>
    <t>JIMENEZ GAVILANEZ</t>
  </si>
  <si>
    <t>0200463487</t>
  </si>
  <si>
    <t>jimenezgladys589@gmail.com</t>
  </si>
  <si>
    <t>KMPERY TNW 1201</t>
  </si>
  <si>
    <t>LENIN SANTIAGO</t>
  </si>
  <si>
    <t>GUAMAN SUNTASIG</t>
  </si>
  <si>
    <t>1720256286</t>
  </si>
  <si>
    <t>slenin_pmo7@hotmail.com</t>
  </si>
  <si>
    <t>KMPERY TNW 1202</t>
  </si>
  <si>
    <t>WILMER GEOVANNY</t>
  </si>
  <si>
    <t>CANDO TONATO</t>
  </si>
  <si>
    <t>1500678626</t>
  </si>
  <si>
    <t xml:space="preserve">PUNTA CANA   </t>
  </si>
  <si>
    <t>wilmercando86@gmail.com</t>
  </si>
  <si>
    <t>KMPERY TNW 1203</t>
  </si>
  <si>
    <t>GLADYS BELTILDA</t>
  </si>
  <si>
    <t>SISA ILUMITAXI</t>
  </si>
  <si>
    <t>1500766173</t>
  </si>
  <si>
    <t>gladyssisa@yahoo.es</t>
  </si>
  <si>
    <t>KMPERY YNW 1204</t>
  </si>
  <si>
    <t>DIGNA ISABEL</t>
  </si>
  <si>
    <t>LLANO ASAS</t>
  </si>
  <si>
    <t>150075951</t>
  </si>
  <si>
    <t>llanosdigna@yahoo.es</t>
  </si>
  <si>
    <t>EDUARDO LEONARDO</t>
  </si>
  <si>
    <t>KMPERY GRN 1205</t>
  </si>
  <si>
    <t>MAS CAMACHO</t>
  </si>
  <si>
    <t>1756389621</t>
  </si>
  <si>
    <t>masnatural@gmail.com</t>
  </si>
  <si>
    <t>KMPERY GRN 1206</t>
  </si>
  <si>
    <t xml:space="preserve">ESTEFANIA DEL CARMEN </t>
  </si>
  <si>
    <t>LOPEZ ALBAN</t>
  </si>
  <si>
    <t>0202410148</t>
  </si>
  <si>
    <t>PUNTA CANA/CANCUNCARD</t>
  </si>
  <si>
    <t>tefa_2201@hotmail.com</t>
  </si>
  <si>
    <t>KMPERY GRN 1207</t>
  </si>
  <si>
    <t>JESUS FREIDE</t>
  </si>
  <si>
    <t>QUILLE CUVI</t>
  </si>
  <si>
    <t>0201948312</t>
  </si>
  <si>
    <t>freidequille@gmail.com</t>
  </si>
  <si>
    <t>KMPERY GRN 1208</t>
  </si>
  <si>
    <t>KMPERY GRN 1209</t>
  </si>
  <si>
    <t>NELI HERMITA</t>
  </si>
  <si>
    <t>LARA BAÑOS</t>
  </si>
  <si>
    <t>0201448230</t>
  </si>
  <si>
    <t>VS DF 24M</t>
  </si>
  <si>
    <t>nelilara1@hotmail.com</t>
  </si>
  <si>
    <t>KMPERY GRN 1210</t>
  </si>
  <si>
    <t>ROSA ELIZABETH</t>
  </si>
  <si>
    <t>BERMEO CARRERA</t>
  </si>
  <si>
    <t>0201890456</t>
  </si>
  <si>
    <t>gugavin@hotmail.com</t>
  </si>
  <si>
    <t xml:space="preserve"> ZINDY</t>
  </si>
  <si>
    <t>KMPERY GRN 1211</t>
  </si>
  <si>
    <t>LUIS RICARDO</t>
  </si>
  <si>
    <t>VILLACIS MONAR</t>
  </si>
  <si>
    <t>0200802932</t>
  </si>
  <si>
    <t>rvillacism@hotmail.com</t>
  </si>
  <si>
    <t>KMPERY GRN 1212</t>
  </si>
  <si>
    <t xml:space="preserve">HUGO FERNANDO </t>
  </si>
  <si>
    <t>VASCO HINOJA</t>
  </si>
  <si>
    <t>0202073029</t>
  </si>
  <si>
    <t>fer.creb@hotmail.com</t>
  </si>
  <si>
    <t xml:space="preserve">YORELIS </t>
  </si>
  <si>
    <t>KMPERY GRN 1213</t>
  </si>
  <si>
    <t>MARIAN ZELENE</t>
  </si>
  <si>
    <t>CORRO PORTILLA</t>
  </si>
  <si>
    <t>0202047650</t>
  </si>
  <si>
    <t>zelcorro@gmail.com</t>
  </si>
  <si>
    <t>KMPERY GRN 1214</t>
  </si>
  <si>
    <t xml:space="preserve">ANGEL HUMBERTO </t>
  </si>
  <si>
    <t>REA</t>
  </si>
  <si>
    <t>0200821957</t>
  </si>
  <si>
    <t>reaangel85@gmail.com</t>
  </si>
  <si>
    <t>KMPERY GRN 1215</t>
  </si>
  <si>
    <t>DORA MARCELA</t>
  </si>
  <si>
    <t>ILIGUISUPA PASTOR</t>
  </si>
  <si>
    <t>0201428919</t>
  </si>
  <si>
    <t>do_marce@yahoo.es</t>
  </si>
  <si>
    <t>KMPERY OCC 1216</t>
  </si>
  <si>
    <t>SILVIA MARGARITA</t>
  </si>
  <si>
    <t>BERMEO ESTUPIÑAN</t>
  </si>
  <si>
    <t>0801979089</t>
  </si>
  <si>
    <t>DS DIF 12</t>
  </si>
  <si>
    <t>sivibermeo75@gmail.com</t>
  </si>
  <si>
    <t>KMPERY OCC 1217</t>
  </si>
  <si>
    <t>ANDREA PIEDAD</t>
  </si>
  <si>
    <t>GUZMAN VARGAS</t>
  </si>
  <si>
    <t>2200430433</t>
  </si>
  <si>
    <t>AM CORRIENTE</t>
  </si>
  <si>
    <t>annyguzman_16@hotmail.com</t>
  </si>
  <si>
    <t>KMPERT OCC 1218</t>
  </si>
  <si>
    <t>KERLY VIVIANA</t>
  </si>
  <si>
    <t>SALAZAR ANGULO</t>
  </si>
  <si>
    <t>1206052365</t>
  </si>
  <si>
    <t>vivis1689@gmail.com</t>
  </si>
  <si>
    <t>KMPERYOCC 1219</t>
  </si>
  <si>
    <t>LUIS ALFONSO</t>
  </si>
  <si>
    <t>HERAS PATIÑO</t>
  </si>
  <si>
    <t>1711811578</t>
  </si>
  <si>
    <t>luis.heras1973@gmail.com</t>
  </si>
  <si>
    <t>KMPERY OCC 1220</t>
  </si>
  <si>
    <t>TORRES BUSTOS</t>
  </si>
  <si>
    <t>2200055628</t>
  </si>
  <si>
    <t>mtorres.matb@gmail.com</t>
  </si>
  <si>
    <t>KEMPERY OCC 1221</t>
  </si>
  <si>
    <t xml:space="preserve">JORGE ANDRES </t>
  </si>
  <si>
    <t>GARCIA GARCIA</t>
  </si>
  <si>
    <t>0926299934</t>
  </si>
  <si>
    <t>zeusade260@live.com</t>
  </si>
  <si>
    <t>KMPERY OCC 1222</t>
  </si>
  <si>
    <t xml:space="preserve">YULIANA ELIZABETH </t>
  </si>
  <si>
    <t>OJEDA BUSTOS</t>
  </si>
  <si>
    <t>2100423256</t>
  </si>
  <si>
    <t>VS DIF 24 M</t>
  </si>
  <si>
    <t>yuliana292004@hotmail.com</t>
  </si>
  <si>
    <t>KMPERY OCC 1223</t>
  </si>
  <si>
    <t>XIMENA NOEMI</t>
  </si>
  <si>
    <t>QUIÑONEZ CALISPA</t>
  </si>
  <si>
    <t>1302289606</t>
  </si>
  <si>
    <t>ximequi_57@hotmail.es</t>
  </si>
  <si>
    <t>KMPERY OCC 1224</t>
  </si>
  <si>
    <t xml:space="preserve">DANIEL MIGUEL </t>
  </si>
  <si>
    <t>CARRILLO ORDOÑEZ</t>
  </si>
  <si>
    <t>1716662844</t>
  </si>
  <si>
    <t>deyve_1981@gmail.com</t>
  </si>
  <si>
    <t>SE ASUME 1 CUOTA  51,31</t>
  </si>
  <si>
    <t>KMPERY OCC 1225</t>
  </si>
  <si>
    <t>JIMMY JAVIER</t>
  </si>
  <si>
    <t>PEÑA JIMENEZ</t>
  </si>
  <si>
    <t>2100377387</t>
  </si>
  <si>
    <t>jimmy-pena1986@hotmail.com.ar</t>
  </si>
  <si>
    <t>KMPERY OCC 1226</t>
  </si>
  <si>
    <t>EDISON STALIN</t>
  </si>
  <si>
    <t>ARELLANO CEDEÑO</t>
  </si>
  <si>
    <t>0803904077</t>
  </si>
  <si>
    <t>edison96arellano@hotmial.com</t>
  </si>
  <si>
    <t>KMPERY OCC 1227</t>
  </si>
  <si>
    <t>RUTH MARLENE</t>
  </si>
  <si>
    <t>LECUY CERDA</t>
  </si>
  <si>
    <t>ruthcitalicuy@gmail.com</t>
  </si>
  <si>
    <t>SE ASUMEN 5 CUOTAS DE 160</t>
  </si>
  <si>
    <t>KMPERY IBR 1228</t>
  </si>
  <si>
    <t>RENATA BEATRIZ</t>
  </si>
  <si>
    <t>ERAZO JACOME</t>
  </si>
  <si>
    <t>TRANSFERNCIA</t>
  </si>
  <si>
    <t>renaerazojacome@gmail.com</t>
  </si>
  <si>
    <t>KMPERY IBR 1229</t>
  </si>
  <si>
    <t xml:space="preserve">DANNY PAUL </t>
  </si>
  <si>
    <t>TENORIO SINCHIGUANO</t>
  </si>
  <si>
    <t>0503751000</t>
  </si>
  <si>
    <t>dannyte20@hotmail.com</t>
  </si>
  <si>
    <t>KMPERY IBR 1230</t>
  </si>
  <si>
    <t>JOHANA ELIZABETH</t>
  </si>
  <si>
    <t>QUILLA CUACHI</t>
  </si>
  <si>
    <t>goldbearone.q@gmail.com</t>
  </si>
  <si>
    <t>KMPERY IBR 1231</t>
  </si>
  <si>
    <t>LUIS OSWALDO</t>
  </si>
  <si>
    <t>AMAYA GUERRA</t>
  </si>
  <si>
    <t>luismaya_14-68@hotmail.com</t>
  </si>
  <si>
    <t>KMPERY IBR 1232</t>
  </si>
  <si>
    <t>MERY JACQUELINE</t>
  </si>
  <si>
    <t>PLACENCIA HERNANDEZ</t>
  </si>
  <si>
    <t>gatitajaqueline@hotmail.com</t>
  </si>
  <si>
    <t>KMPERY IBR 1233</t>
  </si>
  <si>
    <t>PATRICIA MARYLIA</t>
  </si>
  <si>
    <t>NUÑEZ RODRIGUEZ</t>
  </si>
  <si>
    <t>mary_n32@gmail.com</t>
  </si>
  <si>
    <t>KMPERY IBR 1234</t>
  </si>
  <si>
    <t xml:space="preserve">MARCO ANTONIO </t>
  </si>
  <si>
    <t>ACOSTA TAFUR</t>
  </si>
  <si>
    <t>marco2t@hotmail.com</t>
  </si>
  <si>
    <t>KMPERY IBR 1235</t>
  </si>
  <si>
    <t xml:space="preserve">JOSE LUIS </t>
  </si>
  <si>
    <t>NAVARRETE ALARCON</t>
  </si>
  <si>
    <t>joselo_navarrete84@yahoo.com</t>
  </si>
  <si>
    <t>KMPERY IBR 1236</t>
  </si>
  <si>
    <t>ALEXANDER ANDRES</t>
  </si>
  <si>
    <t>BENALCANZAR PONCE</t>
  </si>
  <si>
    <t>alexandr91@outlook.es</t>
  </si>
  <si>
    <t>KMPERY STD-1237</t>
  </si>
  <si>
    <t>LUIS ORLANDO</t>
  </si>
  <si>
    <t>CHICAIZA TOAPANTA</t>
  </si>
  <si>
    <t>1802875441</t>
  </si>
  <si>
    <t>luisorlando441@gmail.com</t>
  </si>
  <si>
    <t>KMPERY STD-1238</t>
  </si>
  <si>
    <t>ADRIANA MARGOT</t>
  </si>
  <si>
    <t>LASTIA MURIEL</t>
  </si>
  <si>
    <t>1712724622</t>
  </si>
  <si>
    <t>adriana_lastra@outlook.com</t>
  </si>
  <si>
    <t>KMPERY STD-1239</t>
  </si>
  <si>
    <t>JESSICA GISELA</t>
  </si>
  <si>
    <t>MURILLO TIMBO</t>
  </si>
  <si>
    <t>2300130594</t>
  </si>
  <si>
    <t>je-ssy27@hotmail.com</t>
  </si>
  <si>
    <t>KMPERY STD-1240</t>
  </si>
  <si>
    <t>MANUELA ISABEL</t>
  </si>
  <si>
    <t>MENDOZA MACIAS</t>
  </si>
  <si>
    <t>1710959576</t>
  </si>
  <si>
    <t>TRANSFERENCIA</t>
  </si>
  <si>
    <t>lebasimendoza@hotmail.com</t>
  </si>
  <si>
    <t>KMPERY STD-1241</t>
  </si>
  <si>
    <t>FATIMA ALBERTINA</t>
  </si>
  <si>
    <t>PALACIOS PONCE</t>
  </si>
  <si>
    <t>1306397702</t>
  </si>
  <si>
    <t>fatimapalacio0419@gmail.com</t>
  </si>
  <si>
    <t>KMPERY STD-1242</t>
  </si>
  <si>
    <t>LIBIA BEATRIZ</t>
  </si>
  <si>
    <t>TACURI JADAN</t>
  </si>
  <si>
    <t>0801202466</t>
  </si>
  <si>
    <t>beatrizt2969@gmail.com</t>
  </si>
  <si>
    <t>KMPERY STD-1243</t>
  </si>
  <si>
    <t>JOSE RICARDO</t>
  </si>
  <si>
    <t>FARRO QUINCHE</t>
  </si>
  <si>
    <t>0803305697</t>
  </si>
  <si>
    <t>tato_quinche@hotmail.com</t>
  </si>
  <si>
    <t>KMPERY STD-1244</t>
  </si>
  <si>
    <t>YOLY ELIDSABED</t>
  </si>
  <si>
    <t xml:space="preserve">VERA ALSIVAR </t>
  </si>
  <si>
    <t>1306953249</t>
  </si>
  <si>
    <t>ministrayoli@hotmail.com</t>
  </si>
  <si>
    <t>KMPERY STD-1245</t>
  </si>
  <si>
    <t>DARWIN DAVID</t>
  </si>
  <si>
    <t>PILICITA  PORRAS</t>
  </si>
  <si>
    <t>2300128036</t>
  </si>
  <si>
    <t>GALAPAGOS HOSPEDAJE 4PX</t>
  </si>
  <si>
    <t>mrdarwin.dj@gmail.com</t>
  </si>
  <si>
    <t>KMPERY STD-1246</t>
  </si>
  <si>
    <t xml:space="preserve">JENNY JANETH </t>
  </si>
  <si>
    <t>MANZANO RUBIANO</t>
  </si>
  <si>
    <t>1717144446</t>
  </si>
  <si>
    <t>jennyjanethmanzano@gmail.com</t>
  </si>
  <si>
    <t>KMPERY STD 1247</t>
  </si>
  <si>
    <t>NELLY FANNY</t>
  </si>
  <si>
    <t>ZAMBRANO VILLACIS</t>
  </si>
  <si>
    <t>1703480416</t>
  </si>
  <si>
    <t>fanny53capricornio@yahoo.com</t>
  </si>
  <si>
    <t>KMPERY STD 1248</t>
  </si>
  <si>
    <t>MARIO ALEJANDRO</t>
  </si>
  <si>
    <t>MACIAS MERA</t>
  </si>
  <si>
    <t>2300302094</t>
  </si>
  <si>
    <t>alejomario136@hotmail.com</t>
  </si>
  <si>
    <t>KMPERY STD 1249</t>
  </si>
  <si>
    <t>JORGE LUIS</t>
  </si>
  <si>
    <t>MARIN MOREIRA</t>
  </si>
  <si>
    <t>1721453965</t>
  </si>
  <si>
    <t>jorgeluism_88@outlook.com</t>
  </si>
  <si>
    <t>KMPERY STD 1250</t>
  </si>
  <si>
    <t>MARYURI IBETH</t>
  </si>
  <si>
    <t>CASTILLO MAZACHE</t>
  </si>
  <si>
    <t>2300519374</t>
  </si>
  <si>
    <t>maryuric9927@gmail.com</t>
  </si>
  <si>
    <t>KMPERY STD 1251</t>
  </si>
  <si>
    <t>WILSON RENE</t>
  </si>
  <si>
    <t>AGUILAR NAVARRETE</t>
  </si>
  <si>
    <t>1720121928</t>
  </si>
  <si>
    <t>econraamarillo@hotmail.com</t>
  </si>
  <si>
    <t>KMPERY STD 1252</t>
  </si>
  <si>
    <t>WILLIAN GABRIEL</t>
  </si>
  <si>
    <t>TANDAZO CORDOBA</t>
  </si>
  <si>
    <t>2300197437</t>
  </si>
  <si>
    <t>williamtandaza91@gmail.com</t>
  </si>
  <si>
    <t>KMPERY STD 1253</t>
  </si>
  <si>
    <t xml:space="preserve">ANA GUADALUPE </t>
  </si>
  <si>
    <t>OLIVARES RUIZ</t>
  </si>
  <si>
    <t>171237648</t>
  </si>
  <si>
    <t>anagov2012@hotmail.com</t>
  </si>
  <si>
    <t>KMPERY STD 1254</t>
  </si>
  <si>
    <t>VINICIO EFRAIN</t>
  </si>
  <si>
    <t>ALBOJA SALAZAR</t>
  </si>
  <si>
    <t>1300373279</t>
  </si>
  <si>
    <t>VS DIF 12M</t>
  </si>
  <si>
    <t>vinicioalbuja1300@gmail.com</t>
  </si>
  <si>
    <t>KMPERY STD 1255</t>
  </si>
  <si>
    <t>LIDIA MAGDALENA</t>
  </si>
  <si>
    <t>CARRERA CERON</t>
  </si>
  <si>
    <t>2300241920</t>
  </si>
  <si>
    <t>magdalenacarrera706@gmail.com</t>
  </si>
  <si>
    <t>KMPERY STD 1256</t>
  </si>
  <si>
    <t>WESTLYN JONATHAN</t>
  </si>
  <si>
    <t>ARREAGA NUÑEZ</t>
  </si>
  <si>
    <t>0951150515</t>
  </si>
  <si>
    <t>CREDITO DIRECTO</t>
  </si>
  <si>
    <t>jonathanarreaga@gmail.com</t>
  </si>
  <si>
    <t>KMPERY STD 1257</t>
  </si>
  <si>
    <t>JENNIFER TATIANA</t>
  </si>
  <si>
    <t>MUÑOZ ZAMBRANO</t>
  </si>
  <si>
    <t>1723236749</t>
  </si>
  <si>
    <t>je_ni_ffer1990@hotmail.com</t>
  </si>
  <si>
    <t>KMPERY STD 1258</t>
  </si>
  <si>
    <t>MARCO PATRICIO</t>
  </si>
  <si>
    <t>LAMAR PINEDA</t>
  </si>
  <si>
    <t>1716837339</t>
  </si>
  <si>
    <t>priscilatorresm2020@gmail.com</t>
  </si>
  <si>
    <t>KMPERY STC 1257B</t>
  </si>
  <si>
    <t xml:space="preserve">WILFREDO </t>
  </si>
  <si>
    <t>CABRERA ZUÑIGA</t>
  </si>
  <si>
    <t>1754661484</t>
  </si>
  <si>
    <t>cabrerazuniga1961@gmail.com</t>
  </si>
  <si>
    <t>KMPERY STC 1258B</t>
  </si>
  <si>
    <t>FIDEL ALEJANDRO</t>
  </si>
  <si>
    <t>MARLIN GONZALEZ</t>
  </si>
  <si>
    <t>0962068854</t>
  </si>
  <si>
    <t>fidelalejandromartingonzalez@gmail.com</t>
  </si>
  <si>
    <t>KMPERY STC 1259</t>
  </si>
  <si>
    <t>ALEXI JAVIER</t>
  </si>
  <si>
    <t>ALEJANDRO PLUA</t>
  </si>
  <si>
    <t>0918679002</t>
  </si>
  <si>
    <t>alexitaty@hotmail.com</t>
  </si>
  <si>
    <t>KMPERY STC 1260</t>
  </si>
  <si>
    <t xml:space="preserve">MARIANA ESTEFANIA </t>
  </si>
  <si>
    <t>ALVIA ZAMBRANO</t>
  </si>
  <si>
    <t>0924925597</t>
  </si>
  <si>
    <t>981984249</t>
  </si>
  <si>
    <t>masaes1@hotmail.com</t>
  </si>
  <si>
    <t>KMPERY STC 1261</t>
  </si>
  <si>
    <t>LEONEL JAIME</t>
  </si>
  <si>
    <t>ZAMBRANO REYES</t>
  </si>
  <si>
    <t>0923567382</t>
  </si>
  <si>
    <t>lzambray@hotmai.com</t>
  </si>
  <si>
    <t>KMPERY STC 1262</t>
  </si>
  <si>
    <t>HECTOR DANIEL</t>
  </si>
  <si>
    <t>DEL PESO GONZALES</t>
  </si>
  <si>
    <t>ANULADO</t>
  </si>
  <si>
    <t>danieldelpeso1975@gmail.com</t>
  </si>
  <si>
    <t>KMPERY STC 1263</t>
  </si>
  <si>
    <t>MARIANELA VANESA</t>
  </si>
  <si>
    <t>TENEMPAGUAY REYES</t>
  </si>
  <si>
    <t>0920608502</t>
  </si>
  <si>
    <t>mavanetr@hotmail.com</t>
  </si>
  <si>
    <t>KMPERY STC 1264</t>
  </si>
  <si>
    <t>JAVIER RUBEN</t>
  </si>
  <si>
    <t>SUAREZ LINDAS</t>
  </si>
  <si>
    <t>0927087692</t>
  </si>
  <si>
    <t>djavi1990@hotmail.com</t>
  </si>
  <si>
    <t>KMPERY STC 1265</t>
  </si>
  <si>
    <t>NIXON  VICENTE</t>
  </si>
  <si>
    <t>VELEZ MONTES</t>
  </si>
  <si>
    <t>1307163145</t>
  </si>
  <si>
    <t>veleznixon932@gmail.com</t>
  </si>
  <si>
    <t>KMPERY STC 1266</t>
  </si>
  <si>
    <t>RICHARD VALENTIN</t>
  </si>
  <si>
    <t>CATOTO FIGUEROA</t>
  </si>
  <si>
    <t>2400070385</t>
  </si>
  <si>
    <t>valentincatuto18@outlook.es</t>
  </si>
  <si>
    <t>KMPERY STC 1267</t>
  </si>
  <si>
    <t>SANTIAGO ALVARO</t>
  </si>
  <si>
    <t>GONZALES VILLAN</t>
  </si>
  <si>
    <t>EDGAR</t>
  </si>
  <si>
    <t>KMPERY STC 1268</t>
  </si>
  <si>
    <t>MARIA ELIZABETH</t>
  </si>
  <si>
    <t>LOPEZ GARCIA</t>
  </si>
  <si>
    <t>lopezmaria87@gmail.com</t>
  </si>
  <si>
    <t>KMPERY CUE 1269</t>
  </si>
  <si>
    <t>RAQUEL ARMINDA</t>
  </si>
  <si>
    <t>CABRERA MALDONADO</t>
  </si>
  <si>
    <t>0103552261</t>
  </si>
  <si>
    <t>raquelcabrera1974@gmail.com</t>
  </si>
  <si>
    <t>KMPERY CUE 1270</t>
  </si>
  <si>
    <t>MARIBEL REBECA</t>
  </si>
  <si>
    <t>MOCHA NIEBLA</t>
  </si>
  <si>
    <t>0702385758001</t>
  </si>
  <si>
    <t>mandres8958@gmail.com</t>
  </si>
  <si>
    <t>KMPERY CUE 1271</t>
  </si>
  <si>
    <t>PAOLA MONSERRATH</t>
  </si>
  <si>
    <t>ALBARRACIN GUASHAMBO</t>
  </si>
  <si>
    <t>payda1806@gmail.com</t>
  </si>
  <si>
    <t>KMPERY CUE 1272</t>
  </si>
  <si>
    <t>ADRIANA XIMENA</t>
  </si>
  <si>
    <t>BERMEO ASTUDILLO</t>
  </si>
  <si>
    <t>0107379646</t>
  </si>
  <si>
    <t>dpillcod86@hotmail.com</t>
  </si>
  <si>
    <t>KMPERY CUE 1273</t>
  </si>
  <si>
    <t>JOSE BRAULIO</t>
  </si>
  <si>
    <t>TELLO PATIÑO</t>
  </si>
  <si>
    <t>0103150678</t>
  </si>
  <si>
    <t>josebrauliotello@gmail.com</t>
  </si>
  <si>
    <t>KMPERY CUE 1274</t>
  </si>
  <si>
    <t>MERCEDES BEATRIZ</t>
  </si>
  <si>
    <t>VASQUEZ LEMA</t>
  </si>
  <si>
    <t>1802615086</t>
  </si>
  <si>
    <t>betty28vasquez@gmail.com</t>
  </si>
  <si>
    <t>KMPERY CUE 1275</t>
  </si>
  <si>
    <t>RITA EULALIA</t>
  </si>
  <si>
    <t>TACURI NIVICELA</t>
  </si>
  <si>
    <t>0106518533</t>
  </si>
  <si>
    <t>jhonmatute1907@gmail.com</t>
  </si>
  <si>
    <t>KMPERY CUE 1276</t>
  </si>
  <si>
    <t>GABRIEL ARCENIO</t>
  </si>
  <si>
    <t>CUZCO GUAMAN</t>
  </si>
  <si>
    <t>0101588234</t>
  </si>
  <si>
    <t>cemash.08@gmail.com</t>
  </si>
  <si>
    <t>KMPERY CUE 1277</t>
  </si>
  <si>
    <t>JULIO ENRIQUE</t>
  </si>
  <si>
    <t>VERGARA URGILEZ</t>
  </si>
  <si>
    <t>0301980975</t>
  </si>
  <si>
    <t>julioe1991@hotmail.com</t>
  </si>
  <si>
    <t>KMPERY CUE 1278</t>
  </si>
  <si>
    <t xml:space="preserve">RUTH VIRGINA </t>
  </si>
  <si>
    <t>GUZMAN CRESPO</t>
  </si>
  <si>
    <t>0101755346</t>
  </si>
  <si>
    <t>ruthguzmca_13@hotmail.com</t>
  </si>
  <si>
    <t>KMPERY CUE 1279</t>
  </si>
  <si>
    <t>DIEGO ANDRES</t>
  </si>
  <si>
    <t>UZHCA MARTOS</t>
  </si>
  <si>
    <t>0105207302</t>
  </si>
  <si>
    <t>diego1991martos@gmail.com</t>
  </si>
  <si>
    <t>KMPERY CUE 1280</t>
  </si>
  <si>
    <t>JULIO RODRIGO</t>
  </si>
  <si>
    <t>TENESACA YANZA</t>
  </si>
  <si>
    <t>0102262482</t>
  </si>
  <si>
    <t>juliorodrigo923@hotmail.com</t>
  </si>
  <si>
    <t>KMPERY CUE 1281</t>
  </si>
  <si>
    <t>CARLOS RIGOBERTO</t>
  </si>
  <si>
    <t>CASTRO SAMANIEGO</t>
  </si>
  <si>
    <t>ccarlosdechordeleg@gmail.com</t>
  </si>
  <si>
    <t>KMPERY CUE 1282</t>
  </si>
  <si>
    <t xml:space="preserve">LUCRECIA JACQUELINE </t>
  </si>
  <si>
    <t>FAREZ RICO</t>
  </si>
  <si>
    <t>0702111527</t>
  </si>
  <si>
    <t>jaquifarez@gmail.com</t>
  </si>
  <si>
    <t>KMPERY CUE 1283</t>
  </si>
  <si>
    <t xml:space="preserve">JUAN MANUEL </t>
  </si>
  <si>
    <t>MENDEZ TORRES</t>
  </si>
  <si>
    <t>mendezjuanalfa05@gmail.com</t>
  </si>
  <si>
    <t>KMPERY CUE 1284</t>
  </si>
  <si>
    <t>JESSICA PAOLA</t>
  </si>
  <si>
    <t>CAMPOVERDE LEON</t>
  </si>
  <si>
    <t>0105397335</t>
  </si>
  <si>
    <t>jessicacampoverde1904@gmail.com</t>
  </si>
  <si>
    <t>KMPERY CUE 1285</t>
  </si>
  <si>
    <t>NESTOR FABIAN</t>
  </si>
  <si>
    <t>TENEMPAGUAY GUNCAY</t>
  </si>
  <si>
    <t>0103651352</t>
  </si>
  <si>
    <t>eugenialbarracin2019@gmail.com</t>
  </si>
  <si>
    <t>KMPERY CUE 1286</t>
  </si>
  <si>
    <t>JAIME CLODOMIRO</t>
  </si>
  <si>
    <t>BALLADARES GALARZA</t>
  </si>
  <si>
    <t>0702975624</t>
  </si>
  <si>
    <t>jaimeballadares1973@gmail.com</t>
  </si>
  <si>
    <t>KMPERY CUE 1287</t>
  </si>
  <si>
    <t>RITA AMALIA</t>
  </si>
  <si>
    <t>ANGAMARCA ANGAMARCA</t>
  </si>
  <si>
    <t>1103454300</t>
  </si>
  <si>
    <t>amaliaangamarca849@gmail.com</t>
  </si>
  <si>
    <t>KMPERY CUE 1288</t>
  </si>
  <si>
    <t>CHRRISTIAN MARCELO</t>
  </si>
  <si>
    <t>CISNEROS CARDOSO</t>
  </si>
  <si>
    <t>0103608857</t>
  </si>
  <si>
    <t>emarceloc12@gmail.com</t>
  </si>
  <si>
    <t>KMPERY CUE 1289</t>
  </si>
  <si>
    <t>CARLOS IVAN</t>
  </si>
  <si>
    <t>ORTIZ CARPIO</t>
  </si>
  <si>
    <t>0102681509</t>
  </si>
  <si>
    <t>oivan335@gmail.com</t>
  </si>
  <si>
    <t>KMPERY CUE 1290</t>
  </si>
  <si>
    <t>JANETH PATRICIA</t>
  </si>
  <si>
    <t>CHACON BERMEO</t>
  </si>
  <si>
    <t>0103640942</t>
  </si>
  <si>
    <t>janethchacon1@gmail.com</t>
  </si>
  <si>
    <t>KMPERY CUE 1291</t>
  </si>
  <si>
    <t>LIGIA ESPERANZA</t>
  </si>
  <si>
    <t>PINTADO BACUILMA</t>
  </si>
  <si>
    <t>0103438081</t>
  </si>
  <si>
    <t>lpintado295@gmail.com</t>
  </si>
  <si>
    <t>KMPERY CUE 1292</t>
  </si>
  <si>
    <t>SANTIAGO FERNANDO</t>
  </si>
  <si>
    <t>TAPIA CORNEJO</t>
  </si>
  <si>
    <t>0104382429</t>
  </si>
  <si>
    <t>santitapia@hotmail.com</t>
  </si>
  <si>
    <t>KMPERY CUE 1293</t>
  </si>
  <si>
    <t>VIVIANA JACKELINE</t>
  </si>
  <si>
    <t>RODAS CHERRES</t>
  </si>
  <si>
    <t>0106072325</t>
  </si>
  <si>
    <t>vishuei6@hotmail.com</t>
  </si>
  <si>
    <t>KMPERY CUE 1294</t>
  </si>
  <si>
    <t>LUIS ALBERTO</t>
  </si>
  <si>
    <t>PILLCO TOCACHI</t>
  </si>
  <si>
    <t>0101659399</t>
  </si>
  <si>
    <t>luisalbertotocachi@hotmail.com</t>
  </si>
  <si>
    <t>KMPERY CUE 1295</t>
  </si>
  <si>
    <t>FERNANDA ANDREINA</t>
  </si>
  <si>
    <t>HENA MACHICELA</t>
  </si>
  <si>
    <t>0107078024</t>
  </si>
  <si>
    <t>fernandamena1998@gmail.com</t>
  </si>
  <si>
    <t>KMPERY CUE 1296</t>
  </si>
  <si>
    <t>MARIA HERLINDA</t>
  </si>
  <si>
    <t>CORONEL MARTINEZ</t>
  </si>
  <si>
    <t>0105927933</t>
  </si>
  <si>
    <t>herli_azulita@hotmail.com</t>
  </si>
  <si>
    <t>KMPERY CUE 1297</t>
  </si>
  <si>
    <t>RUTH NOEMI</t>
  </si>
  <si>
    <t>ORTIZ VILLATA</t>
  </si>
  <si>
    <t>0105260194</t>
  </si>
  <si>
    <t>ruthortiz87@hotmail.com</t>
  </si>
  <si>
    <t>KMPERY MCH 1298</t>
  </si>
  <si>
    <t>NARCISO MIGUEL</t>
  </si>
  <si>
    <t>CANZA BARBA</t>
  </si>
  <si>
    <t>2100008933</t>
  </si>
  <si>
    <t>miguel16conza@hotmail.com</t>
  </si>
  <si>
    <t>KMPERY MCH 1299</t>
  </si>
  <si>
    <t>ANDRES GABRIEL</t>
  </si>
  <si>
    <t>PRIETO OCHOA</t>
  </si>
  <si>
    <t>0704867720</t>
  </si>
  <si>
    <t>andresprietoo@hotmail.com</t>
  </si>
  <si>
    <t>KMPERY MCH 1300</t>
  </si>
  <si>
    <t>CRISTIAN ROSENDO</t>
  </si>
  <si>
    <t>CAPELO RAMON</t>
  </si>
  <si>
    <t>0704619030</t>
  </si>
  <si>
    <t>cristhian.cr@outlook.es</t>
  </si>
  <si>
    <t>KMPERY MCH 1301</t>
  </si>
  <si>
    <t>ROSA MARIELA</t>
  </si>
  <si>
    <t>ORDOÑEZGONZALES</t>
  </si>
  <si>
    <t>0702704552</t>
  </si>
  <si>
    <t>gonzalezmariela536@gmail.com</t>
  </si>
  <si>
    <t>KMPERY MCH 1302</t>
  </si>
  <si>
    <t>MIRELLA ALEXANDRA</t>
  </si>
  <si>
    <t>ARMIJOS ALVAREZ</t>
  </si>
  <si>
    <t>0705349264</t>
  </si>
  <si>
    <t>mirella_alexandra94@yahoo.es</t>
  </si>
  <si>
    <t>KMPERY MCHCC102</t>
  </si>
  <si>
    <t>EDINSON GENARO</t>
  </si>
  <si>
    <t>BARCO MIMAYA</t>
  </si>
  <si>
    <t>0703741314</t>
  </si>
  <si>
    <t>sebastianbarcogomez@gmail.com</t>
  </si>
  <si>
    <t>KMPERY MCH 1303</t>
  </si>
  <si>
    <t>MARIA FERNANDA</t>
  </si>
  <si>
    <t>CUENCA RUIZ</t>
  </si>
  <si>
    <t>0704847748</t>
  </si>
  <si>
    <t>fernanda_18@hotmail.com</t>
  </si>
  <si>
    <t>KMPERY MCH 1304</t>
  </si>
  <si>
    <t>OMAR ADALBERTO</t>
  </si>
  <si>
    <t>ALVARADO LIZALDE</t>
  </si>
  <si>
    <t>0703473793</t>
  </si>
  <si>
    <t>omar77alvarado@gmail.com</t>
  </si>
  <si>
    <t>KMPERY MCH 1305</t>
  </si>
  <si>
    <t>LISSETH CAROLINA</t>
  </si>
  <si>
    <t>CARRION VEGA</t>
  </si>
  <si>
    <t>0106510126</t>
  </si>
  <si>
    <t>lissethcarolinacarrionvega@gmail.com</t>
  </si>
  <si>
    <t>KMPERY MCH 1306</t>
  </si>
  <si>
    <t>JENNY MARIANELA</t>
  </si>
  <si>
    <t>JAYA JARAMILLO</t>
  </si>
  <si>
    <t>0704182534</t>
  </si>
  <si>
    <t>MC DIF 12 MESES</t>
  </si>
  <si>
    <t>nelita_jaya@yahoo.com</t>
  </si>
  <si>
    <t>KMPERY MCH 1307</t>
  </si>
  <si>
    <t>WILSON GABRIEL</t>
  </si>
  <si>
    <t>JORDAN BARREIRA</t>
  </si>
  <si>
    <t>0705822351</t>
  </si>
  <si>
    <t>gabrieljordanchiki@hotmail.com</t>
  </si>
  <si>
    <t>KMPERY MCH 1308</t>
  </si>
  <si>
    <t>JOSE DANIEL</t>
  </si>
  <si>
    <t>CALVA CORREA</t>
  </si>
  <si>
    <t>1102219381</t>
  </si>
  <si>
    <t>danielcalva_38@hotmail.com</t>
  </si>
  <si>
    <t>KMPERY MCH 1309</t>
  </si>
  <si>
    <t>LECVIMA DEL CARMEN</t>
  </si>
  <si>
    <t>MATAMOROS RAMIREZ</t>
  </si>
  <si>
    <t>0700992977</t>
  </si>
  <si>
    <t>soyyomstsmoros@hotmail.com</t>
  </si>
  <si>
    <t>KMPERY MCH 1310</t>
  </si>
  <si>
    <t xml:space="preserve">FRANCO </t>
  </si>
  <si>
    <t>ORDOÑEZ CABRERA</t>
  </si>
  <si>
    <t>0701598500</t>
  </si>
  <si>
    <t>franco_emelec@hotmail.com</t>
  </si>
  <si>
    <t>KMPERY RBM 1311</t>
  </si>
  <si>
    <t>LUIS FERNANDO</t>
  </si>
  <si>
    <t>CAMPOS RUIZ</t>
  </si>
  <si>
    <t>0603334970</t>
  </si>
  <si>
    <t>luisfernando.camposruiz@yahoo.ec</t>
  </si>
  <si>
    <t>KMPERY RBM 1312</t>
  </si>
  <si>
    <t>MAYRA XIMENA</t>
  </si>
  <si>
    <t>LEMA CONDO</t>
  </si>
  <si>
    <t>0603039462</t>
  </si>
  <si>
    <t>mayramagle@hotmail.com</t>
  </si>
  <si>
    <t>KMPERY RBM 1313</t>
  </si>
  <si>
    <t>ZOILA ALICIA</t>
  </si>
  <si>
    <t>GUARCO SALAS</t>
  </si>
  <si>
    <t>0603155227</t>
  </si>
  <si>
    <t>farmacialosandes20@hotmail.com</t>
  </si>
  <si>
    <t>KMPERY RBM 1314</t>
  </si>
  <si>
    <t>WILIANS DAVID</t>
  </si>
  <si>
    <t>YUPANGUI YEPEZ</t>
  </si>
  <si>
    <t>0602921504</t>
  </si>
  <si>
    <t>davidyupangui10@gmail.com</t>
  </si>
  <si>
    <t>KMPERY RBM 1315</t>
  </si>
  <si>
    <t>ILIANA MARIA</t>
  </si>
  <si>
    <t>ZAVALA SECAIRA</t>
  </si>
  <si>
    <t>0601654239</t>
  </si>
  <si>
    <t>ginyzavala123@gmail.com</t>
  </si>
  <si>
    <t>YORELIS</t>
  </si>
  <si>
    <t>KMPERY RBM 1316</t>
  </si>
  <si>
    <t xml:space="preserve">DARWIN HERNAN </t>
  </si>
  <si>
    <t>SUAREZ LEON</t>
  </si>
  <si>
    <t>1723393425</t>
  </si>
  <si>
    <t>darwin89leon@hotmail.com</t>
  </si>
  <si>
    <t>KMPERY RBM 1317</t>
  </si>
  <si>
    <t>OLGA MERCEDES</t>
  </si>
  <si>
    <t>GORTAIRE SOLORZANO</t>
  </si>
  <si>
    <t>0604592816</t>
  </si>
  <si>
    <t>magiemaya@hotmail.es</t>
  </si>
  <si>
    <t>KMPERY RBM 1318</t>
  </si>
  <si>
    <t>JOSE SEGUNDO</t>
  </si>
  <si>
    <t>CHINLLI TENELEMA</t>
  </si>
  <si>
    <t>0604306118001</t>
  </si>
  <si>
    <t>josue_2710@hotmail.com</t>
  </si>
  <si>
    <t>KMPERY RBM 1319</t>
  </si>
  <si>
    <t>JENNY ALEJANDRA</t>
  </si>
  <si>
    <t>CARRILLO PILLAJO</t>
  </si>
  <si>
    <t>0604951798</t>
  </si>
  <si>
    <t>jennycarrillo1992@gmail.com</t>
  </si>
  <si>
    <t>KMPERY RBM 1320</t>
  </si>
  <si>
    <t>SEGUDNO ANTONIO</t>
  </si>
  <si>
    <t>PIRAY CAJAMARCA</t>
  </si>
  <si>
    <t>0601807357</t>
  </si>
  <si>
    <t>santoniopiray@gmail.com</t>
  </si>
  <si>
    <t xml:space="preserve">EDGAR </t>
  </si>
  <si>
    <t>KMPERY RBM 1321</t>
  </si>
  <si>
    <t xml:space="preserve">DIEGO ALEXANDER </t>
  </si>
  <si>
    <t>CACERES ORTIZ</t>
  </si>
  <si>
    <t>0604278770</t>
  </si>
  <si>
    <t>cdiego_1512@yahoo.es</t>
  </si>
  <si>
    <t>KMPERY RBM 1322</t>
  </si>
  <si>
    <t>ANGEL EDMUNDO</t>
  </si>
  <si>
    <t xml:space="preserve">PAREDES GARCIA </t>
  </si>
  <si>
    <t>0602300121</t>
  </si>
  <si>
    <t>MC DIF 24M</t>
  </si>
  <si>
    <t>anedpaga@yahoo.es</t>
  </si>
  <si>
    <t>KMPERY RBM 1323</t>
  </si>
  <si>
    <t>VALERIA KATHERINE</t>
  </si>
  <si>
    <t>FREIRE PALACIOS</t>
  </si>
  <si>
    <t>0604433979</t>
  </si>
  <si>
    <t>jordyarias@gmail.com</t>
  </si>
  <si>
    <t>KMPERY GYE 1324</t>
  </si>
  <si>
    <t>WLADIMIR JAVIER</t>
  </si>
  <si>
    <t>GONZALEZ VIVEROS</t>
  </si>
  <si>
    <t>0602143620</t>
  </si>
  <si>
    <t>tecw@velive.com</t>
  </si>
  <si>
    <t>KMPERY GYE 1325</t>
  </si>
  <si>
    <t>DARWIN VIRGILIO</t>
  </si>
  <si>
    <t>MENDOZA VELEZ</t>
  </si>
  <si>
    <t>0704223478</t>
  </si>
  <si>
    <t>darwin.mendoza.velez@gmail.com</t>
  </si>
  <si>
    <t>KMPERY CC 103</t>
  </si>
  <si>
    <t>CARVAJAL YUGSAN</t>
  </si>
  <si>
    <t>0921172805</t>
  </si>
  <si>
    <t>maricercy_7@hotmail.cok</t>
  </si>
  <si>
    <t>KMPERY GYE 1326</t>
  </si>
  <si>
    <t>LUIS CARLOS</t>
  </si>
  <si>
    <t>HEREDIA CABRERA</t>
  </si>
  <si>
    <t>0917052888</t>
  </si>
  <si>
    <t>carloshereluis@hotmail.com</t>
  </si>
  <si>
    <t>KMPERY GYE 1327</t>
  </si>
  <si>
    <t>EUGENIA ALEXANDRA</t>
  </si>
  <si>
    <t>ALAVAR MURILLO</t>
  </si>
  <si>
    <t>0911857290</t>
  </si>
  <si>
    <t>alexa_210269@hotmail.com</t>
  </si>
  <si>
    <t>KMPERY GYE 1328</t>
  </si>
  <si>
    <t>MARIA VICENTA</t>
  </si>
  <si>
    <t>QUITNO ESPINOZA</t>
  </si>
  <si>
    <t>0909496085</t>
  </si>
  <si>
    <t>maria..quinto1962@gmail.com</t>
  </si>
  <si>
    <t>KMPERY GYE 1329</t>
  </si>
  <si>
    <t>NELSON ARTURO</t>
  </si>
  <si>
    <t>BRIONES LEON</t>
  </si>
  <si>
    <t>1202150833</t>
  </si>
  <si>
    <t>abriones-03bsc@hotmail.com</t>
  </si>
  <si>
    <t>KMPERY GYE 1330</t>
  </si>
  <si>
    <t>CECILIA MARCELA</t>
  </si>
  <si>
    <t>QUINDE CRESPIN</t>
  </si>
  <si>
    <t>0907910103</t>
  </si>
  <si>
    <t>cecilia.quindo.iiasa@gmail.com</t>
  </si>
  <si>
    <t>KMPERY GYE 1331</t>
  </si>
  <si>
    <t>MARICELA ELIZABETH</t>
  </si>
  <si>
    <t>CUENCA MOTOCHE</t>
  </si>
  <si>
    <t>0704764083</t>
  </si>
  <si>
    <t>0994410970</t>
  </si>
  <si>
    <t>hgi_ma@hotmail.com</t>
  </si>
  <si>
    <t>KMPERY GYE 1332</t>
  </si>
  <si>
    <t>JOSE HOMERO</t>
  </si>
  <si>
    <t>ANDRADE PARRA</t>
  </si>
  <si>
    <t>0908002439</t>
  </si>
  <si>
    <t>josehomeroandradeparra@gmail.com</t>
  </si>
  <si>
    <t>KMPERY GYE 1333</t>
  </si>
  <si>
    <t>LUIS ANTONIO</t>
  </si>
  <si>
    <t>MORA GAMBOA</t>
  </si>
  <si>
    <t>0921292868001</t>
  </si>
  <si>
    <t>0960532677</t>
  </si>
  <si>
    <t>luismg2691@gmail.com</t>
  </si>
  <si>
    <t>KMPERY AMB 1334</t>
  </si>
  <si>
    <t>GLADYS ROCIO</t>
  </si>
  <si>
    <t>AZOGUE</t>
  </si>
  <si>
    <t>1804441960001</t>
  </si>
  <si>
    <t>0995965355</t>
  </si>
  <si>
    <t>DN DIF 24M</t>
  </si>
  <si>
    <t>gladysrociozo@gmail.com</t>
  </si>
  <si>
    <t>KMPERY AMB1335</t>
  </si>
  <si>
    <t>GRELDA ESTELA</t>
  </si>
  <si>
    <t>SALAVARRIA COELLO</t>
  </si>
  <si>
    <t>1203315260001</t>
  </si>
  <si>
    <t>0939900009</t>
  </si>
  <si>
    <t>estelasalavarria9@gmail.com</t>
  </si>
  <si>
    <t>KMPERY AMB 1336</t>
  </si>
  <si>
    <t>JUAN CARLOS</t>
  </si>
  <si>
    <t>BONILLA QUEMDO</t>
  </si>
  <si>
    <t>1804351250001</t>
  </si>
  <si>
    <t>0990093441</t>
  </si>
  <si>
    <t>bonalvibonillajuan@gmail.com</t>
  </si>
  <si>
    <t>KMPERY AMB 1337</t>
  </si>
  <si>
    <t>ESTEBAN PAUL</t>
  </si>
  <si>
    <t>TERAN GALARZA</t>
  </si>
  <si>
    <t>1803873346</t>
  </si>
  <si>
    <t>0984818589</t>
  </si>
  <si>
    <t>VS  DIF 24</t>
  </si>
  <si>
    <t>raulteran_galarza@hotmail.com</t>
  </si>
  <si>
    <t>KMPERY AMB 1338</t>
  </si>
  <si>
    <t>YASMINA LORENA</t>
  </si>
  <si>
    <t>MARTINEZ DELGADO</t>
  </si>
  <si>
    <t>1310432990</t>
  </si>
  <si>
    <t>0984362563</t>
  </si>
  <si>
    <t>mayasminalorena@yahoo.com</t>
  </si>
  <si>
    <t>ADRIAN/ALEJANDRO</t>
  </si>
  <si>
    <t>KMPERY AMB 1339</t>
  </si>
  <si>
    <t>ANA BEATRIZ</t>
  </si>
  <si>
    <t>CACERES GARCES</t>
  </si>
  <si>
    <t>0501726798001</t>
  </si>
  <si>
    <t>0997873853</t>
  </si>
  <si>
    <t>abcgarces@gmail.com</t>
  </si>
  <si>
    <t>KMPERY AMB 1340</t>
  </si>
  <si>
    <t>ORLEY ALADINO</t>
  </si>
  <si>
    <t>ORIATE ZURITA</t>
  </si>
  <si>
    <t>1804835369</t>
  </si>
  <si>
    <t>0986984627</t>
  </si>
  <si>
    <t>orleyonate93@gmail.com</t>
  </si>
  <si>
    <t>KMPERY AMB 1341</t>
  </si>
  <si>
    <t>IRENE BETHSABE</t>
  </si>
  <si>
    <t>MOLINA PACHECO</t>
  </si>
  <si>
    <t>0700920044</t>
  </si>
  <si>
    <t>0998779854</t>
  </si>
  <si>
    <t>DN DIF 24 M</t>
  </si>
  <si>
    <t>irene.molina.pacheco@hotmail.com</t>
  </si>
  <si>
    <t>KMPERY AMB 1342</t>
  </si>
  <si>
    <t>GILBER SANTIAGO</t>
  </si>
  <si>
    <t>PEREZ ALDAS</t>
  </si>
  <si>
    <t>1804232526001</t>
  </si>
  <si>
    <t>0987744512</t>
  </si>
  <si>
    <t>santyf28k.19@hotmail.com</t>
  </si>
  <si>
    <t>KMPERY AMB 1343</t>
  </si>
  <si>
    <t>EDISON GABRIEL</t>
  </si>
  <si>
    <t>POZO VILLAVERDE</t>
  </si>
  <si>
    <t>1804267860</t>
  </si>
  <si>
    <t>0980137240</t>
  </si>
  <si>
    <t>edpozovi@gmail.com</t>
  </si>
  <si>
    <t>KMPERY AMB 1344</t>
  </si>
  <si>
    <t>PEDRO FABIAN</t>
  </si>
  <si>
    <t>CHIMBORAZO GUAYAN</t>
  </si>
  <si>
    <t>1803050499</t>
  </si>
  <si>
    <t>0998290641</t>
  </si>
  <si>
    <t>pedro57fabian@gmail.com</t>
  </si>
  <si>
    <t>KMPERY AMB 1345</t>
  </si>
  <si>
    <t>BEATRIZ LAURA</t>
  </si>
  <si>
    <t>NARVAEZ CRUZ</t>
  </si>
  <si>
    <t>1801125442</t>
  </si>
  <si>
    <t>0999917776</t>
  </si>
  <si>
    <t>KMPERY AMB 1346</t>
  </si>
  <si>
    <t>CARLOS LUIS</t>
  </si>
  <si>
    <t>CHOURIO PIRELA</t>
  </si>
  <si>
    <t>1759078528</t>
  </si>
  <si>
    <t>0983003889</t>
  </si>
  <si>
    <t>carloschourio26@gmail.com</t>
  </si>
  <si>
    <t>KMPERY AMB 1347</t>
  </si>
  <si>
    <t>ZURITA SANCHEZ</t>
  </si>
  <si>
    <t>1600319188</t>
  </si>
  <si>
    <t>0991864714</t>
  </si>
  <si>
    <t>luiszurita74@outlook.es</t>
  </si>
  <si>
    <t>KMPERY AMB 1348</t>
  </si>
  <si>
    <t>RUBEN ALEX</t>
  </si>
  <si>
    <t>MOPOSITA MOPOSITA</t>
  </si>
  <si>
    <t>1803785466</t>
  </si>
  <si>
    <t>0987550654</t>
  </si>
  <si>
    <t>rubenalexmoposita00@gmail.com</t>
  </si>
  <si>
    <t>KMPERY AMB 1349</t>
  </si>
  <si>
    <t>DIEGO ALEJANDRO</t>
  </si>
  <si>
    <t>ORAÑA COBA</t>
  </si>
  <si>
    <t>1804187969</t>
  </si>
  <si>
    <t>0986137204</t>
  </si>
  <si>
    <t>alejandiego12@yahoo.com</t>
  </si>
  <si>
    <t>KMPERY AMB 1350</t>
  </si>
  <si>
    <t>FLAVIO GLADIMIR</t>
  </si>
  <si>
    <t>MORALES SANCHEZ</t>
  </si>
  <si>
    <t>1802790228</t>
  </si>
  <si>
    <t>0986651936</t>
  </si>
  <si>
    <t>omarmorales1210@hotmail.com</t>
  </si>
  <si>
    <t>KMPERY AMB 1351</t>
  </si>
  <si>
    <t>NANCY PIEDAD</t>
  </si>
  <si>
    <t>PERDOMO CHACHA</t>
  </si>
  <si>
    <t>1803935749001</t>
  </si>
  <si>
    <t>0969668385</t>
  </si>
  <si>
    <t>nancy_1982@outlook.es</t>
  </si>
  <si>
    <t>KMPERY AMB 1352</t>
  </si>
  <si>
    <t>DEYSI MAGALY</t>
  </si>
  <si>
    <t>GAVILANES CHALUISA</t>
  </si>
  <si>
    <t>1804857538</t>
  </si>
  <si>
    <t>0985089905</t>
  </si>
  <si>
    <t>deysigavicha@gmail.com</t>
  </si>
  <si>
    <t>KMPERY AMB 1353</t>
  </si>
  <si>
    <t>WILSON PATRICIO</t>
  </si>
  <si>
    <t>YAMCHA NOELA</t>
  </si>
  <si>
    <t>1803503174001</t>
  </si>
  <si>
    <t>0983474755</t>
  </si>
  <si>
    <t>EFECTIVO/TRANSFERENCIA</t>
  </si>
  <si>
    <t>estefaniagancha2009@gmail.com</t>
  </si>
  <si>
    <t>KMPERY LOH 1354</t>
  </si>
  <si>
    <t>EDGAR LEONARDO</t>
  </si>
  <si>
    <t>MALDONADO SAMANIEGO</t>
  </si>
  <si>
    <t>1105738890</t>
  </si>
  <si>
    <t>0983201011</t>
  </si>
  <si>
    <t>leo.maldonado.5794@gmail.com</t>
  </si>
  <si>
    <t>KMPERY LOH 1355</t>
  </si>
  <si>
    <t>MARIELA DEL CISNE</t>
  </si>
  <si>
    <t>ESPINOSA DELGADO</t>
  </si>
  <si>
    <t>1101437729</t>
  </si>
  <si>
    <t>0986199781</t>
  </si>
  <si>
    <t>mariela11014@gmail.com</t>
  </si>
  <si>
    <t>KMPERY LOH 1356</t>
  </si>
  <si>
    <t>MARIA MERCEDES</t>
  </si>
  <si>
    <t>MEDINA VALAREZO</t>
  </si>
  <si>
    <t>0703717900</t>
  </si>
  <si>
    <t>0967039279</t>
  </si>
  <si>
    <t>medinavalarezo@gmail.com</t>
  </si>
  <si>
    <t>KMPERY LOH 1357</t>
  </si>
  <si>
    <t>PIEDAD DEL ROCIO</t>
  </si>
  <si>
    <t>MINCHALA SUESCUN</t>
  </si>
  <si>
    <t>1103590590</t>
  </si>
  <si>
    <t>0994444724</t>
  </si>
  <si>
    <t xml:space="preserve">VS DIF 24 </t>
  </si>
  <si>
    <t>prminchala@gmai.com</t>
  </si>
  <si>
    <t>KMPERY LOH 1358</t>
  </si>
  <si>
    <t>GABRIELA PATRICIA</t>
  </si>
  <si>
    <t>MENDOZA SALAZAR</t>
  </si>
  <si>
    <t>0706046240</t>
  </si>
  <si>
    <t>0994035111</t>
  </si>
  <si>
    <t>gaby.ms2102@gmail.com</t>
  </si>
  <si>
    <t>KMPERY LOH 1359</t>
  </si>
  <si>
    <t>ROSA ANGELICA</t>
  </si>
  <si>
    <t>GALVEZ OCHOA</t>
  </si>
  <si>
    <t>1102042205</t>
  </si>
  <si>
    <t>0995783242</t>
  </si>
  <si>
    <t>rosagalvezochoa1960@gmail.com</t>
  </si>
  <si>
    <t>KMPERY LOH 1360</t>
  </si>
  <si>
    <t>PATRICIA LIZBETH</t>
  </si>
  <si>
    <t>VASQUEZ FAJARDO</t>
  </si>
  <si>
    <t>1104817620</t>
  </si>
  <si>
    <t>0991843301</t>
  </si>
  <si>
    <t>patriciavasquezfg1@gmail.com</t>
  </si>
  <si>
    <t>KMPERY LOH 1361</t>
  </si>
  <si>
    <t>SILVANA DE LOS ANGELES</t>
  </si>
  <si>
    <t>GONZALEZ SARAGURO</t>
  </si>
  <si>
    <t>1103493795</t>
  </si>
  <si>
    <t>0994522054</t>
  </si>
  <si>
    <t>gonzalezsilvana178@gmail.com</t>
  </si>
  <si>
    <t>KMPERY LOH 1362</t>
  </si>
  <si>
    <t>MARJORIE INDIRA</t>
  </si>
  <si>
    <t>PARRA GUAICHA</t>
  </si>
  <si>
    <t>1900590827001</t>
  </si>
  <si>
    <t>0994988557</t>
  </si>
  <si>
    <t>DNDIF 24M</t>
  </si>
  <si>
    <t>mayu_dul@hotmail.com</t>
  </si>
  <si>
    <t>KMPERY LOH 1363</t>
  </si>
  <si>
    <t>PABLO DAVID</t>
  </si>
  <si>
    <t>OCHOA QUEZADA</t>
  </si>
  <si>
    <t>1103860043001</t>
  </si>
  <si>
    <t>0981673220</t>
  </si>
  <si>
    <t>pablodavid89@gmail.com</t>
  </si>
  <si>
    <t>KMPERY LOH 1364</t>
  </si>
  <si>
    <t>MAGALI ALEXANDRA</t>
  </si>
  <si>
    <t>BANDA ORTEGA</t>
  </si>
  <si>
    <t>1104055932</t>
  </si>
  <si>
    <t>0988142498</t>
  </si>
  <si>
    <t>magalybanda38@gmail.com</t>
  </si>
  <si>
    <t>KMPERY LOH 1365</t>
  </si>
  <si>
    <t>SANDRA DEL CISNE</t>
  </si>
  <si>
    <t>PADILLA PATIÑO</t>
  </si>
  <si>
    <t>1103850887</t>
  </si>
  <si>
    <t>0981004223</t>
  </si>
  <si>
    <t>cisne_padilla@yahoo.es</t>
  </si>
  <si>
    <t>KMPERY LOH 1366</t>
  </si>
  <si>
    <t>MARCO VINICIO</t>
  </si>
  <si>
    <t>SINCHIRE GOMEZ</t>
  </si>
  <si>
    <t>1105041550</t>
  </si>
  <si>
    <t>0983069952</t>
  </si>
  <si>
    <t>DN DF 6 M</t>
  </si>
  <si>
    <t>marcosinchire170190@gmail.com</t>
  </si>
  <si>
    <t>KMPERY LOH 1367</t>
  </si>
  <si>
    <t>JORGE ARTEMAN</t>
  </si>
  <si>
    <t>JUMBO BENITEZ</t>
  </si>
  <si>
    <t>1103579635</t>
  </si>
  <si>
    <t>0992464885</t>
  </si>
  <si>
    <t>jorgejumbo@gmail.com</t>
  </si>
  <si>
    <t>KMPERY LOH 1368</t>
  </si>
  <si>
    <t xml:space="preserve">HERNAN </t>
  </si>
  <si>
    <t>VALLE TALEDO</t>
  </si>
  <si>
    <t>1105911745</t>
  </si>
  <si>
    <t>0997493811</t>
  </si>
  <si>
    <t>djhernan6b6@hotmail.com</t>
  </si>
  <si>
    <t>KMPERY LOH 1369</t>
  </si>
  <si>
    <t xml:space="preserve">JOSE FRANKLIN </t>
  </si>
  <si>
    <t>YAURI CHUQUIMARCA</t>
  </si>
  <si>
    <t>1103104707</t>
  </si>
  <si>
    <t>0992031033</t>
  </si>
  <si>
    <t>joyauri31@hotmail.com</t>
  </si>
  <si>
    <t>KMPERY LOH 1370</t>
  </si>
  <si>
    <t>DARWIN FELIPE</t>
  </si>
  <si>
    <t>JAPON QUIZPE</t>
  </si>
  <si>
    <t>1103611826</t>
  </si>
  <si>
    <t>0981722494</t>
  </si>
  <si>
    <t>djapon1@hotmail.com</t>
  </si>
  <si>
    <t>KMPERY LOH 1371</t>
  </si>
  <si>
    <t>CARLOS FERNANDO</t>
  </si>
  <si>
    <t>TORRES CHAMCUSI</t>
  </si>
  <si>
    <t>0502571110</t>
  </si>
  <si>
    <t>0969406384</t>
  </si>
  <si>
    <t>carletas.t@gmail.com</t>
  </si>
  <si>
    <t>KMPERY LOH 1372</t>
  </si>
  <si>
    <t>HILDA PAULINA</t>
  </si>
  <si>
    <t>MUÑOZ SILVA</t>
  </si>
  <si>
    <t>1103844666</t>
  </si>
  <si>
    <t>0989137545</t>
  </si>
  <si>
    <t>hpns9810@gmail.com</t>
  </si>
  <si>
    <t>KMPERY LOH 1373</t>
  </si>
  <si>
    <t>RAMIRO ANDRES</t>
  </si>
  <si>
    <t>VALDIVIESO CELI</t>
  </si>
  <si>
    <t>1104808868</t>
  </si>
  <si>
    <t>0989554418</t>
  </si>
  <si>
    <t>8</t>
  </si>
  <si>
    <t>ramvaldiveso@hotmail.com</t>
  </si>
  <si>
    <t>KMPERY LOH 1374</t>
  </si>
  <si>
    <t>KELVIN PEDRO</t>
  </si>
  <si>
    <t>MUÑOZ SALGADO</t>
  </si>
  <si>
    <t>0705895266</t>
  </si>
  <si>
    <t>0980451534</t>
  </si>
  <si>
    <t>6</t>
  </si>
  <si>
    <t>pedrom505_@hotmail.com</t>
  </si>
  <si>
    <t>KMPERY LOH 1375</t>
  </si>
  <si>
    <t>RAUL HUMBERTO</t>
  </si>
  <si>
    <t>MANCHAY MEDINA</t>
  </si>
  <si>
    <t>1104341092</t>
  </si>
  <si>
    <t>0999838164</t>
  </si>
  <si>
    <t>7</t>
  </si>
  <si>
    <t>mancruzdr@outlokk.com</t>
  </si>
  <si>
    <t>KMPERY LOH 1376</t>
  </si>
  <si>
    <t>ALEXANDRA JHULIANA</t>
  </si>
  <si>
    <t>RAMIREZ BRAVO</t>
  </si>
  <si>
    <t>1104534837</t>
  </si>
  <si>
    <t>0959606694</t>
  </si>
  <si>
    <t>alexami830@gmail.com</t>
  </si>
  <si>
    <t>KMPERY LOH 1377</t>
  </si>
  <si>
    <t>LILIANA PATRICIA</t>
  </si>
  <si>
    <t>CABRERA SALINAS</t>
  </si>
  <si>
    <t>1104989221</t>
  </si>
  <si>
    <t>0992071215</t>
  </si>
  <si>
    <t>lc.vhcomunicaciones@gmail.com</t>
  </si>
  <si>
    <t>KMPERY LOH 1378</t>
  </si>
  <si>
    <t xml:space="preserve">VICTOR EDUARDO </t>
  </si>
  <si>
    <t>ALVAREZ SILVA</t>
  </si>
  <si>
    <t>1104684517</t>
  </si>
  <si>
    <t>0993166205</t>
  </si>
  <si>
    <t>victor.alvarez.silva2009@gmail.com</t>
  </si>
  <si>
    <t>KMPERY LOH 1379</t>
  </si>
  <si>
    <t>DANIEL ALBERTO</t>
  </si>
  <si>
    <t>MARQUEZ OCHOA</t>
  </si>
  <si>
    <t>1104356959001</t>
  </si>
  <si>
    <t>0997630245</t>
  </si>
  <si>
    <t>no</t>
  </si>
  <si>
    <t>jairismael-77@hotmail.com</t>
  </si>
  <si>
    <t>KMPERY IBR 1380</t>
  </si>
  <si>
    <t>FREDDY PATRICIO</t>
  </si>
  <si>
    <t>GONZALES AGUILAR</t>
  </si>
  <si>
    <t>1002308714</t>
  </si>
  <si>
    <t>0981643742</t>
  </si>
  <si>
    <t>freddypato_gonzalez@yahoo.com</t>
  </si>
  <si>
    <t>KMPERY IBR 1381</t>
  </si>
  <si>
    <t>QUILCA ESCANTA</t>
  </si>
  <si>
    <t>1002884029001</t>
  </si>
  <si>
    <t>0987204254</t>
  </si>
  <si>
    <t>hugoquilca184@gmail.com</t>
  </si>
  <si>
    <t>KMPERY IBR 1382</t>
  </si>
  <si>
    <t>ALEJANDRA YUBIRAY</t>
  </si>
  <si>
    <t>NARANJO JUAREZ</t>
  </si>
  <si>
    <t>0962681011</t>
  </si>
  <si>
    <t>0962734086</t>
  </si>
  <si>
    <t>alejandranrnjo@gmail.com</t>
  </si>
  <si>
    <t>KMPERY IBR 1383</t>
  </si>
  <si>
    <t>EDWIN PATRICIO</t>
  </si>
  <si>
    <t>MAIGUA FLORES</t>
  </si>
  <si>
    <t>1003070263</t>
  </si>
  <si>
    <t>0986124927</t>
  </si>
  <si>
    <t>maigua_2006@hotmail.com</t>
  </si>
  <si>
    <t>KMPERY IBR 1384</t>
  </si>
  <si>
    <t>PAUL ROBERTO</t>
  </si>
  <si>
    <t>BENALCANZAR BOLAÑOS</t>
  </si>
  <si>
    <t>1724378086</t>
  </si>
  <si>
    <t>0987062496</t>
  </si>
  <si>
    <t>poolgto@gmail.com</t>
  </si>
  <si>
    <t>KMPERY IBR 1385</t>
  </si>
  <si>
    <t>HECTOR PATRICIO</t>
  </si>
  <si>
    <t>TUGUBANGO SUAREZ</t>
  </si>
  <si>
    <t>1002352845</t>
  </si>
  <si>
    <t>0991601563</t>
  </si>
  <si>
    <t>hector_tugo@hotmail.com</t>
  </si>
  <si>
    <t>KMPERY UIO 1001</t>
  </si>
  <si>
    <t>FREDI MANRIQUE</t>
  </si>
  <si>
    <t>TANDAZO CABRERA</t>
  </si>
  <si>
    <t>1102791330001</t>
  </si>
  <si>
    <t>0982858377</t>
  </si>
  <si>
    <t>fredi.tandazo@yahoo.com</t>
  </si>
  <si>
    <t>KMPERY AMB 1386</t>
  </si>
  <si>
    <t>JOHANNA PATRICIA</t>
  </si>
  <si>
    <t>TORRES ZAPOTA</t>
  </si>
  <si>
    <t>1804640090</t>
  </si>
  <si>
    <t>0988113533</t>
  </si>
  <si>
    <t>joa.torres28@gmail.com</t>
  </si>
  <si>
    <t>KMPERY UIO 1002</t>
  </si>
  <si>
    <t xml:space="preserve">CRISTINA SALOME </t>
  </si>
  <si>
    <t>BORJA PARREÑO</t>
  </si>
  <si>
    <t>1719538124</t>
  </si>
  <si>
    <t>0958712955</t>
  </si>
  <si>
    <t>5</t>
  </si>
  <si>
    <t>borja.salome@hotmail.com</t>
  </si>
  <si>
    <t>KMPERY AMB 1387</t>
  </si>
  <si>
    <t>LUIS ABERTO</t>
  </si>
  <si>
    <t>CAJAMARCA SANGUCHO</t>
  </si>
  <si>
    <t>1805326673</t>
  </si>
  <si>
    <t>0990044342</t>
  </si>
  <si>
    <t>4</t>
  </si>
  <si>
    <t>luiscajamarca312@gmail.com</t>
  </si>
  <si>
    <t>KMPERY UIO 1003</t>
  </si>
  <si>
    <t>MARIA DE LOURDES</t>
  </si>
  <si>
    <t>HINOJOSA MORETA</t>
  </si>
  <si>
    <t>1712183522</t>
  </si>
  <si>
    <t>0983366215</t>
  </si>
  <si>
    <t>lourdeshinojosa75@hotmail.com</t>
  </si>
  <si>
    <t>KMPERY AMB 1388</t>
  </si>
  <si>
    <t>LOPEZ LOPEZ</t>
  </si>
  <si>
    <t>1802299444</t>
  </si>
  <si>
    <t>0984649405</t>
  </si>
  <si>
    <t>kitolopez2@hotmail.com</t>
  </si>
  <si>
    <t>KMPERY AMB 1389</t>
  </si>
  <si>
    <t>FLOR YOLANDA</t>
  </si>
  <si>
    <t>ROSERO PACHECO</t>
  </si>
  <si>
    <t>1801919380</t>
  </si>
  <si>
    <t>0983100587</t>
  </si>
  <si>
    <t>zafirofr@gmail.com</t>
  </si>
  <si>
    <t>KMPERY TNW 1390</t>
  </si>
  <si>
    <t>MARIA EUGENIA</t>
  </si>
  <si>
    <t>PEÑAFIEL VILLACIS</t>
  </si>
  <si>
    <t>1804837498</t>
  </si>
  <si>
    <t>0993864626</t>
  </si>
  <si>
    <t>m.eugenia1598@gmail.com</t>
  </si>
  <si>
    <t>KMPERY TNW 1391</t>
  </si>
  <si>
    <t>OSWALDO NAPOLEON</t>
  </si>
  <si>
    <t>JURADO LANDAZURI</t>
  </si>
  <si>
    <t>1500598782</t>
  </si>
  <si>
    <t>0999402600</t>
  </si>
  <si>
    <t>oswaldojurado@hotmail.com</t>
  </si>
  <si>
    <t>KMPERY TNW 1392</t>
  </si>
  <si>
    <t xml:space="preserve">CRISTIAN RENE </t>
  </si>
  <si>
    <t>PAREDES PALOMEQUE</t>
  </si>
  <si>
    <t>1500781628</t>
  </si>
  <si>
    <t>0996399164</t>
  </si>
  <si>
    <t>10</t>
  </si>
  <si>
    <t>cparedeselectric@hotmail.com</t>
  </si>
  <si>
    <t>KMPERY TNW 1393</t>
  </si>
  <si>
    <t>ZINTYA DAYANARA</t>
  </si>
  <si>
    <t>GUERRERO ACURIO</t>
  </si>
  <si>
    <t>1500814825001</t>
  </si>
  <si>
    <t>0987671027</t>
  </si>
  <si>
    <t>dayan_1448@hotmail.com</t>
  </si>
  <si>
    <t>KMPERY TNW 1394</t>
  </si>
  <si>
    <t>KARINA MAGDALENA</t>
  </si>
  <si>
    <t>OCHOA PEÑA</t>
  </si>
  <si>
    <t>1500823560</t>
  </si>
  <si>
    <t>0987018698</t>
  </si>
  <si>
    <t>DS DIF 24M</t>
  </si>
  <si>
    <t>karymag99@gmail.com</t>
  </si>
  <si>
    <t>KMPERY TNW 1395</t>
  </si>
  <si>
    <t>JOEL SALOMON</t>
  </si>
  <si>
    <t>VERRUGO PINOS</t>
  </si>
  <si>
    <t>1500665235</t>
  </si>
  <si>
    <t>0986713146</t>
  </si>
  <si>
    <t>ENLACE</t>
  </si>
  <si>
    <t>joelverdugo318@gmail.com</t>
  </si>
  <si>
    <t>KMPERY TNW 1396</t>
  </si>
  <si>
    <t>MARITZA GRICELDA</t>
  </si>
  <si>
    <t>LICUY TAPUY</t>
  </si>
  <si>
    <t>1500876469001</t>
  </si>
  <si>
    <t>0968868297</t>
  </si>
  <si>
    <t>maritzaglt@hotmail.com</t>
  </si>
  <si>
    <t>KMPERY UIO 1004</t>
  </si>
  <si>
    <t>JOSE AURELIO</t>
  </si>
  <si>
    <t>MANGUI GUALA</t>
  </si>
  <si>
    <t>1716159429</t>
  </si>
  <si>
    <t>0992867563</t>
  </si>
  <si>
    <t>9</t>
  </si>
  <si>
    <t>gaby.mena@homail.com</t>
  </si>
  <si>
    <t>WLADIMIR</t>
  </si>
  <si>
    <t>KMPERY JJP 1397</t>
  </si>
  <si>
    <t xml:space="preserve">YRMA LASTENIA </t>
  </si>
  <si>
    <t>SALAZAR BOZADA</t>
  </si>
  <si>
    <t>1309442349</t>
  </si>
  <si>
    <t>0992145393</t>
  </si>
  <si>
    <t>irmalastenia35@gmail.com</t>
  </si>
  <si>
    <t>KMPERY JJP 1398</t>
  </si>
  <si>
    <t>PIN PADILLA</t>
  </si>
  <si>
    <t>1313108647</t>
  </si>
  <si>
    <t>0993348975</t>
  </si>
  <si>
    <t>miguel_1989@hotmail.com</t>
  </si>
  <si>
    <t>KMPERY JJP 1399</t>
  </si>
  <si>
    <t>ANGELICA YESSENIA</t>
  </si>
  <si>
    <t>BAQUE VILLACRESES</t>
  </si>
  <si>
    <t>1309598066</t>
  </si>
  <si>
    <t>0939226712</t>
  </si>
  <si>
    <t>baviangy@hotmail.com</t>
  </si>
  <si>
    <t>KMPERY UIO 1005</t>
  </si>
  <si>
    <t>VERONICA DE LA MERCEDES</t>
  </si>
  <si>
    <t>TITUAÑA</t>
  </si>
  <si>
    <t>1802337459</t>
  </si>
  <si>
    <t>0994688690</t>
  </si>
  <si>
    <t>tituanaveronica21@gmail.com</t>
  </si>
  <si>
    <t>DIEGO ROSSE</t>
  </si>
  <si>
    <t>VLADIMIR</t>
  </si>
  <si>
    <t>KMPERY JJP 1400</t>
  </si>
  <si>
    <t>NARCISO FERNANDO AUGUSTO</t>
  </si>
  <si>
    <t>AYON VILLAO</t>
  </si>
  <si>
    <t>1303366395</t>
  </si>
  <si>
    <t>0995651363</t>
  </si>
  <si>
    <t>nacoayon@yahoo.es</t>
  </si>
  <si>
    <t>KMPERY JJP 1401</t>
  </si>
  <si>
    <t>FRANKLIN DAVID</t>
  </si>
  <si>
    <t>SANCHEZ MENENDEZ</t>
  </si>
  <si>
    <t>1315762490</t>
  </si>
  <si>
    <t>0991021400</t>
  </si>
  <si>
    <t>franklindavid094@hotmail.com</t>
  </si>
  <si>
    <t>KMPERY JJP 1402</t>
  </si>
  <si>
    <t>KMPERY JJP 1403</t>
  </si>
  <si>
    <t>WILMER CESAR</t>
  </si>
  <si>
    <t>PINCAY TUMBACO</t>
  </si>
  <si>
    <t>1314520105</t>
  </si>
  <si>
    <t>0999148985</t>
  </si>
  <si>
    <t>wpincaytum@gmail.com</t>
  </si>
  <si>
    <t>KMPERY JJP 1404</t>
  </si>
  <si>
    <t>HUMBERTO ANDRES</t>
  </si>
  <si>
    <t>TOALA QUIMIS</t>
  </si>
  <si>
    <t>1308402484</t>
  </si>
  <si>
    <t>0959685182</t>
  </si>
  <si>
    <t>humbertotualass@gmail.com</t>
  </si>
  <si>
    <t>KMPERY JJP 1405</t>
  </si>
  <si>
    <t>MOISES REINALDO</t>
  </si>
  <si>
    <t>PINCAY MUÑIS</t>
  </si>
  <si>
    <t>1311721730</t>
  </si>
  <si>
    <t>0984154009</t>
  </si>
  <si>
    <t>moisespincay30@gmail.com</t>
  </si>
  <si>
    <t>KMPERY JJP 1406</t>
  </si>
  <si>
    <t>MAIRA  BOSELI</t>
  </si>
  <si>
    <t>CHAVEZ SANCHEZ</t>
  </si>
  <si>
    <t>1307546042</t>
  </si>
  <si>
    <t>0967027735</t>
  </si>
  <si>
    <t>machaza_@hotmail.com</t>
  </si>
  <si>
    <t>KMPERY JJP 1407</t>
  </si>
  <si>
    <t>GARY WLADIMIR</t>
  </si>
  <si>
    <t>CHAVEZ ACUÑA</t>
  </si>
  <si>
    <t>1312652348</t>
  </si>
  <si>
    <t>0997420441</t>
  </si>
  <si>
    <t>tatialexfigueroa2017@gmail.com</t>
  </si>
  <si>
    <t>KMPERY JJP 1408</t>
  </si>
  <si>
    <t>FELICITA SILVIA</t>
  </si>
  <si>
    <t>MENENDEZ MARCILLA</t>
  </si>
  <si>
    <t>1306266642</t>
  </si>
  <si>
    <t>0994483871</t>
  </si>
  <si>
    <t>silviamenendezmarcilla1997@outlook.es</t>
  </si>
  <si>
    <t>KMPERY UIO 1006</t>
  </si>
  <si>
    <t>JUAN SEGUNDO</t>
  </si>
  <si>
    <t>HINOSTROSA TITUAÑA</t>
  </si>
  <si>
    <t>1709402034</t>
  </si>
  <si>
    <t>0994466357</t>
  </si>
  <si>
    <t>hinostrosat68@hotmail.com</t>
  </si>
  <si>
    <t>MARCO</t>
  </si>
  <si>
    <t>KMPERY MEC 1409</t>
  </si>
  <si>
    <t>JUAN MIGUEL</t>
  </si>
  <si>
    <t>PICO MACIAS</t>
  </si>
  <si>
    <t>1311725095</t>
  </si>
  <si>
    <t>0959628930</t>
  </si>
  <si>
    <t>juan1986pico@gmail.com</t>
  </si>
  <si>
    <t>KMPERY MEC 1410</t>
  </si>
  <si>
    <t>CECILIA DE LOURDES</t>
  </si>
  <si>
    <t>LUCAS ROMERO</t>
  </si>
  <si>
    <t>1305214809</t>
  </si>
  <si>
    <t>0988734490</t>
  </si>
  <si>
    <t>cfpl_1989@hotmail.com</t>
  </si>
  <si>
    <t>KMPERY MEC 1411</t>
  </si>
  <si>
    <t>CARLOS ALFREDO</t>
  </si>
  <si>
    <t>MANTUANO MOREIRA</t>
  </si>
  <si>
    <t>1312005729</t>
  </si>
  <si>
    <t>0986380603</t>
  </si>
  <si>
    <t>carlos25mant@gmail.com</t>
  </si>
  <si>
    <t>KMPERY MEC 1412</t>
  </si>
  <si>
    <t>ROQUE ALBERTO</t>
  </si>
  <si>
    <t>MOREIRA ANTON</t>
  </si>
  <si>
    <t>1305650358</t>
  </si>
  <si>
    <t>0995255986</t>
  </si>
  <si>
    <t>roquemoreira@outlook.com</t>
  </si>
  <si>
    <t>KMPERY MEC 1413</t>
  </si>
  <si>
    <t xml:space="preserve">JOSE ROBERTH </t>
  </si>
  <si>
    <t>FRANCO PILOSO</t>
  </si>
  <si>
    <t>1309544276</t>
  </si>
  <si>
    <t>0982910587</t>
  </si>
  <si>
    <t>josefranco78@outlook.es</t>
  </si>
  <si>
    <t>KMPERY MEC 1414</t>
  </si>
  <si>
    <t>CARLOS JULIO</t>
  </si>
  <si>
    <t>CATUCUAMBA GUALPA</t>
  </si>
  <si>
    <t>1706734538</t>
  </si>
  <si>
    <t>0985139085</t>
  </si>
  <si>
    <t>ALIA CORRIENTE</t>
  </si>
  <si>
    <t>cjcj4968@hotmail.com</t>
  </si>
  <si>
    <t>KMPERY MEC 1415</t>
  </si>
  <si>
    <t>ALBA MAGDALENA</t>
  </si>
  <si>
    <t>MENDOZA RIVERA</t>
  </si>
  <si>
    <t>1304638966</t>
  </si>
  <si>
    <t>0999403959</t>
  </si>
  <si>
    <t>KMPERY UIO 1007</t>
  </si>
  <si>
    <t>VERONICA ALEXANDRA</t>
  </si>
  <si>
    <t>ARRIETA SALGADO</t>
  </si>
  <si>
    <t>1713440764</t>
  </si>
  <si>
    <t>0992604917</t>
  </si>
  <si>
    <t>veronica74arrieta@gmail.com</t>
  </si>
  <si>
    <t>ALEXANDER</t>
  </si>
  <si>
    <t>KMPERY UIO 1008</t>
  </si>
  <si>
    <t>EDUARDO ERNESTO</t>
  </si>
  <si>
    <t>MARMOL ROCHA</t>
  </si>
  <si>
    <t>1705582169</t>
  </si>
  <si>
    <t>0988346042</t>
  </si>
  <si>
    <t>edmarmolr@hotmail.com</t>
  </si>
  <si>
    <t>KMPERY UIO 1009</t>
  </si>
  <si>
    <t>RUBEN DARIO</t>
  </si>
  <si>
    <t>LOPEZ ALCIVAR</t>
  </si>
  <si>
    <t>2300096423001</t>
  </si>
  <si>
    <t>0982007613</t>
  </si>
  <si>
    <t>rl441401@gmail.com</t>
  </si>
  <si>
    <t>MARIANGEL</t>
  </si>
  <si>
    <t>KMPERY UIO 1010</t>
  </si>
  <si>
    <t>JOSE LUIS</t>
  </si>
  <si>
    <t>CEDEÑO PONCE</t>
  </si>
  <si>
    <t>1724638091</t>
  </si>
  <si>
    <t>0986096476</t>
  </si>
  <si>
    <t>PC/CANCUN</t>
  </si>
  <si>
    <t>joseluis_172463@hotmail.com</t>
  </si>
  <si>
    <t>KMPERY MEC 1416</t>
  </si>
  <si>
    <t>CHRISTIAN SAMUEL</t>
  </si>
  <si>
    <t>PERALTA PINCAY</t>
  </si>
  <si>
    <t>0918050493</t>
  </si>
  <si>
    <t>0999793968</t>
  </si>
  <si>
    <t>15</t>
  </si>
  <si>
    <t>cspp77@gmail.com</t>
  </si>
  <si>
    <t>KMPERY UIO 1011</t>
  </si>
  <si>
    <t>ELBA MARIA DE LOURDES</t>
  </si>
  <si>
    <t>TEJADA BELTRAN</t>
  </si>
  <si>
    <t>1700509282</t>
  </si>
  <si>
    <t>0992771265</t>
  </si>
  <si>
    <t>galoarevalo@hotmail.com</t>
  </si>
  <si>
    <t>STANLY</t>
  </si>
  <si>
    <t>KMPERY UIO 1012</t>
  </si>
  <si>
    <t>SCARLET PAMELA</t>
  </si>
  <si>
    <t>CISNEROS FUERTES</t>
  </si>
  <si>
    <t>1724380918</t>
  </si>
  <si>
    <t>0995473554</t>
  </si>
  <si>
    <t>cisneros.scarlet@gmail.com</t>
  </si>
  <si>
    <t>JAIRO</t>
  </si>
  <si>
    <t>JEFFERSON</t>
  </si>
  <si>
    <t>KMPERY UIO 1013</t>
  </si>
  <si>
    <t>NELLY VIRGINIA</t>
  </si>
  <si>
    <t>CARRION CASA</t>
  </si>
  <si>
    <t>1710039569</t>
  </si>
  <si>
    <t>0995617068</t>
  </si>
  <si>
    <t>CACUNCARD</t>
  </si>
  <si>
    <t>nellycarrion69@hotmail.com</t>
  </si>
  <si>
    <t>KMPERY UIO 1014</t>
  </si>
  <si>
    <t xml:space="preserve">MARTHA CORISA </t>
  </si>
  <si>
    <t>LIGÑA ORBE</t>
  </si>
  <si>
    <t>1709009599</t>
  </si>
  <si>
    <t>0984380675</t>
  </si>
  <si>
    <t>martha.ligna@hotmail.com</t>
  </si>
  <si>
    <t>KMPERY MCH 1417</t>
  </si>
  <si>
    <t>KMPERY MCH 1418</t>
  </si>
  <si>
    <t>LORENA ZENAIDA</t>
  </si>
  <si>
    <t>SALINAS MEJIA</t>
  </si>
  <si>
    <t>0705254662</t>
  </si>
  <si>
    <t>0990395247</t>
  </si>
  <si>
    <t>ehinila_salinas_@hotmail.com</t>
  </si>
  <si>
    <t>KMPERY MCH 1419</t>
  </si>
  <si>
    <t>LUZ LEONOR</t>
  </si>
  <si>
    <t>SALAZAR BARRETO</t>
  </si>
  <si>
    <t>0919541813</t>
  </si>
  <si>
    <t>0983259272</t>
  </si>
  <si>
    <t>salazarleonor30@gmail.com</t>
  </si>
  <si>
    <t>KMPERY MCH 1420</t>
  </si>
  <si>
    <t>MARITZA ISABEL</t>
  </si>
  <si>
    <t>PEREIRA QUINDE</t>
  </si>
  <si>
    <t>0704459122</t>
  </si>
  <si>
    <t>0989066749</t>
  </si>
  <si>
    <t>marit.1392@hotmail.com</t>
  </si>
  <si>
    <t>KMPERY MCH 1421</t>
  </si>
  <si>
    <t>ESPINOZA PARDO</t>
  </si>
  <si>
    <t>0702374885</t>
  </si>
  <si>
    <t>0969701845</t>
  </si>
  <si>
    <t>carlosalfredo77espinoza@gmail.com</t>
  </si>
  <si>
    <t>KMPERY MCH 1422</t>
  </si>
  <si>
    <t>ACOSTA BANCES</t>
  </si>
  <si>
    <t>0952581270</t>
  </si>
  <si>
    <t>0995180896</t>
  </si>
  <si>
    <t>juliama.garcia2979@gmail.com</t>
  </si>
  <si>
    <t>KMPERY MCH 1423</t>
  </si>
  <si>
    <t>VIRNA EDIT</t>
  </si>
  <si>
    <t>MACAS MACAS</t>
  </si>
  <si>
    <t>0704807213</t>
  </si>
  <si>
    <t>0986965575</t>
  </si>
  <si>
    <t>virnaedith87@outlook.es</t>
  </si>
  <si>
    <t>KMPERY MCH 1424</t>
  </si>
  <si>
    <t>BELLA CARMELA</t>
  </si>
  <si>
    <t>BOMBON TAPIA</t>
  </si>
  <si>
    <t>0704562628</t>
  </si>
  <si>
    <t>0989285516</t>
  </si>
  <si>
    <t>12</t>
  </si>
  <si>
    <t>bbombont1984@gmail.com</t>
  </si>
  <si>
    <t>KMPERY MCH 1425</t>
  </si>
  <si>
    <t>MARIA DEL CISNES</t>
  </si>
  <si>
    <t>SANCHEZ PACHECO</t>
  </si>
  <si>
    <t>0704491208</t>
  </si>
  <si>
    <t>0980277112</t>
  </si>
  <si>
    <t>06</t>
  </si>
  <si>
    <t>m.cisnesanchez@gmail.com</t>
  </si>
  <si>
    <t>KMPERY MCH 1426</t>
  </si>
  <si>
    <t>JOSE IVAN</t>
  </si>
  <si>
    <t>VIZUETA CEREZO</t>
  </si>
  <si>
    <t>0705493328</t>
  </si>
  <si>
    <t>0988581986</t>
  </si>
  <si>
    <t>vizuetajose09@gmail.com</t>
  </si>
  <si>
    <t>KMPERY MCH 1427</t>
  </si>
  <si>
    <t>IVAN ROLANDO</t>
  </si>
  <si>
    <t>AVILES GOMEZ</t>
  </si>
  <si>
    <t>0703479386</t>
  </si>
  <si>
    <t>0980160836</t>
  </si>
  <si>
    <t>ivanaviles250274@hotmail.com</t>
  </si>
  <si>
    <t>KMPERY MCH 1428</t>
  </si>
  <si>
    <t xml:space="preserve">LADY YADIRA </t>
  </si>
  <si>
    <t>DIAZ VARGAS</t>
  </si>
  <si>
    <t>0705198588</t>
  </si>
  <si>
    <t>0991701859</t>
  </si>
  <si>
    <t>ledy-yadira@hotmaial.com</t>
  </si>
  <si>
    <t>KMPERY UIO 1015</t>
  </si>
  <si>
    <t>ANA ALEXANDRA</t>
  </si>
  <si>
    <t>LEMA HOLGUIN</t>
  </si>
  <si>
    <t>1719616847001</t>
  </si>
  <si>
    <t>0967851129</t>
  </si>
  <si>
    <t>seguelectronica.ec@gmail.com</t>
  </si>
  <si>
    <t>KAREN</t>
  </si>
  <si>
    <t>KMPERY MCH 1429</t>
  </si>
  <si>
    <t>TITO</t>
  </si>
  <si>
    <t xml:space="preserve"> CALDERON CONTRERAS</t>
  </si>
  <si>
    <t>0702383597</t>
  </si>
  <si>
    <t>0985740250</t>
  </si>
  <si>
    <t>tito-calderon69@hotmail.com</t>
  </si>
  <si>
    <t>KMPERY MCH 1430</t>
  </si>
  <si>
    <t>EVELYN MADELEINE</t>
  </si>
  <si>
    <t>PRADO NOLE</t>
  </si>
  <si>
    <t>0706423910</t>
  </si>
  <si>
    <t>0961065925</t>
  </si>
  <si>
    <t>made.prado2026@gmail.com</t>
  </si>
  <si>
    <t>KMPERY MCH 1431</t>
  </si>
  <si>
    <t>KMPERY MCH 1432</t>
  </si>
  <si>
    <t>JHON ANDRES</t>
  </si>
  <si>
    <t>RAMIREZ CRIOLLOS</t>
  </si>
  <si>
    <t>0702307786</t>
  </si>
  <si>
    <t>0985710534</t>
  </si>
  <si>
    <t>joanracri@hotmai.com</t>
  </si>
  <si>
    <t>KMPERY MCH 1433</t>
  </si>
  <si>
    <t>KATHERIN LEONELA</t>
  </si>
  <si>
    <t>LEON GUZMAN</t>
  </si>
  <si>
    <t>0704629716</t>
  </si>
  <si>
    <t>0989247269</t>
  </si>
  <si>
    <t>leonela595@gmail.com</t>
  </si>
  <si>
    <t>KMPERY MCH 1434</t>
  </si>
  <si>
    <t>MIRIAN CECILIA</t>
  </si>
  <si>
    <t>LITUMA CRESPO</t>
  </si>
  <si>
    <t>0701732463</t>
  </si>
  <si>
    <t>0983536589</t>
  </si>
  <si>
    <t>cecytalituma@hotmail.com</t>
  </si>
  <si>
    <t>KMPERY UIO 1016</t>
  </si>
  <si>
    <t>IRMA YOLANDA</t>
  </si>
  <si>
    <t>RUBIO ALBAN</t>
  </si>
  <si>
    <t>1702486794</t>
  </si>
  <si>
    <t>0999857006</t>
  </si>
  <si>
    <t>mgcabrera1959@hotmail.com</t>
  </si>
  <si>
    <t>KMPERY UIO 1017</t>
  </si>
  <si>
    <t xml:space="preserve">WILSON </t>
  </si>
  <si>
    <t>FLORES AYO</t>
  </si>
  <si>
    <t>1716428493</t>
  </si>
  <si>
    <t>0982998378</t>
  </si>
  <si>
    <t>floreswilson650@gmail.com</t>
  </si>
  <si>
    <t>KMPERY UIO 1018</t>
  </si>
  <si>
    <t xml:space="preserve">WILSON GEOVANY </t>
  </si>
  <si>
    <t>SIMBAÑA CHUSHIG</t>
  </si>
  <si>
    <t>1717744633</t>
  </si>
  <si>
    <t>0989367042</t>
  </si>
  <si>
    <t>wsimbana265@puce.edu.ec</t>
  </si>
  <si>
    <t>KMPERY GBO 1435</t>
  </si>
  <si>
    <t xml:space="preserve">ANA ADELA </t>
  </si>
  <si>
    <t>NAULA FAICAN</t>
  </si>
  <si>
    <t>0702407636</t>
  </si>
  <si>
    <t>0959619777</t>
  </si>
  <si>
    <t>ani_dorsteva24@outlook.es</t>
  </si>
  <si>
    <t>KMPERY GBO 1436</t>
  </si>
  <si>
    <t>ANDREA ELIZABETH</t>
  </si>
  <si>
    <t>SOLANO NAULA</t>
  </si>
  <si>
    <t>0704723345</t>
  </si>
  <si>
    <t>0997889922</t>
  </si>
  <si>
    <t>andy29.asn@gmail.com</t>
  </si>
  <si>
    <t>KMPERY GBO 1437</t>
  </si>
  <si>
    <t>ROCIO ALEXANDRA</t>
  </si>
  <si>
    <t>MALLA MALLA</t>
  </si>
  <si>
    <t>0705830321</t>
  </si>
  <si>
    <t>0993002711</t>
  </si>
  <si>
    <t>rosimalla11016@hotmail.com</t>
  </si>
  <si>
    <t>KMPERY OTV-1015</t>
  </si>
  <si>
    <t>JUAN GABRIEL</t>
  </si>
  <si>
    <t>LANDAZURI SUAREZ</t>
  </si>
  <si>
    <t>1704932092</t>
  </si>
  <si>
    <t>0988851876</t>
  </si>
  <si>
    <t>juangls1958@hotmail.com</t>
  </si>
  <si>
    <t>JONATHAN</t>
  </si>
  <si>
    <t>KMPERY OTV-1019</t>
  </si>
  <si>
    <t>LIDIA INES</t>
  </si>
  <si>
    <t>DIAZ GISBERT</t>
  </si>
  <si>
    <t>1756687677</t>
  </si>
  <si>
    <t>0987434456</t>
  </si>
  <si>
    <t>lidiadg2914@htomail.com</t>
  </si>
  <si>
    <t>ANDRES</t>
  </si>
  <si>
    <t>KMPERY OTV-1020</t>
  </si>
  <si>
    <t xml:space="preserve">RICHART PATRICIO </t>
  </si>
  <si>
    <t>POZO DIAZ</t>
  </si>
  <si>
    <t>1002241204</t>
  </si>
  <si>
    <t>0999311779</t>
  </si>
  <si>
    <t>richarth_pozo@hotmail.com</t>
  </si>
  <si>
    <t>MARCELA</t>
  </si>
  <si>
    <t>KMPERY PÑS 1438</t>
  </si>
  <si>
    <t>JOSE FRANCISCO</t>
  </si>
  <si>
    <t>LOAYZA BUITRON</t>
  </si>
  <si>
    <t>0702297482</t>
  </si>
  <si>
    <t>0999103731</t>
  </si>
  <si>
    <t>pfrancisco70@hotmail.com</t>
  </si>
  <si>
    <t>KMPERY PÑS 1439</t>
  </si>
  <si>
    <t>VILMA JANETH</t>
  </si>
  <si>
    <t>MALDONADO JARAMILLO</t>
  </si>
  <si>
    <t>0703272625</t>
  </si>
  <si>
    <t>0994892563</t>
  </si>
  <si>
    <t>DN FIF 24M</t>
  </si>
  <si>
    <t>janethmal@hotmail.es</t>
  </si>
  <si>
    <t>KMPERY QUD 1440</t>
  </si>
  <si>
    <t>FANNY JACQUELINE</t>
  </si>
  <si>
    <t>JIJON SACON</t>
  </si>
  <si>
    <t>1203331903</t>
  </si>
  <si>
    <t>0939332177</t>
  </si>
  <si>
    <t>fannysita1976@hotmail.com</t>
  </si>
  <si>
    <t>KMPERY QUD 1441</t>
  </si>
  <si>
    <t>MARIA ELENA</t>
  </si>
  <si>
    <t>LAAZ DOMO</t>
  </si>
  <si>
    <t>1205881236</t>
  </si>
  <si>
    <t>0980282926</t>
  </si>
  <si>
    <t>mariaelenalaaz@hotmail.com</t>
  </si>
  <si>
    <t>KEMPRY QUD 1442</t>
  </si>
  <si>
    <t>GREGORIO ERNESTO</t>
  </si>
  <si>
    <t>ROSADO LOPEZ</t>
  </si>
  <si>
    <t>1205458175</t>
  </si>
  <si>
    <t>0998420650</t>
  </si>
  <si>
    <t>ernestorosadolopez123@gmail.com</t>
  </si>
  <si>
    <t>KEMPRY QUD 1443</t>
  </si>
  <si>
    <t>MONICA MARYLIN</t>
  </si>
  <si>
    <t>MONTES LOOR</t>
  </si>
  <si>
    <t>1203678709</t>
  </si>
  <si>
    <t>0991601072</t>
  </si>
  <si>
    <t>monicamontes781@hotmail.com</t>
  </si>
  <si>
    <t>KEMPRY QUD 1444</t>
  </si>
  <si>
    <t>BRYAN ALBERTO</t>
  </si>
  <si>
    <t>BAZAN BOBADILLA</t>
  </si>
  <si>
    <t>0928401884</t>
  </si>
  <si>
    <t>0985401144</t>
  </si>
  <si>
    <t>bazanbryan504@gmail.com</t>
  </si>
  <si>
    <t>KMPERY QUD 1445</t>
  </si>
  <si>
    <t>FRIXON AFRIEL</t>
  </si>
  <si>
    <t>SANCHEZ VARGAS</t>
  </si>
  <si>
    <t>1205443656</t>
  </si>
  <si>
    <t>0991647831</t>
  </si>
  <si>
    <t>fixonsanchez821@gmail.com</t>
  </si>
  <si>
    <t>KMPERY QUD 1446</t>
  </si>
  <si>
    <t>YOLANDA DE JESUS</t>
  </si>
  <si>
    <t>TOMALA MENDOZA</t>
  </si>
  <si>
    <t>1203141354</t>
  </si>
  <si>
    <t>0988229895</t>
  </si>
  <si>
    <t>yolytomala2@gmail.com</t>
  </si>
  <si>
    <t>KMPERY QUD 1447</t>
  </si>
  <si>
    <t>ADRIANA SULAY</t>
  </si>
  <si>
    <t>AGUIRRE ORTEGA</t>
  </si>
  <si>
    <t>1204695918</t>
  </si>
  <si>
    <t>0969613797</t>
  </si>
  <si>
    <t>DATAFAST</t>
  </si>
  <si>
    <t>adriana.babyos@hotmail.com</t>
  </si>
  <si>
    <t>ANAHYS</t>
  </si>
  <si>
    <t>KMPERY QUD 1448</t>
  </si>
  <si>
    <t>ALEXANDER LEONEL</t>
  </si>
  <si>
    <t>SORNOZA GOMEZ</t>
  </si>
  <si>
    <t>0503816183</t>
  </si>
  <si>
    <t>0988518441</t>
  </si>
  <si>
    <t>leonelsornoza271@gmail.com</t>
  </si>
  <si>
    <t>KMPERY QUD 1449</t>
  </si>
  <si>
    <t>JONATHAN ANTONIO</t>
  </si>
  <si>
    <t>CASTILLO ZAMBRANO</t>
  </si>
  <si>
    <t>1207166768</t>
  </si>
  <si>
    <t>0987084416</t>
  </si>
  <si>
    <t>jona251991@gmail.com</t>
  </si>
  <si>
    <t>KMPERY UIO 5001</t>
  </si>
  <si>
    <t>EDWIN FERNANDO</t>
  </si>
  <si>
    <t>GUAÑA QUILUMBA</t>
  </si>
  <si>
    <t>1714835269</t>
  </si>
  <si>
    <t>0998012868</t>
  </si>
  <si>
    <t>fernando.egg@hotmaill.com</t>
  </si>
  <si>
    <t>KMPERY LOH 1450</t>
  </si>
  <si>
    <t>NURIA ELIZABETH</t>
  </si>
  <si>
    <t>CUEVA BUSTAMANTE</t>
  </si>
  <si>
    <t>1102742390</t>
  </si>
  <si>
    <t>0985457408</t>
  </si>
  <si>
    <t>cuevanubia@yahoo.es</t>
  </si>
  <si>
    <t>KMPERY LOH 1451</t>
  </si>
  <si>
    <t>IVAN PATRICIO</t>
  </si>
  <si>
    <t>VARGAS MONCAYO</t>
  </si>
  <si>
    <t>1102565742</t>
  </si>
  <si>
    <t>0997546347</t>
  </si>
  <si>
    <t>patriciovargas68@hotmail.com</t>
  </si>
  <si>
    <t>KMPERY LOH 1452</t>
  </si>
  <si>
    <t>JOSE VLADIMIR</t>
  </si>
  <si>
    <t xml:space="preserve"> CUEVA BRAVO</t>
  </si>
  <si>
    <t>1103034029</t>
  </si>
  <si>
    <t>0999572708</t>
  </si>
  <si>
    <t>PUNTA CANA, CANCUN Y CRUCERO</t>
  </si>
  <si>
    <t>flaco.pepe12@gmail.com</t>
  </si>
  <si>
    <t>KMPERY LOH 1453</t>
  </si>
  <si>
    <t xml:space="preserve">DIEGO FERNANDO </t>
  </si>
  <si>
    <t>GUARNIZO PEÑA</t>
  </si>
  <si>
    <t>1104570351</t>
  </si>
  <si>
    <t>0997863662</t>
  </si>
  <si>
    <t>diegofg1808@gmail.com</t>
  </si>
  <si>
    <t>KMPERY LOH 1454</t>
  </si>
  <si>
    <t>ALLEGRIA UBALDIMA</t>
  </si>
  <si>
    <t>TOLEDO LEON</t>
  </si>
  <si>
    <t>1102021233</t>
  </si>
  <si>
    <t>0982990936</t>
  </si>
  <si>
    <t>alegria.toledo.leon@gmail.com</t>
  </si>
  <si>
    <t>KMPERY LOH 1455</t>
  </si>
  <si>
    <t>CARLOS VICENTE</t>
  </si>
  <si>
    <t>NARVAEZ PARDO</t>
  </si>
  <si>
    <t>1104770514001</t>
  </si>
  <si>
    <t>0989449877</t>
  </si>
  <si>
    <t>vichepardo@gmail.com</t>
  </si>
  <si>
    <t>KMPERY LOH 1456</t>
  </si>
  <si>
    <t>NORMA ESPERANZA</t>
  </si>
  <si>
    <t>BERMEO FLORES</t>
  </si>
  <si>
    <t>1102084975</t>
  </si>
  <si>
    <t>0990096812</t>
  </si>
  <si>
    <t>TICKET AEREO MEXICO</t>
  </si>
  <si>
    <t>normitabermeo@yahoo.es</t>
  </si>
  <si>
    <t>KMPERY LOH 1457</t>
  </si>
  <si>
    <t>LEONARDO JOSE</t>
  </si>
  <si>
    <t>ANGAMARCA LUZURIAGA</t>
  </si>
  <si>
    <t>1104803422001</t>
  </si>
  <si>
    <t>0952009946</t>
  </si>
  <si>
    <t>javangamarca@gmail.com</t>
  </si>
  <si>
    <t>KMPERY LOH 1458</t>
  </si>
  <si>
    <t>MAXIMA AURORA</t>
  </si>
  <si>
    <t>VIVANCO PINZA</t>
  </si>
  <si>
    <t>1102674908</t>
  </si>
  <si>
    <t>0985221914</t>
  </si>
  <si>
    <t>maavipi@gmail.com</t>
  </si>
  <si>
    <t>KMPERY LOH 1459</t>
  </si>
  <si>
    <t>RUTH KATHERIN</t>
  </si>
  <si>
    <t>PUCHA TORRES</t>
  </si>
  <si>
    <t>1104182777</t>
  </si>
  <si>
    <t>0989294777</t>
  </si>
  <si>
    <t>CANCUN CARD</t>
  </si>
  <si>
    <t>VS DIF 24M</t>
  </si>
  <si>
    <t>kathy_emy24@hotmail.com</t>
  </si>
  <si>
    <t>KMPERY LOH 1460</t>
  </si>
  <si>
    <t>MARLON ALONSO</t>
  </si>
  <si>
    <t>VILLALTA LEON</t>
  </si>
  <si>
    <t>1103316749</t>
  </si>
  <si>
    <t>0967849125</t>
  </si>
  <si>
    <t>villaltamarlonalonso47@gmail.com</t>
  </si>
  <si>
    <t>KMPERY LOH 1461</t>
  </si>
  <si>
    <t>DELIA GERMANIA</t>
  </si>
  <si>
    <t>CUENCA AGUIRRE</t>
  </si>
  <si>
    <t>1101994620</t>
  </si>
  <si>
    <t>0995621354</t>
  </si>
  <si>
    <t>KMPERY LOH 1462</t>
  </si>
  <si>
    <t>NERA MEJIA</t>
  </si>
  <si>
    <t>1105583577</t>
  </si>
  <si>
    <t>0968567518</t>
  </si>
  <si>
    <t>mariafernandaneiramejia86@gmail.com</t>
  </si>
  <si>
    <t>KMPERY LOH 1463</t>
  </si>
  <si>
    <t>PABLO RAUL</t>
  </si>
  <si>
    <t>JIMENEZ JIMENEZ</t>
  </si>
  <si>
    <t>1105432239</t>
  </si>
  <si>
    <t>0989319584</t>
  </si>
  <si>
    <t>pablo_j11@hotmail.com</t>
  </si>
  <si>
    <t>KMPERY LOH 1464</t>
  </si>
  <si>
    <t>CARLOS ALBERTO</t>
  </si>
  <si>
    <t>AREVALO ABAD</t>
  </si>
  <si>
    <t>1104602253</t>
  </si>
  <si>
    <t>0992439888</t>
  </si>
  <si>
    <t>cbcto@hotmail.es</t>
  </si>
  <si>
    <t>KMPERY LOH 1465</t>
  </si>
  <si>
    <t>FRANCO ESTUARDO</t>
  </si>
  <si>
    <t>FIGUEROA CASTILLO</t>
  </si>
  <si>
    <t>1101988531</t>
  </si>
  <si>
    <t>0982532550</t>
  </si>
  <si>
    <t>estuardofigueroac@yahoo.es</t>
  </si>
  <si>
    <t>MARIA ALEJANDRA</t>
  </si>
  <si>
    <t>KMPERY LOH 1466</t>
  </si>
  <si>
    <t>VERONICA DEL CISNE</t>
  </si>
  <si>
    <t xml:space="preserve">ABAD LODEÑA </t>
  </si>
  <si>
    <t>1104777311</t>
  </si>
  <si>
    <t>0980227086</t>
  </si>
  <si>
    <t>very59@hotmail.com</t>
  </si>
  <si>
    <t>KMPERY LOH 1467</t>
  </si>
  <si>
    <t>IRENE DEL ROSARIO</t>
  </si>
  <si>
    <t>FERNANDEZ CRUZ</t>
  </si>
  <si>
    <t>1102235387</t>
  </si>
  <si>
    <t>0984341977</t>
  </si>
  <si>
    <t>rosariofernandez204@hotmail.es</t>
  </si>
  <si>
    <t>KMPERY LOH 1468</t>
  </si>
  <si>
    <t>LUZ VICTORIA</t>
  </si>
  <si>
    <t>MAZA HERRERA</t>
  </si>
  <si>
    <t>1105248494</t>
  </si>
  <si>
    <t>0982217412</t>
  </si>
  <si>
    <t>vikymaza1994@gmail.com</t>
  </si>
  <si>
    <t>KMPERY LOH 1469</t>
  </si>
  <si>
    <t>IRMA CARMITA</t>
  </si>
  <si>
    <t>HERRERA BARZALLO</t>
  </si>
  <si>
    <t>1102891858</t>
  </si>
  <si>
    <t>0991802150</t>
  </si>
  <si>
    <t>irmahb_69@hotmail.com</t>
  </si>
  <si>
    <t>KMPERY LOH 1470</t>
  </si>
  <si>
    <t>LIDIA MARICELA</t>
  </si>
  <si>
    <t>GRANIZO GONZAGA</t>
  </si>
  <si>
    <t>1104790769</t>
  </si>
  <si>
    <t>0989598921</t>
  </si>
  <si>
    <t>maricela1967granizo@gmail.com</t>
  </si>
  <si>
    <t>KMPERY LOH 1471</t>
  </si>
  <si>
    <t>MARIA JACKELINE</t>
  </si>
  <si>
    <t>CANGO MATAILO</t>
  </si>
  <si>
    <t>1105338642</t>
  </si>
  <si>
    <t>0983690406</t>
  </si>
  <si>
    <t>mcangomatailo@gmail.com</t>
  </si>
  <si>
    <t>KMPERY LOH 1472</t>
  </si>
  <si>
    <t>NOEMI MARIELA</t>
  </si>
  <si>
    <t>SALAZAR BENTACURT</t>
  </si>
  <si>
    <t>1105257719</t>
  </si>
  <si>
    <t>0962880837</t>
  </si>
  <si>
    <t>marielao72019@hotmail.com</t>
  </si>
  <si>
    <t>KMPERY LOH 1473</t>
  </si>
  <si>
    <t>SILVIO FILOMENO</t>
  </si>
  <si>
    <t>VIVANCO VIVANCO</t>
  </si>
  <si>
    <t>0704101187</t>
  </si>
  <si>
    <t>0999444937</t>
  </si>
  <si>
    <t>silviovv18@gmail.com</t>
  </si>
  <si>
    <t xml:space="preserve">JHONATHAN </t>
  </si>
  <si>
    <t>KMPERY LOH 1474</t>
  </si>
  <si>
    <t>JIMMY ANTONIO</t>
  </si>
  <si>
    <t>HERRERA ROJAS</t>
  </si>
  <si>
    <t>1104962848001</t>
  </si>
  <si>
    <t>0991867223</t>
  </si>
  <si>
    <t>tazmanyproducciones09@gmail.com</t>
  </si>
  <si>
    <t>KMPERY LOH 1475</t>
  </si>
  <si>
    <t>SILVANA CAROLINA</t>
  </si>
  <si>
    <t>JIMENEZ ZHANAY</t>
  </si>
  <si>
    <t>1900762970</t>
  </si>
  <si>
    <t>0991960552</t>
  </si>
  <si>
    <t>caro_jimenex55_90@hotmail.com</t>
  </si>
  <si>
    <t>KMPERY LOH 1476</t>
  </si>
  <si>
    <t>DIEGO EDUARDO</t>
  </si>
  <si>
    <t>PALADINES BERNAL</t>
  </si>
  <si>
    <t>1104473739</t>
  </si>
  <si>
    <t>0983570202</t>
  </si>
  <si>
    <t>diegocpb@hotmail.com</t>
  </si>
  <si>
    <t>KMPERY LOH 1477</t>
  </si>
  <si>
    <t>RAMIRO ALEXANDER</t>
  </si>
  <si>
    <t>VACA MONTAÑO</t>
  </si>
  <si>
    <t>1105104754</t>
  </si>
  <si>
    <t>0968437153</t>
  </si>
  <si>
    <t>MC DIF 24 M</t>
  </si>
  <si>
    <t>ramirovaca.8@gmail.com</t>
  </si>
  <si>
    <t>KMPERY LOH 1478</t>
  </si>
  <si>
    <t>VILMA SORAYA</t>
  </si>
  <si>
    <t>TORRES CABRERA</t>
  </si>
  <si>
    <t>1103123749</t>
  </si>
  <si>
    <t>0991738622</t>
  </si>
  <si>
    <t>sorayatorres76@hotmail.com</t>
  </si>
  <si>
    <t>KMPERY LOH 1479</t>
  </si>
  <si>
    <t xml:space="preserve">MARCEL JHONHATAN </t>
  </si>
  <si>
    <t>ALBERCA CAPA</t>
  </si>
  <si>
    <t>1900518851</t>
  </si>
  <si>
    <t>0984330726</t>
  </si>
  <si>
    <t>mnarjhoo7@hotmail.com</t>
  </si>
  <si>
    <t>KMPERY LOH 1480</t>
  </si>
  <si>
    <t>SOLORZANO PINCAY</t>
  </si>
  <si>
    <t>1104794548001</t>
  </si>
  <si>
    <t>0986650911</t>
  </si>
  <si>
    <t>gabrielsolorzanopintado@gmail.com</t>
  </si>
  <si>
    <t>KMPERY GRN 1481</t>
  </si>
  <si>
    <t xml:space="preserve">EDGAR VINICIO </t>
  </si>
  <si>
    <t>MANOBANDA CANDO</t>
  </si>
  <si>
    <t>1751608652</t>
  </si>
  <si>
    <t>0939476254</t>
  </si>
  <si>
    <t>manobanda.edgar.1994@gmail.com</t>
  </si>
  <si>
    <t>KMPERY GRN 1482</t>
  </si>
  <si>
    <t>WASHINGTON VINICIO</t>
  </si>
  <si>
    <t>QUILLIGANA CHILENO</t>
  </si>
  <si>
    <t>0250126026</t>
  </si>
  <si>
    <t>0984893090</t>
  </si>
  <si>
    <t>vinicioquilligana96@gmail.com</t>
  </si>
  <si>
    <t>KMPERY GRN 1483</t>
  </si>
  <si>
    <t>BEATRIZYOLANDA</t>
  </si>
  <si>
    <t>TORRES VILLACIS</t>
  </si>
  <si>
    <t>0201237583</t>
  </si>
  <si>
    <t>0981936565</t>
  </si>
  <si>
    <t>toreesyolanda1968@gmail.com</t>
  </si>
  <si>
    <t>KMPERY GRN 1484</t>
  </si>
  <si>
    <t>WILFRIDO ARTURO</t>
  </si>
  <si>
    <t>CHIMBO ALUCHO</t>
  </si>
  <si>
    <t>0202305967001</t>
  </si>
  <si>
    <t>0968517727</t>
  </si>
  <si>
    <t>chimboalucho5967@gmail.com</t>
  </si>
  <si>
    <t>KMPERY GRN 1485</t>
  </si>
  <si>
    <t>ARIANA BELEN</t>
  </si>
  <si>
    <t>VILERI GUERRA</t>
  </si>
  <si>
    <t>0202023305</t>
  </si>
  <si>
    <t>0996479694</t>
  </si>
  <si>
    <t>ariibelen95@gmail.com</t>
  </si>
  <si>
    <t>KMPERY GRN 1486</t>
  </si>
  <si>
    <t>RAUL VINICIO</t>
  </si>
  <si>
    <t>PATIN CHACHA</t>
  </si>
  <si>
    <t>0202146445</t>
  </si>
  <si>
    <t>0996916846</t>
  </si>
  <si>
    <t>raulptn.25@gmail.com</t>
  </si>
  <si>
    <t>KMPERY UIO 5002</t>
  </si>
  <si>
    <t>JUAN DIEGO</t>
  </si>
  <si>
    <t>AGUIRRE ESPINOZA</t>
  </si>
  <si>
    <t>0703801399</t>
  </si>
  <si>
    <t>0987383045</t>
  </si>
  <si>
    <t>diegoae2011@hotmail.com</t>
  </si>
  <si>
    <t>M ALEJANDRA</t>
  </si>
  <si>
    <t>KMPERY GRN 1487</t>
  </si>
  <si>
    <t>JHOANA VANESSA</t>
  </si>
  <si>
    <t>YALLICO TAMAMI</t>
  </si>
  <si>
    <t>0250030905</t>
  </si>
  <si>
    <t>0985579670</t>
  </si>
  <si>
    <t>CANCUN Y PC</t>
  </si>
  <si>
    <t>vanessayallico@gmail.com</t>
  </si>
  <si>
    <t>KMPERY GRN 1488</t>
  </si>
  <si>
    <t>JOJANNA NARCISA</t>
  </si>
  <si>
    <t>ZURITA VASCONEZ</t>
  </si>
  <si>
    <t>0201784451</t>
  </si>
  <si>
    <t>0982544098</t>
  </si>
  <si>
    <t>johanna_zurita@yahoo.es</t>
  </si>
  <si>
    <t>KMPERY GRN 1489</t>
  </si>
  <si>
    <t>MORA PATRICIA</t>
  </si>
  <si>
    <t>CHAVEZ VAYA</t>
  </si>
  <si>
    <t>0201453545</t>
  </si>
  <si>
    <t>0993629819</t>
  </si>
  <si>
    <t>CANCUN</t>
  </si>
  <si>
    <t>cmorapatricia@yahoo.com</t>
  </si>
  <si>
    <t>KMPERY UIO 5003</t>
  </si>
  <si>
    <t>LIZBETH MARGARITA</t>
  </si>
  <si>
    <t>CARDENAS SARCO</t>
  </si>
  <si>
    <t>1722498084</t>
  </si>
  <si>
    <t>0997902936</t>
  </si>
  <si>
    <t>margarita_li295@hotmail.com</t>
  </si>
  <si>
    <t>KMPERY UIO 5004</t>
  </si>
  <si>
    <t>ROMMEL EDISON</t>
  </si>
  <si>
    <t>ZUÑIGA TELLO</t>
  </si>
  <si>
    <t>1707634182001</t>
  </si>
  <si>
    <t>0997294880</t>
  </si>
  <si>
    <t>KMPERY CUE 1490</t>
  </si>
  <si>
    <t xml:space="preserve">OSCAR FABIAN </t>
  </si>
  <si>
    <t>PANJON CHUCHUCA</t>
  </si>
  <si>
    <t>0104624119</t>
  </si>
  <si>
    <t>0963089025</t>
  </si>
  <si>
    <t>oscarin3266@hotmail.es</t>
  </si>
  <si>
    <t>KMPERY CUE 1491</t>
  </si>
  <si>
    <t>JOSE ROBERTINO</t>
  </si>
  <si>
    <t>CARRILLO SURIAGA</t>
  </si>
  <si>
    <t>0702311382001</t>
  </si>
  <si>
    <t>0997225231</t>
  </si>
  <si>
    <t>josecs1967@yahoo.com</t>
  </si>
  <si>
    <t>KMPERY CUE 1492</t>
  </si>
  <si>
    <t>NELSON ADRIAN</t>
  </si>
  <si>
    <t>ZHICAY JUELA</t>
  </si>
  <si>
    <t>0105304349</t>
  </si>
  <si>
    <t>0990047331</t>
  </si>
  <si>
    <t>vito11adrian.nz@gmail.com</t>
  </si>
  <si>
    <t>KMPERY CUE 1493</t>
  </si>
  <si>
    <t>JORGE PATRICIO</t>
  </si>
  <si>
    <t>GUTIERREZ CARPIO</t>
  </si>
  <si>
    <t>0102238292</t>
  </si>
  <si>
    <t>0994394677</t>
  </si>
  <si>
    <t>jpgcgutierrez@gmail.com</t>
  </si>
  <si>
    <t>KMPERY CUE 1494</t>
  </si>
  <si>
    <t>PATRICIO GEOVANNY</t>
  </si>
  <si>
    <t>NASQUE LITUMA</t>
  </si>
  <si>
    <t>0106066673</t>
  </si>
  <si>
    <t>0999347807</t>
  </si>
  <si>
    <t>patriicionasque@omegacenterec.com</t>
  </si>
  <si>
    <t>KMPERY CUE 1495</t>
  </si>
  <si>
    <t>VICTOR GUILLERMO</t>
  </si>
  <si>
    <t>SERPA GARCIA</t>
  </si>
  <si>
    <t>0300552213001</t>
  </si>
  <si>
    <t>0997868112</t>
  </si>
  <si>
    <t>PUNTA CANA Y VUELO</t>
  </si>
  <si>
    <t>viguserpa@yahoo.com</t>
  </si>
  <si>
    <t>KMPERY CUE 1496</t>
  </si>
  <si>
    <t>ROSA ORTENCIA</t>
  </si>
  <si>
    <t>ARIZABALA CAMPOVERDE</t>
  </si>
  <si>
    <t>0102926532</t>
  </si>
  <si>
    <t>0981269595</t>
  </si>
  <si>
    <t>NO PAGARA</t>
  </si>
  <si>
    <t>robertojcordov@hotmail.com</t>
  </si>
  <si>
    <t>KMPERY UIO 5005</t>
  </si>
  <si>
    <t xml:space="preserve">TALHITA </t>
  </si>
  <si>
    <t>BENITEZ PARDILLO</t>
  </si>
  <si>
    <t>1756617252</t>
  </si>
  <si>
    <t>0979365549</t>
  </si>
  <si>
    <t>talhitabenitez230@gmail.com</t>
  </si>
  <si>
    <t>KMPERY AMB 5006</t>
  </si>
  <si>
    <t xml:space="preserve">VERONICA ANABEL </t>
  </si>
  <si>
    <t>PEREZ CORTEZ</t>
  </si>
  <si>
    <t>1805060686</t>
  </si>
  <si>
    <t>0995064142</t>
  </si>
  <si>
    <t>anabell_perez@gmail.com</t>
  </si>
  <si>
    <t>KMPERY AMB 5007</t>
  </si>
  <si>
    <t xml:space="preserve">PEDRO DAVID </t>
  </si>
  <si>
    <t>RIVERA JEREZ</t>
  </si>
  <si>
    <t>1803701737</t>
  </si>
  <si>
    <t>0992697808</t>
  </si>
  <si>
    <t>riverajerez.pedro1982@gmail.com</t>
  </si>
  <si>
    <t>KMPERY AMB 5008</t>
  </si>
  <si>
    <t>DAVID ALEXANDER</t>
  </si>
  <si>
    <t>CUJI FREIRE</t>
  </si>
  <si>
    <t>1804406351</t>
  </si>
  <si>
    <t>0991537983</t>
  </si>
  <si>
    <t>davidcuji19@gmail.com</t>
  </si>
  <si>
    <t>KMPERY AMB 5009</t>
  </si>
  <si>
    <t xml:space="preserve">RICARDO RAFAEL </t>
  </si>
  <si>
    <t>CHIFLA DARQUEA</t>
  </si>
  <si>
    <t>1804187761</t>
  </si>
  <si>
    <t>0984858058</t>
  </si>
  <si>
    <t>3</t>
  </si>
  <si>
    <t>KMPERY AMB 5010</t>
  </si>
  <si>
    <t>MAURO EMMANUEL</t>
  </si>
  <si>
    <t>LOPEZ MIRANDA</t>
  </si>
  <si>
    <t>1804416475</t>
  </si>
  <si>
    <t>0995962580</t>
  </si>
  <si>
    <t>mauro222lopez@gmail.com</t>
  </si>
  <si>
    <t>KMPERY AMB 5011</t>
  </si>
  <si>
    <t>KLEBER WILSON</t>
  </si>
  <si>
    <t>TIBAN MANOBANDA</t>
  </si>
  <si>
    <t>1804126702001</t>
  </si>
  <si>
    <t>0969997250</t>
  </si>
  <si>
    <t>tibankleber46@gmail.com</t>
  </si>
  <si>
    <t>KMPERY AMB 5012</t>
  </si>
  <si>
    <t>DANIEL ISAIAS</t>
  </si>
  <si>
    <t>YANCHAPANTA BASTIDAS</t>
  </si>
  <si>
    <t>1804872941</t>
  </si>
  <si>
    <t>0987900915</t>
  </si>
  <si>
    <t>dyngeniaec@hotmail.com</t>
  </si>
  <si>
    <t>KMPRY-BBH-2211</t>
  </si>
  <si>
    <t>RUTH ALEXANDRA</t>
  </si>
  <si>
    <t>CONTRERAS CAICEDO</t>
  </si>
  <si>
    <t>1202585665</t>
  </si>
  <si>
    <t>0991905705</t>
  </si>
  <si>
    <t>GRUPO NOVA</t>
  </si>
  <si>
    <t>RACONT67@HOTMAIL.COM</t>
  </si>
  <si>
    <t>Pagaré $250 - abril 2025</t>
  </si>
  <si>
    <t>KMPRY-BBH-2212</t>
  </si>
  <si>
    <t>LUDVIK LEONARDO</t>
  </si>
  <si>
    <t>AMORES PUYUTAXI</t>
  </si>
  <si>
    <t>1200848354</t>
  </si>
  <si>
    <t>0991005667</t>
  </si>
  <si>
    <t>PAYPHONE EDGAR</t>
  </si>
  <si>
    <t>leonarddoamoresp@hotmail.com</t>
  </si>
  <si>
    <t>Pagado</t>
  </si>
  <si>
    <t>KMPRY-BBH-2213</t>
  </si>
  <si>
    <t>NOEMI HIDELID</t>
  </si>
  <si>
    <t>FIERRO HAZ</t>
  </si>
  <si>
    <t>1207754506</t>
  </si>
  <si>
    <t>0991384077</t>
  </si>
  <si>
    <t>psimero.d.fierro.noemi@gmail.com</t>
  </si>
  <si>
    <t>YOSMARY</t>
  </si>
  <si>
    <t>KMPRY-BBH-2214</t>
  </si>
  <si>
    <t>JOSE ANDRES</t>
  </si>
  <si>
    <t>CHACON PERALTA</t>
  </si>
  <si>
    <t>1205208695</t>
  </si>
  <si>
    <t>0968863676</t>
  </si>
  <si>
    <t>Andreschacon2017@gmail.com</t>
  </si>
  <si>
    <t xml:space="preserve">Pagado </t>
  </si>
  <si>
    <t>KMPRY-BBH-2215</t>
  </si>
  <si>
    <t>SEGUNDO ADAN</t>
  </si>
  <si>
    <t>BASTIDAS LAGUA</t>
  </si>
  <si>
    <t>1201079843</t>
  </si>
  <si>
    <t>0985243479</t>
  </si>
  <si>
    <t>PAYPHONE ADRIAN</t>
  </si>
  <si>
    <t>migue_secap@hotmail.es</t>
  </si>
  <si>
    <t>KMPRY-BBH-2216</t>
  </si>
  <si>
    <t>JENIT NELLY</t>
  </si>
  <si>
    <t>TRONCOZO VERA</t>
  </si>
  <si>
    <t>1201844634</t>
  </si>
  <si>
    <t>0992119405</t>
  </si>
  <si>
    <t>PAYPHONE JULIO</t>
  </si>
  <si>
    <t>jenittroncoso@gmail.com</t>
  </si>
  <si>
    <t>KMPRY-BBH-2217</t>
  </si>
  <si>
    <t>CLARA LUZ</t>
  </si>
  <si>
    <t>GUERRERO BONILLA</t>
  </si>
  <si>
    <t>1201515010</t>
  </si>
  <si>
    <t>0999388465</t>
  </si>
  <si>
    <t>claraguerrero956@gmail.com</t>
  </si>
  <si>
    <t>HUGO</t>
  </si>
  <si>
    <t>KMPRY-BBH-2218</t>
  </si>
  <si>
    <t>JESUS BEATRIZ</t>
  </si>
  <si>
    <t>ALBAN YANEZ</t>
  </si>
  <si>
    <t>0200462323</t>
  </si>
  <si>
    <t>0980032635</t>
  </si>
  <si>
    <t>beatriz_alban21@hotmail.com</t>
  </si>
  <si>
    <t>KMPRY-BBH-2219</t>
  </si>
  <si>
    <t>JOSE ENRIQUE</t>
  </si>
  <si>
    <t>TRIANA QUINTO</t>
  </si>
  <si>
    <t>1204382129</t>
  </si>
  <si>
    <t>0996783001</t>
  </si>
  <si>
    <t>PAYPHONE ADRIAN/JORGELIS</t>
  </si>
  <si>
    <t>trianaquinto1977@gmail.com</t>
  </si>
  <si>
    <t>KMPRY-BBH-2220</t>
  </si>
  <si>
    <t>MARIA LORENA</t>
  </si>
  <si>
    <t>CASTRO MENDOZA</t>
  </si>
  <si>
    <t>0206652284</t>
  </si>
  <si>
    <t>0939460967</t>
  </si>
  <si>
    <t>marilore2712@gmail.com</t>
  </si>
  <si>
    <t>KMPRY-BBH-2221</t>
  </si>
  <si>
    <t>HAROLD LENIN</t>
  </si>
  <si>
    <t>COLOMA GUERRERO</t>
  </si>
  <si>
    <t>1203044761</t>
  </si>
  <si>
    <t>0995837986</t>
  </si>
  <si>
    <t>PAYPHONE ZINDY</t>
  </si>
  <si>
    <t>haroldcoloma12@gmail.com</t>
  </si>
  <si>
    <t>KMPRY-BBH-2222</t>
  </si>
  <si>
    <t>MARIELA FERNANDA</t>
  </si>
  <si>
    <t>LEBRO MONTECE</t>
  </si>
  <si>
    <t>1207061894</t>
  </si>
  <si>
    <t>0982153090</t>
  </si>
  <si>
    <t>marilebro88@gmail.com</t>
  </si>
  <si>
    <t>JORGELIS</t>
  </si>
  <si>
    <t>KMPRY-BBH-2223</t>
  </si>
  <si>
    <t>MARTHA LUZMILA</t>
  </si>
  <si>
    <t>VERA DELGADO</t>
  </si>
  <si>
    <t>1204261844</t>
  </si>
  <si>
    <t>0967370804</t>
  </si>
  <si>
    <t>marthavera_20@outlook.com</t>
  </si>
  <si>
    <t>KMPRY-MCS-2224</t>
  </si>
  <si>
    <t>MARIA YOLANDA</t>
  </si>
  <si>
    <t>VILEMA MELENA</t>
  </si>
  <si>
    <t>0602319154</t>
  </si>
  <si>
    <t>0980347714</t>
  </si>
  <si>
    <t>mary_vilema@hotmail.com</t>
  </si>
  <si>
    <t>KMPRY-AZG-2225</t>
  </si>
  <si>
    <t>JOHANA ESTEFANIA</t>
  </si>
  <si>
    <t>MORA PARRA</t>
  </si>
  <si>
    <t>0301669966</t>
  </si>
  <si>
    <t>0992950984</t>
  </si>
  <si>
    <t>LINK DE PAGO KEMPERY</t>
  </si>
  <si>
    <t>johana.mora@ucuenca.edu.ec</t>
  </si>
  <si>
    <t>KMPRY-AZG-2226</t>
  </si>
  <si>
    <t>DEYCI ELIZABETH</t>
  </si>
  <si>
    <t>FAJARDO ENCALADO</t>
  </si>
  <si>
    <t>0301876066</t>
  </si>
  <si>
    <t>0992731422</t>
  </si>
  <si>
    <t>fgrdencaladadaysi@gmai.com</t>
  </si>
  <si>
    <t>KMPRY-AZG-2227</t>
  </si>
  <si>
    <t>NORMA ISABEL</t>
  </si>
  <si>
    <t>YUVI SUCO</t>
  </si>
  <si>
    <t>0301186730</t>
  </si>
  <si>
    <t>0998699379</t>
  </si>
  <si>
    <t>yubinorma@gmail.com</t>
  </si>
  <si>
    <t>KMPRY-AZG-2228</t>
  </si>
  <si>
    <t>JENNY PATRICIA</t>
  </si>
  <si>
    <t>GONZALEZ ZHINDON</t>
  </si>
  <si>
    <t>0301506838</t>
  </si>
  <si>
    <t>0984922573</t>
  </si>
  <si>
    <t>PAYPHONE JULIO/ZINDY</t>
  </si>
  <si>
    <t>JPATTYJZ@HOTMAIL.COM</t>
  </si>
  <si>
    <t>KMPRY-AZG-2229</t>
  </si>
  <si>
    <t>LUIS RODRIGO</t>
  </si>
  <si>
    <t>MOROCHO CUENCA</t>
  </si>
  <si>
    <t>0302560479</t>
  </si>
  <si>
    <t>0987386488</t>
  </si>
  <si>
    <t>luismc_2696@hotmail.com</t>
  </si>
  <si>
    <t>KMPRY-AZG-2230</t>
  </si>
  <si>
    <t>MIRIAM GUADALUPE</t>
  </si>
  <si>
    <t>MUÑOZ PEÑAFIEL</t>
  </si>
  <si>
    <t>0302675293</t>
  </si>
  <si>
    <t>0983776786</t>
  </si>
  <si>
    <t>miriam_muñoz@hotmail.com</t>
  </si>
  <si>
    <t>KMPRY-PTV-2231</t>
  </si>
  <si>
    <t>BASULTO SALTOS</t>
  </si>
  <si>
    <t>1309558789</t>
  </si>
  <si>
    <t>0980071849</t>
  </si>
  <si>
    <t>PAYPHONE ALEJANDRO</t>
  </si>
  <si>
    <t>mariajosesaltos_93@hotmail.com</t>
  </si>
  <si>
    <t>KMPRY-PTV-2232</t>
  </si>
  <si>
    <t>JOSE LEONEL</t>
  </si>
  <si>
    <t>PALACIOS TUÁREZ</t>
  </si>
  <si>
    <t>1311329088</t>
  </si>
  <si>
    <t>0990063738</t>
  </si>
  <si>
    <t>PAYPHONE LEONARDO</t>
  </si>
  <si>
    <t>leonelpalacios85@hotmail.com</t>
  </si>
  <si>
    <t>KMPRY-PTV-2233</t>
  </si>
  <si>
    <t>HOLGER RAMON</t>
  </si>
  <si>
    <t>VERA ALARCON</t>
  </si>
  <si>
    <t>1311735920</t>
  </si>
  <si>
    <t>0939522985</t>
  </si>
  <si>
    <t>holpajass_vera@hotmail.com</t>
  </si>
  <si>
    <t>KMPRY-PTV-2234</t>
  </si>
  <si>
    <t>ELVIS GEOVANNY</t>
  </si>
  <si>
    <t>CEVALLOS BRIONES</t>
  </si>
  <si>
    <t>1315602696</t>
  </si>
  <si>
    <t>0978751499</t>
  </si>
  <si>
    <t>elviscevallos98@gmail.com</t>
  </si>
  <si>
    <t>KMPRY-PTV-2235</t>
  </si>
  <si>
    <t>MAYRA IRENE</t>
  </si>
  <si>
    <t>VERA VERA</t>
  </si>
  <si>
    <t>1308638947</t>
  </si>
  <si>
    <t>0992016089</t>
  </si>
  <si>
    <t>mayra1978-18@hotmail.com</t>
  </si>
  <si>
    <t>KMPRY-PTV-2236</t>
  </si>
  <si>
    <t>ARAUJO MERA</t>
  </si>
  <si>
    <t>1312630294</t>
  </si>
  <si>
    <t>0959053641</t>
  </si>
  <si>
    <t>PAYPHONE ALEJANDRO/LEONARDO</t>
  </si>
  <si>
    <t>jonathanara16@gmail.com</t>
  </si>
  <si>
    <t>KMPRY-PTV-2237</t>
  </si>
  <si>
    <t>WILMER JAVIER</t>
  </si>
  <si>
    <t>CEDEÑO CARREÑO</t>
  </si>
  <si>
    <t>0925496978</t>
  </si>
  <si>
    <t>0939060686</t>
  </si>
  <si>
    <t>wilmerjaviercedenocarreno@gmail.com</t>
  </si>
  <si>
    <t>Pagaré de cuotas de $39</t>
  </si>
  <si>
    <t>KMPRY-PTV-2238</t>
  </si>
  <si>
    <t>VERA SALTOS</t>
  </si>
  <si>
    <t>1312825688001</t>
  </si>
  <si>
    <t>0930109200</t>
  </si>
  <si>
    <t>alextaz@hotmail.com</t>
  </si>
  <si>
    <t>KMPRY-GYE-2239</t>
  </si>
  <si>
    <t>ABELARDO OSWALDO</t>
  </si>
  <si>
    <t>GARCES VALLEJO</t>
  </si>
  <si>
    <t>1802205698</t>
  </si>
  <si>
    <t>0986564250</t>
  </si>
  <si>
    <t>KMP TRAVEL</t>
  </si>
  <si>
    <t>oswaldogarcesv@gmail.com</t>
  </si>
  <si>
    <t>KMPRY-GYE-2240</t>
  </si>
  <si>
    <t>JOSELYN GISELLA</t>
  </si>
  <si>
    <t>POVEDA CEDEÑO</t>
  </si>
  <si>
    <t>0941277964</t>
  </si>
  <si>
    <t>0985554252</t>
  </si>
  <si>
    <t>giselamor.1996@hotmail.com</t>
  </si>
  <si>
    <t xml:space="preserve">Pagaré de $990 </t>
  </si>
  <si>
    <t>KMPRY-GYE-2241</t>
  </si>
  <si>
    <t>JESSICA LORENA</t>
  </si>
  <si>
    <t>MOREIRA TOMALA</t>
  </si>
  <si>
    <t>0920697331</t>
  </si>
  <si>
    <t>0969616526</t>
  </si>
  <si>
    <t>jessicamoreira073@gmail.com</t>
  </si>
  <si>
    <t xml:space="preserve">Pagaré de $300 en 12M </t>
  </si>
  <si>
    <t>KMPRY-GYE-2242</t>
  </si>
  <si>
    <t>EDISON EDUARDO</t>
  </si>
  <si>
    <t>MANZO RIVERA</t>
  </si>
  <si>
    <t>0909029803001</t>
  </si>
  <si>
    <t>0967137279</t>
  </si>
  <si>
    <t>edisoneduardo03@gmail.com</t>
  </si>
  <si>
    <t>KMPRY-GYE-2243</t>
  </si>
  <si>
    <t>MARCOS DANILO</t>
  </si>
  <si>
    <t>ARIAS RODRIGUEZ</t>
  </si>
  <si>
    <t>0914353552</t>
  </si>
  <si>
    <t>0994070797</t>
  </si>
  <si>
    <t>gregoria_medina@hotmail.com</t>
  </si>
  <si>
    <t>KMPRY-GYE-2244</t>
  </si>
  <si>
    <t>JESSICA DE LOURDES</t>
  </si>
  <si>
    <t>CIRINO QUIMI</t>
  </si>
  <si>
    <t>0918814583</t>
  </si>
  <si>
    <t>0980406378</t>
  </si>
  <si>
    <t>FIN DE SEMANA</t>
  </si>
  <si>
    <t>yeca_mari@hotmail.com</t>
  </si>
  <si>
    <t>KMPRY-GYE-2245</t>
  </si>
  <si>
    <t>JUAN CELIO</t>
  </si>
  <si>
    <t>VIZUETA DECIMAVILLA</t>
  </si>
  <si>
    <t>0951338607</t>
  </si>
  <si>
    <t>0967976234</t>
  </si>
  <si>
    <t>juanv892@hotmail.com</t>
  </si>
  <si>
    <t>LEO/EDUARDO</t>
  </si>
  <si>
    <t xml:space="preserve">NO HAY CONTRTO </t>
  </si>
  <si>
    <t>KMPRY-GYE-2246</t>
  </si>
  <si>
    <t>ELIANA MARILIN</t>
  </si>
  <si>
    <t>CERON LOPEZ</t>
  </si>
  <si>
    <t>1758840928</t>
  </si>
  <si>
    <t>0995549263</t>
  </si>
  <si>
    <t>elmarice02@gmail.com</t>
  </si>
  <si>
    <t xml:space="preserve">Pagaré de $500 - pago desde junio </t>
  </si>
  <si>
    <t>KMPRY-CUE-2247</t>
  </si>
  <si>
    <t>HOLGER VINICIO</t>
  </si>
  <si>
    <t>RAMON SANMARTIN</t>
  </si>
  <si>
    <t>0105483457</t>
  </si>
  <si>
    <t>0991908383</t>
  </si>
  <si>
    <t>ramonvinicio090@gmail.com</t>
  </si>
  <si>
    <t>RICHARD</t>
  </si>
  <si>
    <t>KMPRY-CUE-2248</t>
  </si>
  <si>
    <t>DIANA ELIZABETH</t>
  </si>
  <si>
    <t>AREVALO AREVALO</t>
  </si>
  <si>
    <t>0106072739</t>
  </si>
  <si>
    <t>0984690314</t>
  </si>
  <si>
    <t>eliza_arevalo89@hotmail.com</t>
  </si>
  <si>
    <r>
      <t xml:space="preserve">Pagaré de $3500 - </t>
    </r>
    <r>
      <rPr>
        <sz val="11"/>
        <color rgb="FFEE0000"/>
        <rFont val="Aptos Narrow"/>
        <family val="2"/>
        <scheme val="minor"/>
      </rPr>
      <t>vence 13 - 02 - 2025</t>
    </r>
  </si>
  <si>
    <t>KMPRY-CUE-2249</t>
  </si>
  <si>
    <t>MOROCHO MOROCHO</t>
  </si>
  <si>
    <t>0105167506</t>
  </si>
  <si>
    <t>0991710807</t>
  </si>
  <si>
    <t>SOKURA</t>
  </si>
  <si>
    <t>wmorocho266@gmail.com</t>
  </si>
  <si>
    <t>KMPRY-CUE-2250</t>
  </si>
  <si>
    <t>JOSE VINICIO</t>
  </si>
  <si>
    <t>ESPINOZA TIGRE</t>
  </si>
  <si>
    <t>0104376710001</t>
  </si>
  <si>
    <t>0999816677</t>
  </si>
  <si>
    <t>joseespin82@icloud.com</t>
  </si>
  <si>
    <t xml:space="preserve">Pagaré de $2990 - vence en otubre 2025 </t>
  </si>
  <si>
    <t>KMPRY-CUE-2251</t>
  </si>
  <si>
    <t>MIRIAN PATRICIA</t>
  </si>
  <si>
    <t>NEIRA CARRASCO</t>
  </si>
  <si>
    <t>0104659974</t>
  </si>
  <si>
    <t>0984204494</t>
  </si>
  <si>
    <t>mpatric_ne@hotmail.com</t>
  </si>
  <si>
    <t>KMPRY-CUE-2252</t>
  </si>
  <si>
    <t>CARLOS SEGUNDO</t>
  </si>
  <si>
    <t>PAUTA MONTENEGRO</t>
  </si>
  <si>
    <t>0102079506</t>
  </si>
  <si>
    <t>0990243378</t>
  </si>
  <si>
    <t>pautacarlos57@gmail.com</t>
  </si>
  <si>
    <t>KMPRY-CUE-2253</t>
  </si>
  <si>
    <t>NOEMI LILIANA</t>
  </si>
  <si>
    <t>BARRETO DUTASACA</t>
  </si>
  <si>
    <t>0106240252</t>
  </si>
  <si>
    <t>0984590579</t>
  </si>
  <si>
    <t>lilibarreto2716@gmail.com</t>
  </si>
  <si>
    <t xml:space="preserve">Pagaré de $300 - vence 13 - 08 - 2025 </t>
  </si>
  <si>
    <t>KMPRY-CUE-2254</t>
  </si>
  <si>
    <t>JACINTO RUPERTO</t>
  </si>
  <si>
    <t>HERAS HERAS</t>
  </si>
  <si>
    <t>0703834937</t>
  </si>
  <si>
    <t>0988317009</t>
  </si>
  <si>
    <t>jacintoheras995@gmail.com</t>
  </si>
  <si>
    <t>KMPRY-OCC-2255</t>
  </si>
  <si>
    <t>RODRIGO SALOMON</t>
  </si>
  <si>
    <t>ZAMBRANO ZAMBRANO</t>
  </si>
  <si>
    <t>1706215330</t>
  </si>
  <si>
    <t>0997848859</t>
  </si>
  <si>
    <t>rodrigozambranozambrano@gmail.com</t>
  </si>
  <si>
    <t>KMPRY-OCC-2256</t>
  </si>
  <si>
    <t>JUAN</t>
  </si>
  <si>
    <t>TORRES</t>
  </si>
  <si>
    <t>1701333187</t>
  </si>
  <si>
    <t>0980536093</t>
  </si>
  <si>
    <t>t9torresjuan@hotmail.com</t>
  </si>
  <si>
    <t>KMPRY-OCC-1121</t>
  </si>
  <si>
    <t>JORGE ANDRES</t>
  </si>
  <si>
    <t>0926299934001</t>
  </si>
  <si>
    <t>0962105395</t>
  </si>
  <si>
    <t>0</t>
  </si>
  <si>
    <t>zeusadr360@live.com</t>
  </si>
  <si>
    <t>KMPRY-TNW-2257</t>
  </si>
  <si>
    <t>MICHAEL ALEXANDER</t>
  </si>
  <si>
    <t>PEREZ VERA</t>
  </si>
  <si>
    <t>1500896319</t>
  </si>
  <si>
    <t>0960542484</t>
  </si>
  <si>
    <t>michael_98_ver@hotmail.com</t>
  </si>
  <si>
    <t>HUGO/RICHARD</t>
  </si>
  <si>
    <t>KMPRY-TNW-2258</t>
  </si>
  <si>
    <t>CLAUDIA MARIBEL</t>
  </si>
  <si>
    <t>MAMALLACTA TAPUY</t>
  </si>
  <si>
    <t>1500495567</t>
  </si>
  <si>
    <t>0984427276</t>
  </si>
  <si>
    <t>claud_mama@hotmail.com</t>
  </si>
  <si>
    <t>KMPRY-RBM-2259</t>
  </si>
  <si>
    <t>ANGEL ARTURO</t>
  </si>
  <si>
    <t>VALLEJO LOPEZ</t>
  </si>
  <si>
    <t>0602224339</t>
  </si>
  <si>
    <t>0987562440</t>
  </si>
  <si>
    <t>ISS</t>
  </si>
  <si>
    <t>angelitovl69@gmail.com</t>
  </si>
  <si>
    <t>KMPRY-RBM-2260</t>
  </si>
  <si>
    <t>PILAR DEL ROCIO</t>
  </si>
  <si>
    <t>PARREÑO SILVA</t>
  </si>
  <si>
    <t>0603620378</t>
  </si>
  <si>
    <t>0984087436</t>
  </si>
  <si>
    <t>PANAMA/CURACAO/COLOMBIA/MEXICO/COSTA RICA</t>
  </si>
  <si>
    <t>pilichin15@gmail.com</t>
  </si>
  <si>
    <t>NICOLAS</t>
  </si>
  <si>
    <t>KMPRY-RBM-2261</t>
  </si>
  <si>
    <t>BARRENO ROSERO</t>
  </si>
  <si>
    <t>0602245151</t>
  </si>
  <si>
    <t>0981214108</t>
  </si>
  <si>
    <t>FIN DE SEMANA 0</t>
  </si>
  <si>
    <t>barreno93@hotmail.com</t>
  </si>
  <si>
    <t>ZYNDY/RICHARD</t>
  </si>
  <si>
    <t>KMPRY-RBM-2262</t>
  </si>
  <si>
    <t>DANNY RICHARD</t>
  </si>
  <si>
    <t>LLANGA HERRERA</t>
  </si>
  <si>
    <t>0604746529</t>
  </si>
  <si>
    <t>0995535743</t>
  </si>
  <si>
    <t>dannyllanga@gmail.com</t>
  </si>
  <si>
    <t>KMPRY-RBM-2263</t>
  </si>
  <si>
    <t>VILLACRES VIZCAINO</t>
  </si>
  <si>
    <t>0603793167</t>
  </si>
  <si>
    <t>0997758041</t>
  </si>
  <si>
    <t>CRISTIAN ISS</t>
  </si>
  <si>
    <t>villacresmiguel91@gmail.com</t>
  </si>
  <si>
    <t>Pagaré de $1.100 - vence 27 - 02 - 2025</t>
  </si>
  <si>
    <t>KMPRY-RBM-2264</t>
  </si>
  <si>
    <t>DIEGO PATRICIO</t>
  </si>
  <si>
    <t>VALLEJO SANCHEZ</t>
  </si>
  <si>
    <t>0603259854</t>
  </si>
  <si>
    <t>0999718442</t>
  </si>
  <si>
    <t>DATA LINK</t>
  </si>
  <si>
    <t>TRAVELING</t>
  </si>
  <si>
    <t>vallejosanchezdiego@gmail.com</t>
  </si>
  <si>
    <t>KMPRY-LTG-2265</t>
  </si>
  <si>
    <t>IRENE REBECA</t>
  </si>
  <si>
    <t>TIPAN AYALA</t>
  </si>
  <si>
    <t>0502937329</t>
  </si>
  <si>
    <t>0958980432</t>
  </si>
  <si>
    <t>bekitipan@gmail.com</t>
  </si>
  <si>
    <t xml:space="preserve">Pagaré $796 - pagos cada 28 de cada mes 36 cuotas </t>
  </si>
  <si>
    <t>KMPRY-RBM-2266</t>
  </si>
  <si>
    <t>ROSMERY ELIZABETH</t>
  </si>
  <si>
    <t>SAMANIEGO JACOME</t>
  </si>
  <si>
    <t>0604629592</t>
  </si>
  <si>
    <t>0981064255</t>
  </si>
  <si>
    <t>rosmelliza198706@gmail.com</t>
  </si>
  <si>
    <t xml:space="preserve">Pagaré $1.450 - pagos cada 17 de cada mes </t>
  </si>
  <si>
    <t>KMPRY-RBM-2267</t>
  </si>
  <si>
    <t>DIEGO FRANCISCO</t>
  </si>
  <si>
    <t>MARTINEZ ARROBA</t>
  </si>
  <si>
    <t>0602884214</t>
  </si>
  <si>
    <t>0983010003</t>
  </si>
  <si>
    <t>diegomartinez324@hotmail.com</t>
  </si>
  <si>
    <t>NYCOLAS</t>
  </si>
  <si>
    <t>KMPRY-STD-2268</t>
  </si>
  <si>
    <t>EDISON OSWALDO</t>
  </si>
  <si>
    <t>GUANOLUISA CHANCHAY</t>
  </si>
  <si>
    <t>2300389083</t>
  </si>
  <si>
    <t>0984568365</t>
  </si>
  <si>
    <t>PAYPHONE ZINDI/ TRANSFER</t>
  </si>
  <si>
    <t>edison-chanchay@hotmail.com</t>
  </si>
  <si>
    <r>
      <t>Pagaré de $750 - vence</t>
    </r>
    <r>
      <rPr>
        <sz val="11"/>
        <color rgb="FFEE0000"/>
        <rFont val="Aptos Narrow"/>
        <family val="2"/>
        <scheme val="minor"/>
      </rPr>
      <t xml:space="preserve"> 06 - 06 - 2025 </t>
    </r>
  </si>
  <si>
    <t>KMPRY-STD-2269</t>
  </si>
  <si>
    <t>WASHINGTON ALCIDES</t>
  </si>
  <si>
    <t>CHANCAY MOLINA</t>
  </si>
  <si>
    <t>1718634742001</t>
  </si>
  <si>
    <t>0993466318</t>
  </si>
  <si>
    <t>alcideschancay@gmail.com</t>
  </si>
  <si>
    <t>KMPRY-STD-2270</t>
  </si>
  <si>
    <t>JOSE FABIAN</t>
  </si>
  <si>
    <t>BRAVO DELGADO</t>
  </si>
  <si>
    <t>2300130701</t>
  </si>
  <si>
    <t>0968285703</t>
  </si>
  <si>
    <t>fabian_bravo2009@outlook.com</t>
  </si>
  <si>
    <t xml:space="preserve">Pagaré $560 - vence 08 - 09 - 2025 </t>
  </si>
  <si>
    <t>KMPRY-STD-2271</t>
  </si>
  <si>
    <t>VERA MORERIRA</t>
  </si>
  <si>
    <t>1312373432</t>
  </si>
  <si>
    <t>0985585163</t>
  </si>
  <si>
    <t>mvera8747@hotmail.com</t>
  </si>
  <si>
    <t>KMPRY-STD-2272</t>
  </si>
  <si>
    <t>NORMA NOHEMI</t>
  </si>
  <si>
    <t>LOPEZ GUAMAN</t>
  </si>
  <si>
    <t>0958487712</t>
  </si>
  <si>
    <t>0997211162</t>
  </si>
  <si>
    <t>PAYPHONE ZINDI/ ISS</t>
  </si>
  <si>
    <t>carce2293@gmail.com</t>
  </si>
  <si>
    <t>FELICE</t>
  </si>
  <si>
    <t>KMPRY-CUE-2273</t>
  </si>
  <si>
    <t>CARLOS ANDRES</t>
  </si>
  <si>
    <t>ILLESCAS ORTEGA</t>
  </si>
  <si>
    <t>0103428827001</t>
  </si>
  <si>
    <t>0961977624</t>
  </si>
  <si>
    <t>anillescas@hotmail.com</t>
  </si>
  <si>
    <r>
      <t xml:space="preserve">Pagaré $300 - vence </t>
    </r>
    <r>
      <rPr>
        <sz val="11"/>
        <color rgb="FFEE0000"/>
        <rFont val="Aptos Narrow"/>
        <family val="2"/>
        <scheme val="minor"/>
      </rPr>
      <t xml:space="preserve">11 - 06 - 2025 </t>
    </r>
  </si>
  <si>
    <t>KMPRY-STD-2274</t>
  </si>
  <si>
    <t>JAZMIN LISSETTE</t>
  </si>
  <si>
    <t>CASTRO CASTRO</t>
  </si>
  <si>
    <t>1804551610001</t>
  </si>
  <si>
    <t>0986290156</t>
  </si>
  <si>
    <t>CANCUNCARD/ FINDE</t>
  </si>
  <si>
    <t>jazly.26@hotmail.com</t>
  </si>
  <si>
    <t>KMPRY-CUE-2275</t>
  </si>
  <si>
    <t>VILMA DEL ROCIO</t>
  </si>
  <si>
    <t>CUADRADO DE LA VEGA</t>
  </si>
  <si>
    <t>0105362685001</t>
  </si>
  <si>
    <t>0997579847</t>
  </si>
  <si>
    <t>vilmadelrocio-061985@hotmail.com</t>
  </si>
  <si>
    <t>KMPRY-CUE-2276</t>
  </si>
  <si>
    <t>BALCAZAR HURTADO</t>
  </si>
  <si>
    <t>1103608079</t>
  </si>
  <si>
    <t>0999840594</t>
  </si>
  <si>
    <t>jbalcazar987@gmail.com</t>
  </si>
  <si>
    <t>KMPRY-CUE-2277</t>
  </si>
  <si>
    <t>ANA LORENA</t>
  </si>
  <si>
    <t>TINOCO SALAZAR</t>
  </si>
  <si>
    <t>0102132511</t>
  </si>
  <si>
    <t>0999094569</t>
  </si>
  <si>
    <t>PAYPHONE ZINDY/ DATA ARBOLEDA</t>
  </si>
  <si>
    <t>analore75@hotmail.com</t>
  </si>
  <si>
    <r>
      <t xml:space="preserve">Pagaré de $1.070 - vence </t>
    </r>
    <r>
      <rPr>
        <sz val="11"/>
        <color rgb="FFEE0000"/>
        <rFont val="Aptos Narrow"/>
        <family val="2"/>
        <scheme val="minor"/>
      </rPr>
      <t>13 - 06 - 2025</t>
    </r>
  </si>
  <si>
    <t>KMPRY-CUE-2278</t>
  </si>
  <si>
    <t>NELSON FABIAN</t>
  </si>
  <si>
    <t>QUITUISACA ROCANO</t>
  </si>
  <si>
    <t>0104862198</t>
  </si>
  <si>
    <t>0984691717</t>
  </si>
  <si>
    <t>greatfabian@gmail.com</t>
  </si>
  <si>
    <t>KMPRY-CUE-2279</t>
  </si>
  <si>
    <t>KATHERINE ELIZABETH</t>
  </si>
  <si>
    <t>LOJA SANCHEZ</t>
  </si>
  <si>
    <t>0105681712001</t>
  </si>
  <si>
    <t>0969929086</t>
  </si>
  <si>
    <t>k_aelizabeth@hotmail.com</t>
  </si>
  <si>
    <t xml:space="preserve">Pagaré de $820 - vence 15 - 09 - 2025 </t>
  </si>
  <si>
    <t>KMPRY-CUE-2280</t>
  </si>
  <si>
    <t>HENRY ALEJANDRO</t>
  </si>
  <si>
    <t>VACA COLMENARES</t>
  </si>
  <si>
    <t>0928516608</t>
  </si>
  <si>
    <t>0963048227</t>
  </si>
  <si>
    <t>alessandrovacas@gmail.com</t>
  </si>
  <si>
    <r>
      <t xml:space="preserve">Pagaré de $200 - vence </t>
    </r>
    <r>
      <rPr>
        <sz val="11"/>
        <color rgb="FFEE0000"/>
        <rFont val="Aptos Narrow"/>
        <family val="2"/>
        <scheme val="minor"/>
      </rPr>
      <t xml:space="preserve">15 - 05 - 2025 </t>
    </r>
  </si>
  <si>
    <t>KMPRY-GYE-2281</t>
  </si>
  <si>
    <t>GLORIA AMABILIA</t>
  </si>
  <si>
    <t>CORDOVA</t>
  </si>
  <si>
    <t>1102669296</t>
  </si>
  <si>
    <t>0967836120</t>
  </si>
  <si>
    <t>gloriacordova67@outlook.com</t>
  </si>
  <si>
    <t>OLIVER</t>
  </si>
  <si>
    <t>KMPRY-GYE-2282</t>
  </si>
  <si>
    <t>HAMILTON JULIO</t>
  </si>
  <si>
    <t>ANASTACIO TEJADA</t>
  </si>
  <si>
    <t>0906822283</t>
  </si>
  <si>
    <t>0991282121</t>
  </si>
  <si>
    <t>PAYPHONE</t>
  </si>
  <si>
    <t>SUNSIDETRIP</t>
  </si>
  <si>
    <t>hamilton.anastacio@hotmail.com</t>
  </si>
  <si>
    <r>
      <t xml:space="preserve">Pagaré $990 - vence </t>
    </r>
    <r>
      <rPr>
        <sz val="11"/>
        <color rgb="FFEE0000"/>
        <rFont val="Aptos Narrow"/>
        <family val="2"/>
        <scheme val="minor"/>
      </rPr>
      <t xml:space="preserve">20 - 04 - 2025 </t>
    </r>
  </si>
  <si>
    <t>KMPRY-GYE-2283</t>
  </si>
  <si>
    <t>PAOLA ESTEFANIA</t>
  </si>
  <si>
    <t>ROMERO ARTEAGA</t>
  </si>
  <si>
    <t>0925496523</t>
  </si>
  <si>
    <t>0998891605</t>
  </si>
  <si>
    <t>PSRA_18@hotmail.com</t>
  </si>
  <si>
    <r>
      <t xml:space="preserve">Pagaré $1.490 - vence </t>
    </r>
    <r>
      <rPr>
        <sz val="11"/>
        <color rgb="FFEE0000"/>
        <rFont val="Aptos Narrow"/>
        <family val="2"/>
        <scheme val="minor"/>
      </rPr>
      <t xml:space="preserve">06 - 04 - 2025 </t>
    </r>
  </si>
  <si>
    <t>KMPRY-GYE-2284</t>
  </si>
  <si>
    <t>MAURICIO</t>
  </si>
  <si>
    <t>CHAVEZ LINARES</t>
  </si>
  <si>
    <t>1206078667</t>
  </si>
  <si>
    <t>0987111703</t>
  </si>
  <si>
    <t>mauriciochavezlinares@gmail.com</t>
  </si>
  <si>
    <t>KMPRY-GYE-2285</t>
  </si>
  <si>
    <t>VILMA ORFELINA</t>
  </si>
  <si>
    <t>RODRIGUEZ LOPEZ</t>
  </si>
  <si>
    <t>0913214193</t>
  </si>
  <si>
    <t>0980084574</t>
  </si>
  <si>
    <t>vilmarodriguez71lopez@gmail.com</t>
  </si>
  <si>
    <r>
      <t xml:space="preserve">Pagaré de $1.200 - </t>
    </r>
    <r>
      <rPr>
        <sz val="11"/>
        <color rgb="FFEE0000"/>
        <rFont val="Aptos Narrow"/>
        <family val="2"/>
        <scheme val="minor"/>
      </rPr>
      <t>vence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rgb="FFEE0000"/>
        <rFont val="Aptos Narrow"/>
        <family val="2"/>
        <scheme val="minor"/>
      </rPr>
      <t xml:space="preserve">21 - 06 - 2025 </t>
    </r>
  </si>
  <si>
    <t>KMPRY-GYE-2286</t>
  </si>
  <si>
    <t>WILSON DARWIN</t>
  </si>
  <si>
    <t>MERA VERA</t>
  </si>
  <si>
    <t>0918993098</t>
  </si>
  <si>
    <t>0960493241</t>
  </si>
  <si>
    <t>wilsonmera960@gmail.com</t>
  </si>
  <si>
    <r>
      <t xml:space="preserve">Pagaré de $1.000 - </t>
    </r>
    <r>
      <rPr>
        <sz val="11"/>
        <color rgb="FFEE0000"/>
        <rFont val="Aptos Narrow"/>
        <family val="2"/>
        <scheme val="minor"/>
      </rPr>
      <t xml:space="preserve">vence 22 - 06 - 2025 </t>
    </r>
  </si>
  <si>
    <t>KMPRY-GYE-2287</t>
  </si>
  <si>
    <t>ISAAC AVANTOS</t>
  </si>
  <si>
    <t>ARZUBE FRANCO</t>
  </si>
  <si>
    <t>0924471014</t>
  </si>
  <si>
    <t>0998802580</t>
  </si>
  <si>
    <r>
      <t xml:space="preserve">Pagaré de $1.390 - </t>
    </r>
    <r>
      <rPr>
        <sz val="11"/>
        <color rgb="FFEE0000"/>
        <rFont val="Aptos Narrow"/>
        <family val="2"/>
        <scheme val="minor"/>
      </rPr>
      <t>vence 22 - 06 - 2025</t>
    </r>
  </si>
  <si>
    <t>KMPRY-MCH-2288</t>
  </si>
  <si>
    <t>CARRION OCAMPO</t>
  </si>
  <si>
    <t>0703692566001</t>
  </si>
  <si>
    <t>0958941520</t>
  </si>
  <si>
    <t>DN DIF 12M</t>
  </si>
  <si>
    <t>logisticasupra@gmail.com</t>
  </si>
  <si>
    <t>KMPRY-MCH-2289</t>
  </si>
  <si>
    <t>CHARLENE MARIA</t>
  </si>
  <si>
    <t>IDROVO ASTUDILLO</t>
  </si>
  <si>
    <t>0700706153</t>
  </si>
  <si>
    <t>0994068910</t>
  </si>
  <si>
    <t>msi30@hotmail.com</t>
  </si>
  <si>
    <t>KMPRY-MCH-2290</t>
  </si>
  <si>
    <t>CRISTHIAN OSWALDO</t>
  </si>
  <si>
    <t>CAMPOVERDE HERRERA</t>
  </si>
  <si>
    <t>0703801373</t>
  </si>
  <si>
    <t>0983376117</t>
  </si>
  <si>
    <t>cristhiancampoverde@yahoo.com</t>
  </si>
  <si>
    <t>KMPRY-MCH-2291</t>
  </si>
  <si>
    <t>TOAPANTA GALLEGOS</t>
  </si>
  <si>
    <t>0706457090</t>
  </si>
  <si>
    <t>0967434072</t>
  </si>
  <si>
    <t>jluis_toapanta95@outlook.com</t>
  </si>
  <si>
    <t>KMPRY-MCH-2292</t>
  </si>
  <si>
    <t>AVILA PESANTEZ</t>
  </si>
  <si>
    <t>0702834979</t>
  </si>
  <si>
    <t>0999466190</t>
  </si>
  <si>
    <t>jc_avila71@hotmail.com</t>
  </si>
  <si>
    <r>
      <t xml:space="preserve">Pagaré $1.590 - vence </t>
    </r>
    <r>
      <rPr>
        <sz val="11"/>
        <color rgb="FFEE0000"/>
        <rFont val="Aptos Narrow"/>
        <family val="2"/>
        <scheme val="minor"/>
      </rPr>
      <t xml:space="preserve">27 - 03 - 2025 </t>
    </r>
  </si>
  <si>
    <t>KMPRY-MCH-2293</t>
  </si>
  <si>
    <t>JUAN ALBERTO</t>
  </si>
  <si>
    <t>BRAVO VERA</t>
  </si>
  <si>
    <t>0702192568</t>
  </si>
  <si>
    <t>0967285017</t>
  </si>
  <si>
    <t>juanalbrbr@gmail.com</t>
  </si>
  <si>
    <t>KMPRY-MCH-2294</t>
  </si>
  <si>
    <t>RENE FERNANDO</t>
  </si>
  <si>
    <t>MEJIA TORRES</t>
  </si>
  <si>
    <t>0702806324</t>
  </si>
  <si>
    <t>0995771011</t>
  </si>
  <si>
    <t>nandomejia72@hotmail.com</t>
  </si>
  <si>
    <t>KMPRY-MCH-2295</t>
  </si>
  <si>
    <t>ROSALMA MERCEDES</t>
  </si>
  <si>
    <t>BAIDAL GALARZA</t>
  </si>
  <si>
    <t>0702423005</t>
  </si>
  <si>
    <t>0985928567</t>
  </si>
  <si>
    <t>rosalma.b.g@hotmail.com</t>
  </si>
  <si>
    <r>
      <t xml:space="preserve">Pagaré de $1.990 - vence </t>
    </r>
    <r>
      <rPr>
        <sz val="11"/>
        <color rgb="FFEE0000"/>
        <rFont val="Aptos Narrow"/>
        <family val="2"/>
        <scheme val="minor"/>
      </rPr>
      <t>28 - 03 - 2025</t>
    </r>
  </si>
  <si>
    <t>KMPRY-MCH-2296</t>
  </si>
  <si>
    <t>JOHN JAIRO</t>
  </si>
  <si>
    <t>BARROS OROZCO</t>
  </si>
  <si>
    <t>0706437142</t>
  </si>
  <si>
    <t>0986365336</t>
  </si>
  <si>
    <t>jotab.16@hotmail.com</t>
  </si>
  <si>
    <t>KMPRY-MCH-1301</t>
  </si>
  <si>
    <t>ORDOÑEZ GONZALEZ</t>
  </si>
  <si>
    <t>0985118476</t>
  </si>
  <si>
    <t>IMPORTADORA ARBOLEDA</t>
  </si>
  <si>
    <t>KMPRY-MCH-2297</t>
  </si>
  <si>
    <t>FREDY ERNESTO</t>
  </si>
  <si>
    <t>ORELLANA DELGADO</t>
  </si>
  <si>
    <t>0702597782</t>
  </si>
  <si>
    <t>0969608598</t>
  </si>
  <si>
    <t>veronicacalvo68@gmail.com</t>
  </si>
  <si>
    <r>
      <t xml:space="preserve">Pagaré de $2.490 - vence </t>
    </r>
    <r>
      <rPr>
        <sz val="11"/>
        <color rgb="FFEE0000"/>
        <rFont val="Aptos Narrow"/>
        <family val="2"/>
        <scheme val="minor"/>
      </rPr>
      <t xml:space="preserve">27 - 03 - 2025 </t>
    </r>
  </si>
  <si>
    <t>KMPRY-MCH-2298</t>
  </si>
  <si>
    <t xml:space="preserve">VICENTE CRISTOBAL </t>
  </si>
  <si>
    <t>AGUILAR JORDAN</t>
  </si>
  <si>
    <t>0702830399</t>
  </si>
  <si>
    <t>0988973773</t>
  </si>
  <si>
    <t>PUNTA CANA/ FINDE</t>
  </si>
  <si>
    <t>vicent-jcrist@hotmail.com</t>
  </si>
  <si>
    <t>KMPRY-MCH-2300</t>
  </si>
  <si>
    <t>DALVI ENITH</t>
  </si>
  <si>
    <t>CONFORME ESPINOSA</t>
  </si>
  <si>
    <t>1104857196</t>
  </si>
  <si>
    <t>0980862899</t>
  </si>
  <si>
    <t>darwinzamora638@yahoo.com</t>
  </si>
  <si>
    <t xml:space="preserve">Pago de $900 en cuotas de $25 a partir de mayo 2025 </t>
  </si>
  <si>
    <t>ZINDY/HUGO</t>
  </si>
  <si>
    <t>ZINDY/OLIVER</t>
  </si>
  <si>
    <t>Pagado/AUMENTO DE LA VENTA</t>
  </si>
  <si>
    <t>KMPRY-ESM-2299</t>
  </si>
  <si>
    <t>MARENA ANTONIA</t>
  </si>
  <si>
    <t>NAZARENO AYOVI</t>
  </si>
  <si>
    <t>0800586422001</t>
  </si>
  <si>
    <t>0997449199</t>
  </si>
  <si>
    <t>mariananazarenoayovi@gmail.com</t>
  </si>
  <si>
    <t>KMPRY-ESM-2301</t>
  </si>
  <si>
    <t>YSMAEL EFREN</t>
  </si>
  <si>
    <t>CHICHANDE MENDEZ</t>
  </si>
  <si>
    <t>0803521228</t>
  </si>
  <si>
    <t>0997868761</t>
  </si>
  <si>
    <t>MC DIF 12M</t>
  </si>
  <si>
    <t>chiandemendezysmaelefren@gmail.com</t>
  </si>
  <si>
    <t>KMPRY-STD-2302</t>
  </si>
  <si>
    <t>KARLA JOMAIRA</t>
  </si>
  <si>
    <t>RIOS SHIQUI</t>
  </si>
  <si>
    <t>1401161128</t>
  </si>
  <si>
    <t>0996603937</t>
  </si>
  <si>
    <t>CANCUNCARD/EUROVAC</t>
  </si>
  <si>
    <t>kadley_6@hotmail.com</t>
  </si>
  <si>
    <t>KMPRY-STD-2303</t>
  </si>
  <si>
    <t>ANGELA ELIZABETH</t>
  </si>
  <si>
    <t>SANDOVAL MAYEA</t>
  </si>
  <si>
    <t>1714465901</t>
  </si>
  <si>
    <t>0991184441</t>
  </si>
  <si>
    <t>BRASIL</t>
  </si>
  <si>
    <t>KMPRY-STD-2304</t>
  </si>
  <si>
    <t>LUIS JAVIER</t>
  </si>
  <si>
    <t>TROYA VALAREZO</t>
  </si>
  <si>
    <t>2300236813</t>
  </si>
  <si>
    <t>0958600648</t>
  </si>
  <si>
    <t>ORLMIAESPITA/FINDE</t>
  </si>
  <si>
    <t>luisjavier1994esp@gmail.com</t>
  </si>
  <si>
    <t>KMPRY-STD-2305</t>
  </si>
  <si>
    <t>LARREA MANTILLA</t>
  </si>
  <si>
    <t>0602763922001</t>
  </si>
  <si>
    <t>0997703006</t>
  </si>
  <si>
    <t>PUNTA CANA/FINDE</t>
  </si>
  <si>
    <t>jmlarream76@gmail.com</t>
  </si>
  <si>
    <t>KMPRY-PTV-2306</t>
  </si>
  <si>
    <t>YADIRA MARIELA</t>
  </si>
  <si>
    <t>MORAN CHAVEZ</t>
  </si>
  <si>
    <t>1309891792</t>
  </si>
  <si>
    <t>0969798227</t>
  </si>
  <si>
    <t>marielabrana27@hotmail.com</t>
  </si>
  <si>
    <t>KMPRY-PTV-2307</t>
  </si>
  <si>
    <t>EVELYN JOHANA</t>
  </si>
  <si>
    <t>CALVACHE PIN</t>
  </si>
  <si>
    <t>1312292103</t>
  </si>
  <si>
    <t>0983915080</t>
  </si>
  <si>
    <t>TRANSFER</t>
  </si>
  <si>
    <t>evelyncalvache1995@gmail.com</t>
  </si>
  <si>
    <t>KMPRY-PTV-2308</t>
  </si>
  <si>
    <t>RONALD ORLANDO</t>
  </si>
  <si>
    <t>CADENA MERA</t>
  </si>
  <si>
    <t>1312615295</t>
  </si>
  <si>
    <t>0968440204</t>
  </si>
  <si>
    <t>cadenamera1234@hotmail.com</t>
  </si>
  <si>
    <t>KMPRY-PTV-2309</t>
  </si>
  <si>
    <t>VICENTE ARNALDO</t>
  </si>
  <si>
    <t>SUAREZ LOOR</t>
  </si>
  <si>
    <t>1308434396</t>
  </si>
  <si>
    <t>0987692380</t>
  </si>
  <si>
    <t>FINDE0/FINDECONIMP</t>
  </si>
  <si>
    <t>tuarezvicente1965@outlook.com</t>
  </si>
  <si>
    <t>KMPRY-PTV-2310</t>
  </si>
  <si>
    <t>BRAVO ARANEA</t>
  </si>
  <si>
    <t>1307182897</t>
  </si>
  <si>
    <t>0988744046</t>
  </si>
  <si>
    <t>henrybravo-35@hotmail.com</t>
  </si>
  <si>
    <t>KMPRY-PTV-2311</t>
  </si>
  <si>
    <t>BRYAN ANDRES</t>
  </si>
  <si>
    <t>MACIAS MOREIRA</t>
  </si>
  <si>
    <t>1313088609</t>
  </si>
  <si>
    <t>0993860107</t>
  </si>
  <si>
    <t>bryanmoreiram@outlook.es</t>
  </si>
  <si>
    <t>KMPRY-PTV-2312</t>
  </si>
  <si>
    <t>ANA MARIA</t>
  </si>
  <si>
    <t>GUTIERREZ NAVIA</t>
  </si>
  <si>
    <t>1308623881</t>
  </si>
  <si>
    <t>0990175625</t>
  </si>
  <si>
    <t>anign1006@gmail.com</t>
  </si>
  <si>
    <t>CUADRAR 1 SOLO AÑO POR LO QUE PAGÓ</t>
  </si>
  <si>
    <t>KMPRY-MCC-2313</t>
  </si>
  <si>
    <t>HILDA BEATRIZ</t>
  </si>
  <si>
    <t>ALMEIDA MOSQUERA</t>
  </si>
  <si>
    <t>1719446427</t>
  </si>
  <si>
    <t>0993433194</t>
  </si>
  <si>
    <t>jbt_81@hotmail.com</t>
  </si>
  <si>
    <t>KMPRY-MLG-2314</t>
  </si>
  <si>
    <t>TATIANA ELIZABETH</t>
  </si>
  <si>
    <t>RAMIREZ SALAZAR</t>
  </si>
  <si>
    <t>0928424464</t>
  </si>
  <si>
    <t>0999111623</t>
  </si>
  <si>
    <t>tatianaxavierramirezsalazar@gmail.com</t>
  </si>
  <si>
    <t>KMPRY-MLG-2315</t>
  </si>
  <si>
    <t>GALO JACINTO</t>
  </si>
  <si>
    <t>1311330094</t>
  </si>
  <si>
    <t>0986723123</t>
  </si>
  <si>
    <t>galogarcia1993@gmail.com</t>
  </si>
  <si>
    <t>KMPRY-MLG-2316</t>
  </si>
  <si>
    <t>YOLANDA MARIA</t>
  </si>
  <si>
    <t>MORAN SANCHEZ</t>
  </si>
  <si>
    <t>1201417597</t>
  </si>
  <si>
    <t>0990482747</t>
  </si>
  <si>
    <t>ymorans1960@gmail.com</t>
  </si>
  <si>
    <t>OSCAR</t>
  </si>
  <si>
    <t>KMPRY-MLG-2317</t>
  </si>
  <si>
    <t>VICTOR MANUEL</t>
  </si>
  <si>
    <t>VACA BALTAN</t>
  </si>
  <si>
    <t>0941534141</t>
  </si>
  <si>
    <t>0961511108</t>
  </si>
  <si>
    <t>v28vaca1994@gmail.com</t>
  </si>
  <si>
    <t>KMPRY-GYE-2318</t>
  </si>
  <si>
    <t>ROMULO MARCELO</t>
  </si>
  <si>
    <t>RIZZO ESCALANTE</t>
  </si>
  <si>
    <t>0909773335</t>
  </si>
  <si>
    <t>0984227969</t>
  </si>
  <si>
    <t>marcelorizzo16@yahoo.com</t>
  </si>
  <si>
    <t>KMPRY-GYE-2319</t>
  </si>
  <si>
    <t>LIGIA DEL PILAR</t>
  </si>
  <si>
    <t>QUIJIJE MENDEZ</t>
  </si>
  <si>
    <t>0921287504</t>
  </si>
  <si>
    <t>0990556182</t>
  </si>
  <si>
    <t>PAYPHONE ZINDY/ ISS</t>
  </si>
  <si>
    <t>ligiaquijije@hotmail.com</t>
  </si>
  <si>
    <t>KMPRY-GYE-2320</t>
  </si>
  <si>
    <t>PAULA LEONOR</t>
  </si>
  <si>
    <t>MORALES PIN</t>
  </si>
  <si>
    <t>1304668161</t>
  </si>
  <si>
    <t>0992148971</t>
  </si>
  <si>
    <t>pleonor.morales2806@gmail.com</t>
  </si>
  <si>
    <t>KMPRY-GYE-2321</t>
  </si>
  <si>
    <t>INGRID INOCENCIA</t>
  </si>
  <si>
    <t>MARTINEZ RAMIREZ</t>
  </si>
  <si>
    <t>0920192044</t>
  </si>
  <si>
    <t>0993782539</t>
  </si>
  <si>
    <t>inomarr@gmail.com</t>
  </si>
  <si>
    <t>KMPRY-GYE-2322</t>
  </si>
  <si>
    <t>MARIA ISABEL</t>
  </si>
  <si>
    <t>GILCES DEMERA</t>
  </si>
  <si>
    <t>1307512895</t>
  </si>
  <si>
    <t>0991183548</t>
  </si>
  <si>
    <t>PAYPHONE ZYNDI</t>
  </si>
  <si>
    <t>mariaisabelgiles@gmail.com</t>
  </si>
  <si>
    <t>KMPRY-GYE-2323</t>
  </si>
  <si>
    <t>ANA DOLORES</t>
  </si>
  <si>
    <t>GOMEZ IZURIETA</t>
  </si>
  <si>
    <t>0916203201</t>
  </si>
  <si>
    <t>0959904410</t>
  </si>
  <si>
    <t>anagomez171279@gmail.com</t>
  </si>
  <si>
    <t>KMPRY-GYE-2324</t>
  </si>
  <si>
    <t xml:space="preserve">ADRIAN ARTURO </t>
  </si>
  <si>
    <t>SANTIANA CASTAÑEDA</t>
  </si>
  <si>
    <t>0926644790</t>
  </si>
  <si>
    <t>0986419894</t>
  </si>
  <si>
    <t>adrian_santiana@hotmail.com</t>
  </si>
  <si>
    <t>KMPRY-GYE-2325</t>
  </si>
  <si>
    <t>JONATHAN JOEL</t>
  </si>
  <si>
    <t>PEREZ ZAVALA</t>
  </si>
  <si>
    <t>0930676085</t>
  </si>
  <si>
    <t>0980819605</t>
  </si>
  <si>
    <t>jonathanpre2292@hotmail.com</t>
  </si>
  <si>
    <t>KMPRY-GYE-2326</t>
  </si>
  <si>
    <t>MADELYN YANINA</t>
  </si>
  <si>
    <t>ULLON CHACON</t>
  </si>
  <si>
    <t>0927275115</t>
  </si>
  <si>
    <t>0969115784</t>
  </si>
  <si>
    <t>myuch_205@hotmail.com</t>
  </si>
  <si>
    <t>KMPRY-GYE-2327</t>
  </si>
  <si>
    <t>JORGE ERNESTO</t>
  </si>
  <si>
    <t>CHAMAIDAN SAMANIEGO</t>
  </si>
  <si>
    <t>0954140356</t>
  </si>
  <si>
    <t>0979127353</t>
  </si>
  <si>
    <t>jorge772008@hotmail.com</t>
  </si>
  <si>
    <t>KMPRY-GYE-2328</t>
  </si>
  <si>
    <t>GRECIA ANDREA</t>
  </si>
  <si>
    <t>HERRERA ALVARADO</t>
  </si>
  <si>
    <t>0921757969</t>
  </si>
  <si>
    <t>0994373809</t>
  </si>
  <si>
    <t>greyandi_869@hotmail.com</t>
  </si>
  <si>
    <t>KMPRY-GYE-2329</t>
  </si>
  <si>
    <t>ROMARIO ERNESTO</t>
  </si>
  <si>
    <t>ALVARADO GAROFALO</t>
  </si>
  <si>
    <t>0925528572001</t>
  </si>
  <si>
    <t>0991049857</t>
  </si>
  <si>
    <t>romarioeagarofalo@gmail.com</t>
  </si>
  <si>
    <t>ACEVEDO</t>
  </si>
  <si>
    <t>KMPRY-GYE-2330</t>
  </si>
  <si>
    <t>JONATHAN RAFAEL</t>
  </si>
  <si>
    <t>SALAZAR NAZARENO</t>
  </si>
  <si>
    <t>0803131663</t>
  </si>
  <si>
    <t>0967347276</t>
  </si>
  <si>
    <t>salajonathan64@hotmail.com</t>
  </si>
  <si>
    <t>KMPRY-GYE-2331</t>
  </si>
  <si>
    <t>HAROLD ALEXANDER</t>
  </si>
  <si>
    <t>LOPEZ PLUA</t>
  </si>
  <si>
    <t>0940391048</t>
  </si>
  <si>
    <t>0961040911</t>
  </si>
  <si>
    <t>haroldlopez1976@hotmail.com</t>
  </si>
  <si>
    <t>KMPRY-GYE-2332</t>
  </si>
  <si>
    <t>EDGAR DANIEL</t>
  </si>
  <si>
    <t>CASTRO ZAMBRANO</t>
  </si>
  <si>
    <t>0923693402</t>
  </si>
  <si>
    <t>0989866544</t>
  </si>
  <si>
    <t>TICKETE AEREO</t>
  </si>
  <si>
    <t>aquilesdany@hotmail.com</t>
  </si>
  <si>
    <t>KMPRY-GYE-2333</t>
  </si>
  <si>
    <t>RUPERTO BOLIVAR</t>
  </si>
  <si>
    <t>BAÑOS PAZOS</t>
  </si>
  <si>
    <t>0904400686</t>
  </si>
  <si>
    <t>0993867727</t>
  </si>
  <si>
    <t>banoruperto.07@gmail.com</t>
  </si>
  <si>
    <t>KMPRY-GYE-2334</t>
  </si>
  <si>
    <t>JESSENIA ALEXANDRA</t>
  </si>
  <si>
    <t>MORAN MAGALLANES</t>
  </si>
  <si>
    <t>0919633198</t>
  </si>
  <si>
    <t>0969056505</t>
  </si>
  <si>
    <t>PAYZIN/KEMP/TRAVELING</t>
  </si>
  <si>
    <t>jessy_moran34@hotmail.com</t>
  </si>
  <si>
    <t>Pagaré de $6.000; vence 02 - 05 - 2026</t>
  </si>
  <si>
    <t>KMPRY-MCH-2335</t>
  </si>
  <si>
    <t>MELISSA ELIANA</t>
  </si>
  <si>
    <t>GONZALEZ ROBAYO</t>
  </si>
  <si>
    <t>0706514577</t>
  </si>
  <si>
    <t>0984816479</t>
  </si>
  <si>
    <t>melissa_eli_93@hotmail.com</t>
  </si>
  <si>
    <t>KMPRY-MCH-2336</t>
  </si>
  <si>
    <t>ERICKA LISSETH</t>
  </si>
  <si>
    <t>OVIEDO OJEDA</t>
  </si>
  <si>
    <t>0706033842</t>
  </si>
  <si>
    <t>0939334839</t>
  </si>
  <si>
    <t>erickaoviedo96@gmail.com</t>
  </si>
  <si>
    <t>KMPRY-MCH-2337</t>
  </si>
  <si>
    <t>FATIMA ALEJANDRA</t>
  </si>
  <si>
    <t>BAQUE SANCHEZ</t>
  </si>
  <si>
    <t>0704098946</t>
  </si>
  <si>
    <t>0988979278</t>
  </si>
  <si>
    <t>faty27panta@hotmail.com</t>
  </si>
  <si>
    <t>KMPRY-MCH-2338</t>
  </si>
  <si>
    <t>JHON JAVIER</t>
  </si>
  <si>
    <t>SOLANO GIMA</t>
  </si>
  <si>
    <t>0750416885</t>
  </si>
  <si>
    <t>0963899417</t>
  </si>
  <si>
    <t>jjsgfox@hotmail.com</t>
  </si>
  <si>
    <t>KMPRY-MCH-2339</t>
  </si>
  <si>
    <t>YADIRA ALEXANDRA</t>
  </si>
  <si>
    <t>CABRERA RAMIREZ</t>
  </si>
  <si>
    <t>0704285667</t>
  </si>
  <si>
    <t>0994885049</t>
  </si>
  <si>
    <t>VS DIF 6M</t>
  </si>
  <si>
    <t>yadi-yadira27@hotmail.com</t>
  </si>
  <si>
    <r>
      <t xml:space="preserve">Pagaré de $500; vence </t>
    </r>
    <r>
      <rPr>
        <sz val="11"/>
        <color rgb="FFEE0000"/>
        <rFont val="Aptos Narrow"/>
        <family val="2"/>
        <scheme val="minor"/>
      </rPr>
      <t>08 - 05 - 2025</t>
    </r>
  </si>
  <si>
    <t>KMPRY-MCH-2340</t>
  </si>
  <si>
    <t>MAURO JAVIER</t>
  </si>
  <si>
    <t>GARCIA OLVERA</t>
  </si>
  <si>
    <t>1203028533</t>
  </si>
  <si>
    <t>0994192024</t>
  </si>
  <si>
    <t>maurogarcia323@gmail.com</t>
  </si>
  <si>
    <t>KMPRY-MCH-2341</t>
  </si>
  <si>
    <t>GENESIS MISHEL</t>
  </si>
  <si>
    <t>CASTILLO GUZMAN</t>
  </si>
  <si>
    <t>0705971729</t>
  </si>
  <si>
    <t>0990115293</t>
  </si>
  <si>
    <t>genesis_cg98@hotmail.com</t>
  </si>
  <si>
    <t>KMPRY-MCH-2342</t>
  </si>
  <si>
    <t>SEGUNDO ALEXANDER</t>
  </si>
  <si>
    <t>GARCES RODRIGUEZ</t>
  </si>
  <si>
    <t>0706873361</t>
  </si>
  <si>
    <t>0992970148</t>
  </si>
  <si>
    <t>garcesalex358@gmail.com</t>
  </si>
  <si>
    <t>KMPRY-MCH-2343</t>
  </si>
  <si>
    <t>HARLEY HILTON</t>
  </si>
  <si>
    <t>VALVERDE ZERDA</t>
  </si>
  <si>
    <t>0703854570</t>
  </si>
  <si>
    <t>0939566056</t>
  </si>
  <si>
    <t>h.arley78@hotmail.com</t>
  </si>
  <si>
    <t>KMPRY-MCH-2344</t>
  </si>
  <si>
    <t>AGUILAR RUIZ</t>
  </si>
  <si>
    <t>0704996016</t>
  </si>
  <si>
    <t>0993263422</t>
  </si>
  <si>
    <t>alexa16082011@hotmail.com</t>
  </si>
  <si>
    <r>
      <t xml:space="preserve">Pagaré de $2.190; vence </t>
    </r>
    <r>
      <rPr>
        <sz val="11"/>
        <color rgb="FFEE0000"/>
        <rFont val="Aptos Narrow"/>
        <family val="2"/>
        <scheme val="minor"/>
      </rPr>
      <t>09 - 01 - 2025</t>
    </r>
  </si>
  <si>
    <t>KMPRY-MCH-2345</t>
  </si>
  <si>
    <t>KATHERIN LISSETH</t>
  </si>
  <si>
    <t>SANCHEZ ZAMBRANO</t>
  </si>
  <si>
    <t>0705400521</t>
  </si>
  <si>
    <t>0984926580</t>
  </si>
  <si>
    <t>katherinsanchez106@hotmail.com</t>
  </si>
  <si>
    <t xml:space="preserve">Pagaré de $1.000; vence 09 - 11 - 2025 </t>
  </si>
  <si>
    <t>KMPRY-MCH-2346</t>
  </si>
  <si>
    <t>GONZALO GUILLERMO</t>
  </si>
  <si>
    <t>ROMERO ROMERO</t>
  </si>
  <si>
    <t>0702630237</t>
  </si>
  <si>
    <t>0997029410</t>
  </si>
  <si>
    <t>gromeror@gmail.com</t>
  </si>
  <si>
    <r>
      <t xml:space="preserve">Pagaré de $650; vence </t>
    </r>
    <r>
      <rPr>
        <sz val="11"/>
        <color rgb="FFEE0000"/>
        <rFont val="Aptos Narrow"/>
        <family val="2"/>
        <scheme val="minor"/>
      </rPr>
      <t xml:space="preserve">12 - 05 - 2025 </t>
    </r>
  </si>
  <si>
    <t>KMPRY-MCH-2347</t>
  </si>
  <si>
    <t>IRVIN DARIO</t>
  </si>
  <si>
    <t>VASQUEZ ESCOBAR</t>
  </si>
  <si>
    <t>1104621857001</t>
  </si>
  <si>
    <t>0959740181</t>
  </si>
  <si>
    <t>irdavas@gmail.com</t>
  </si>
  <si>
    <t>KMPRY-LOH-2348</t>
  </si>
  <si>
    <t>RUTH FERNANDA</t>
  </si>
  <si>
    <t>VIÑAMAGUA MACAS</t>
  </si>
  <si>
    <t>1104011380</t>
  </si>
  <si>
    <t>0983234782</t>
  </si>
  <si>
    <t>FINDE GALAPAGOS</t>
  </si>
  <si>
    <t>fernandavinamagua@gmail.com</t>
  </si>
  <si>
    <t>KMPRY-LOH-2349</t>
  </si>
  <si>
    <t>JOHANNA ELIZABETH</t>
  </si>
  <si>
    <t>PARDO SAAVEDRA</t>
  </si>
  <si>
    <t>1104580558</t>
  </si>
  <si>
    <t>0999670812</t>
  </si>
  <si>
    <t>joh_nna@hotmail.es</t>
  </si>
  <si>
    <t>KMPRY-LOH-2350</t>
  </si>
  <si>
    <t>JOHANNA LIZBETH</t>
  </si>
  <si>
    <t>AMAY AMAY</t>
  </si>
  <si>
    <t>1104923485</t>
  </si>
  <si>
    <t>0979195431</t>
  </si>
  <si>
    <t>lizbethamay@yahoo.es</t>
  </si>
  <si>
    <t>KMPRY-LOH-2351</t>
  </si>
  <si>
    <t>MANUEL AGUSTIN</t>
  </si>
  <si>
    <t>GONZALES ESTRELLA</t>
  </si>
  <si>
    <t>1101840690</t>
  </si>
  <si>
    <t>0997032706</t>
  </si>
  <si>
    <t>llaquita.gonzalez@gmail.com</t>
  </si>
  <si>
    <t>KMPRY-LOH-2352</t>
  </si>
  <si>
    <t>IRMA ELIZABETH</t>
  </si>
  <si>
    <t>SANMARTIN SUMBA</t>
  </si>
  <si>
    <t>1103247787</t>
  </si>
  <si>
    <t>0994442006</t>
  </si>
  <si>
    <t>PUNTA CANA/ORLMIAESPITA</t>
  </si>
  <si>
    <t>sumbairma84@gmail.com</t>
  </si>
  <si>
    <t xml:space="preserve">Pagaré de $2.990;vence pagar $83,05 cada mes a 36 cuotas </t>
  </si>
  <si>
    <t>KMPRY-LOH-2353</t>
  </si>
  <si>
    <t>MARCOS ANTONIO</t>
  </si>
  <si>
    <t>MINGA SINCHIRE</t>
  </si>
  <si>
    <t>1103932586</t>
  </si>
  <si>
    <t>0985119594</t>
  </si>
  <si>
    <t>PAYZIN</t>
  </si>
  <si>
    <t>marcominga82@gmail.com</t>
  </si>
  <si>
    <t>KMPRY-LOH-2354</t>
  </si>
  <si>
    <t>GISELLA HEROÍNA</t>
  </si>
  <si>
    <t>VERA PARRALES</t>
  </si>
  <si>
    <t>1308199825</t>
  </si>
  <si>
    <t>0990860640</t>
  </si>
  <si>
    <t>gisellastudy@hotmail.com</t>
  </si>
  <si>
    <t xml:space="preserve">Pagaré de $700; vence 15 - 11 - 2025 </t>
  </si>
  <si>
    <t>KMPRY-LOH-2355</t>
  </si>
  <si>
    <t>DANNY JAVIER</t>
  </si>
  <si>
    <t>TORRES JIMENEZ</t>
  </si>
  <si>
    <t>1105342909</t>
  </si>
  <si>
    <t>0994478890</t>
  </si>
  <si>
    <t>djtjimenez93@gmail.com</t>
  </si>
  <si>
    <r>
      <t xml:space="preserve">Pagaré de $1.990;vence </t>
    </r>
    <r>
      <rPr>
        <sz val="11"/>
        <color rgb="FFEE0000"/>
        <rFont val="Aptos Narrow"/>
        <family val="2"/>
        <scheme val="minor"/>
      </rPr>
      <t xml:space="preserve">16 - 05 - 2025 </t>
    </r>
  </si>
  <si>
    <t>KMPRY-LOH-2356</t>
  </si>
  <si>
    <t>MARIA ANTONIETA</t>
  </si>
  <si>
    <t>GONZALEZ ZUÑIGA</t>
  </si>
  <si>
    <t>1101052429</t>
  </si>
  <si>
    <t>0988283084</t>
  </si>
  <si>
    <t>mariantonieta1952@outlook.com</t>
  </si>
  <si>
    <t>KMPRY-LOH-2357</t>
  </si>
  <si>
    <t>ANGEL FRANCISCO</t>
  </si>
  <si>
    <t>QUEZADA HERRERA</t>
  </si>
  <si>
    <t>1103648976</t>
  </si>
  <si>
    <t>0998772715</t>
  </si>
  <si>
    <t>angelquezada1975@gmail.com</t>
  </si>
  <si>
    <t>KMPRY-LOH-2358</t>
  </si>
  <si>
    <t>WELINTON CASIANO</t>
  </si>
  <si>
    <t>SUAREZ BORJA</t>
  </si>
  <si>
    <t>0502237654001</t>
  </si>
  <si>
    <t>0985940189</t>
  </si>
  <si>
    <t>elranchitoloja050@gmail.com</t>
  </si>
  <si>
    <r>
      <t>Pagaré de $3.990; vence</t>
    </r>
    <r>
      <rPr>
        <sz val="11"/>
        <color rgb="FFEE0000"/>
        <rFont val="Aptos Narrow"/>
        <family val="2"/>
        <scheme val="minor"/>
      </rPr>
      <t xml:space="preserve"> 19 - 05 - 2025 </t>
    </r>
  </si>
  <si>
    <t>KMPRY-LOH-2359</t>
  </si>
  <si>
    <t>LEONARDO ALFONSO</t>
  </si>
  <si>
    <t>BENAVIDES ALDEAN</t>
  </si>
  <si>
    <t>1100107117</t>
  </si>
  <si>
    <t>0991860321</t>
  </si>
  <si>
    <t>PANAMEXCRCOLCURA</t>
  </si>
  <si>
    <t>leoalfonzobenavides@yahoo.com</t>
  </si>
  <si>
    <r>
      <t xml:space="preserve">Pagaré de $500; vence </t>
    </r>
    <r>
      <rPr>
        <sz val="11"/>
        <color rgb="FFEE0000"/>
        <rFont val="Aptos Narrow"/>
        <family val="2"/>
        <scheme val="minor"/>
      </rPr>
      <t>17 - 05 - 2025</t>
    </r>
  </si>
  <si>
    <t>KMPRY-LOH-2360</t>
  </si>
  <si>
    <t>RUTH MARICELA</t>
  </si>
  <si>
    <t>GUAMAN GUAJALA</t>
  </si>
  <si>
    <t>1104143514</t>
  </si>
  <si>
    <t>0992319727</t>
  </si>
  <si>
    <t>santiagomary202035@gmail.com</t>
  </si>
  <si>
    <t>Pagaré de $990; vence 17 - 08 - 2025</t>
  </si>
  <si>
    <t>KMPRY-GYE-2361</t>
  </si>
  <si>
    <t>JANET ALEXANDRA</t>
  </si>
  <si>
    <t>MORAN VILLACRES</t>
  </si>
  <si>
    <t>0907622229001</t>
  </si>
  <si>
    <t>0985066854</t>
  </si>
  <si>
    <t>janetmoran32@gmail.com</t>
  </si>
  <si>
    <t>KMPRY-GYE-2362</t>
  </si>
  <si>
    <t>MERY ELIZABETH</t>
  </si>
  <si>
    <t>TROYA HERRERA</t>
  </si>
  <si>
    <t>0916349145</t>
  </si>
  <si>
    <t>0989683157</t>
  </si>
  <si>
    <t>mechitatroya@hotmail.com</t>
  </si>
  <si>
    <t>KMPRY-GYE-2363</t>
  </si>
  <si>
    <t>JAVIER EDUARDO</t>
  </si>
  <si>
    <t>TIGUA CHOEZ</t>
  </si>
  <si>
    <t>0915443352</t>
  </si>
  <si>
    <t>0990903704</t>
  </si>
  <si>
    <t>DESTINO ABIERTO HOSPE</t>
  </si>
  <si>
    <t>KMPRY-GYE-2364</t>
  </si>
  <si>
    <t>RUIZ TOALA</t>
  </si>
  <si>
    <t>1207121342</t>
  </si>
  <si>
    <t>0986536520</t>
  </si>
  <si>
    <t>carlosruiz19902025@gmail.com</t>
  </si>
  <si>
    <t>KMPRY-GYE-2365</t>
  </si>
  <si>
    <t>MARGARITA ELIZABETH</t>
  </si>
  <si>
    <t>PALACIOS OSPINA</t>
  </si>
  <si>
    <t>0924797145001</t>
  </si>
  <si>
    <t>0997860440</t>
  </si>
  <si>
    <t>eli1985palacios@gmail.com</t>
  </si>
  <si>
    <t>LESLI</t>
  </si>
  <si>
    <r>
      <t xml:space="preserve">Pagaré de $600 - vence </t>
    </r>
    <r>
      <rPr>
        <sz val="11"/>
        <color rgb="FFEE0000"/>
        <rFont val="Aptos Narrow"/>
        <family val="2"/>
        <scheme val="minor"/>
      </rPr>
      <t>15 - 06 - 2025</t>
    </r>
    <r>
      <rPr>
        <sz val="11"/>
        <color theme="1"/>
        <rFont val="Aptos Narrow"/>
        <family val="2"/>
        <scheme val="minor"/>
      </rPr>
      <t xml:space="preserve"> </t>
    </r>
  </si>
  <si>
    <t>KMPRY-GYE-2366</t>
  </si>
  <si>
    <t>EMILIO JOSE</t>
  </si>
  <si>
    <t>PLUA ELIZALDE</t>
  </si>
  <si>
    <t>0931214316</t>
  </si>
  <si>
    <t>0994609836</t>
  </si>
  <si>
    <t>emilioplua1@outlook.es</t>
  </si>
  <si>
    <t xml:space="preserve">Pagaré de $350; vence 22 - 05 - 2025 </t>
  </si>
  <si>
    <t>KMPRY-GYE-2367</t>
  </si>
  <si>
    <t>SEGUNDO CARLOS</t>
  </si>
  <si>
    <t>LLANGARI CACOANGO</t>
  </si>
  <si>
    <t>0925689739001</t>
  </si>
  <si>
    <t>0939058755</t>
  </si>
  <si>
    <t>carlos.llangari86@gmail.com</t>
  </si>
  <si>
    <t>KMPRY-GYE-2368</t>
  </si>
  <si>
    <t>WASHINGTON JULIO</t>
  </si>
  <si>
    <t>RAMOS BARRERA</t>
  </si>
  <si>
    <t>0925988719001</t>
  </si>
  <si>
    <t>0980737423</t>
  </si>
  <si>
    <t>dreder89@hotmail.com</t>
  </si>
  <si>
    <t>KMPRY-UIO-2369</t>
  </si>
  <si>
    <t>ELSA AVELINA</t>
  </si>
  <si>
    <t>YEPEZ VIZCAINO</t>
  </si>
  <si>
    <t>1705840831</t>
  </si>
  <si>
    <t>0999247298</t>
  </si>
  <si>
    <t>EUROPA MAGICA</t>
  </si>
  <si>
    <t>renzoyerovi@hotmail.com</t>
  </si>
  <si>
    <t>SALOME</t>
  </si>
  <si>
    <t>KMPRY-UIO-2370</t>
  </si>
  <si>
    <t>ERICK DANIEL</t>
  </si>
  <si>
    <t>COBO SORIA</t>
  </si>
  <si>
    <t>0502925639</t>
  </si>
  <si>
    <t>0962897445</t>
  </si>
  <si>
    <t>bloocorelo@gmail.com</t>
  </si>
  <si>
    <r>
      <t xml:space="preserve">Pagaré de $1.250; vence </t>
    </r>
    <r>
      <rPr>
        <sz val="11"/>
        <rFont val="Aptos Narrow"/>
        <family val="2"/>
        <scheme val="minor"/>
      </rPr>
      <t>30 - 12 - 2025</t>
    </r>
  </si>
  <si>
    <t>KMPRY-RBM-2371</t>
  </si>
  <si>
    <t>MERCEDES DEL ROCIO</t>
  </si>
  <si>
    <t>CORONA ALBÁN</t>
  </si>
  <si>
    <t>0603185802</t>
  </si>
  <si>
    <t>O984433616</t>
  </si>
  <si>
    <t>VISA</t>
  </si>
  <si>
    <t>mechita_ca@hotmail.es</t>
  </si>
  <si>
    <t>CARLOS ACE</t>
  </si>
  <si>
    <t>KMPRY-RBM-2372</t>
  </si>
  <si>
    <t xml:space="preserve">AURORA TERESA </t>
  </si>
  <si>
    <t xml:space="preserve">RUIZ DIAZ </t>
  </si>
  <si>
    <t>0602052342</t>
  </si>
  <si>
    <t>0959287366</t>
  </si>
  <si>
    <t>MASTERCARD</t>
  </si>
  <si>
    <t>KMPRY-RBM-2373</t>
  </si>
  <si>
    <t xml:space="preserve">HENRY HORACIO </t>
  </si>
  <si>
    <t xml:space="preserve">REINOSO FIALLOS </t>
  </si>
  <si>
    <t>0605842426</t>
  </si>
  <si>
    <t>0979399500</t>
  </si>
  <si>
    <t>lreinoso37@gmail.com</t>
  </si>
  <si>
    <t>VALERY</t>
  </si>
  <si>
    <t>FELICE - ZINDY</t>
  </si>
  <si>
    <t>KMPRY-RBM-2374</t>
  </si>
  <si>
    <t>ALEXANDER SEGUNDO</t>
  </si>
  <si>
    <t xml:space="preserve">SAGÑAY TAPIA </t>
  </si>
  <si>
    <t>0604322271</t>
  </si>
  <si>
    <t>0983236375</t>
  </si>
  <si>
    <t>LINK DE PAGO</t>
  </si>
  <si>
    <t>alextpa697@gmail.com</t>
  </si>
  <si>
    <t>KMPRY-RBM-2375</t>
  </si>
  <si>
    <t>DAYANA ANABEL</t>
  </si>
  <si>
    <t>ASQUI TAPIA</t>
  </si>
  <si>
    <t>1105952988</t>
  </si>
  <si>
    <t>0967021663</t>
  </si>
  <si>
    <t>anabelasqui84@gmail.com</t>
  </si>
  <si>
    <t>LINDA</t>
  </si>
  <si>
    <t>KMPRY-RBM-2376</t>
  </si>
  <si>
    <t>HOMERO EUDORO</t>
  </si>
  <si>
    <t>SUAREZ NAVARRETE</t>
  </si>
  <si>
    <t>0601628514</t>
  </si>
  <si>
    <t>0984765064</t>
  </si>
  <si>
    <t>h_suarez@espoch.edu.ec</t>
  </si>
  <si>
    <t>KMPRY-RBM-2377</t>
  </si>
  <si>
    <t>MERCY HERMELINDA</t>
  </si>
  <si>
    <t>ILBAY PACA</t>
  </si>
  <si>
    <t>0604738229</t>
  </si>
  <si>
    <t>0995273107</t>
  </si>
  <si>
    <t>hermelinda1000@hotmail.com</t>
  </si>
  <si>
    <t>SANTIAGO</t>
  </si>
  <si>
    <t xml:space="preserve">FELICE </t>
  </si>
  <si>
    <t>KMPRY-GYE-2378</t>
  </si>
  <si>
    <t xml:space="preserve">MARCELO FERNANDO </t>
  </si>
  <si>
    <t xml:space="preserve">ROMO VILLEGAS </t>
  </si>
  <si>
    <t>0913006771</t>
  </si>
  <si>
    <t>0982901460</t>
  </si>
  <si>
    <t xml:space="preserve">marcelosaharromo70@gmail.com </t>
  </si>
  <si>
    <t xml:space="preserve">CARLOS FELICE </t>
  </si>
  <si>
    <r>
      <t xml:space="preserve">Pagaré de $9.000; vence </t>
    </r>
    <r>
      <rPr>
        <sz val="11"/>
        <color rgb="FFEE0000"/>
        <rFont val="Aptos Narrow"/>
        <family val="2"/>
        <scheme val="minor"/>
      </rPr>
      <t>13 - 06 - 2025</t>
    </r>
  </si>
  <si>
    <t>KMPRY-GYE-2379</t>
  </si>
  <si>
    <t>MUÑOZ PILLASAGUA</t>
  </si>
  <si>
    <t>0917434342</t>
  </si>
  <si>
    <t>0991448903</t>
  </si>
  <si>
    <t>alber_car_77@hotmail.com</t>
  </si>
  <si>
    <t>KMPRY -GYE-2380</t>
  </si>
  <si>
    <t xml:space="preserve">SUJEY ALEXANDRA </t>
  </si>
  <si>
    <t xml:space="preserve">MIRANDA FRANCO </t>
  </si>
  <si>
    <t>0927857695</t>
  </si>
  <si>
    <t>0994041467</t>
  </si>
  <si>
    <t xml:space="preserve">CIERRE DE CAJA </t>
  </si>
  <si>
    <t xml:space="preserve">sujeymirandafranco88@gmail.com </t>
  </si>
  <si>
    <r>
      <t xml:space="preserve">Pagaré de $700 (1) cuota; vence </t>
    </r>
    <r>
      <rPr>
        <sz val="11"/>
        <color rgb="FFEE0000"/>
        <rFont val="Aptos Narrow"/>
        <family val="2"/>
        <scheme val="minor"/>
      </rPr>
      <t>12 - 06 - 2025</t>
    </r>
    <r>
      <rPr>
        <sz val="11"/>
        <color theme="1"/>
        <rFont val="Aptos Narrow"/>
        <family val="2"/>
        <scheme val="minor"/>
      </rPr>
      <t xml:space="preserve"> </t>
    </r>
  </si>
  <si>
    <t>KMPRY-GYE-2381</t>
  </si>
  <si>
    <t xml:space="preserve">JENNIFFER ANDREA </t>
  </si>
  <si>
    <t xml:space="preserve">BELTRAN CHUSAM </t>
  </si>
  <si>
    <t>0919979484</t>
  </si>
  <si>
    <t>0982029630</t>
  </si>
  <si>
    <t xml:space="preserve">jenniferbeltran762@gmail.com </t>
  </si>
  <si>
    <t>ANAYS</t>
  </si>
  <si>
    <r>
      <t xml:space="preserve">Pagaré de $460; vence </t>
    </r>
    <r>
      <rPr>
        <sz val="11"/>
        <color rgb="FFEE0000"/>
        <rFont val="Aptos Narrow"/>
        <family val="2"/>
        <scheme val="minor"/>
      </rPr>
      <t>13 - 06 - 2025</t>
    </r>
    <r>
      <rPr>
        <sz val="11"/>
        <color theme="1"/>
        <rFont val="Aptos Narrow"/>
        <family val="2"/>
        <scheme val="minor"/>
      </rPr>
      <t xml:space="preserve"> </t>
    </r>
  </si>
  <si>
    <t>KMPRY -GYE-2382</t>
  </si>
  <si>
    <t xml:space="preserve">LEYLANI LISBETH </t>
  </si>
  <si>
    <t xml:space="preserve">LEÓN JIMENEZ </t>
  </si>
  <si>
    <t>0942451501</t>
  </si>
  <si>
    <t>0985634694</t>
  </si>
  <si>
    <t>VS DIF 24M - MC DIF 12m</t>
  </si>
  <si>
    <t xml:space="preserve">guillo27torres@gmail.com </t>
  </si>
  <si>
    <t>Pagaré de $300; vence 13-12-2025</t>
  </si>
  <si>
    <t>KMPRY-GYE-2383</t>
  </si>
  <si>
    <t xml:space="preserve">YORTHIN LORENZO </t>
  </si>
  <si>
    <t xml:space="preserve">MORÁN RUALES </t>
  </si>
  <si>
    <t>0914996293</t>
  </si>
  <si>
    <t>0997477984</t>
  </si>
  <si>
    <t xml:space="preserve">LESLIE </t>
  </si>
  <si>
    <t>KMPRY-GYE-2384</t>
  </si>
  <si>
    <t xml:space="preserve">WILSON FELIPE </t>
  </si>
  <si>
    <t xml:space="preserve">MERELO SOTO </t>
  </si>
  <si>
    <t>0909849044</t>
  </si>
  <si>
    <t>0991256269</t>
  </si>
  <si>
    <t xml:space="preserve">VS - MC CORRIENTE </t>
  </si>
  <si>
    <t xml:space="preserve">miriam_ merelo@hotmail.com </t>
  </si>
  <si>
    <t>KEMPRY-GYE-2385</t>
  </si>
  <si>
    <t xml:space="preserve">LINO ANTONIO </t>
  </si>
  <si>
    <t xml:space="preserve">BARREIRO VILLAVICENCIO </t>
  </si>
  <si>
    <t>0907879787</t>
  </si>
  <si>
    <t>0991068621</t>
  </si>
  <si>
    <t xml:space="preserve">NO </t>
  </si>
  <si>
    <t>marita_ cuadros26@hotmail.com</t>
  </si>
  <si>
    <t xml:space="preserve">LINDA </t>
  </si>
  <si>
    <t>KEMPRY-GYE-2386</t>
  </si>
  <si>
    <t xml:space="preserve">LUIS CRISTOBAL </t>
  </si>
  <si>
    <t xml:space="preserve">MORA REA </t>
  </si>
  <si>
    <t>1200971180</t>
  </si>
  <si>
    <t>0959801277</t>
  </si>
  <si>
    <t xml:space="preserve">TDC PACIFICAD </t>
  </si>
  <si>
    <t>jennyaguirre796@gmail.com</t>
  </si>
  <si>
    <r>
      <t xml:space="preserve">Pagaré de $1.250; </t>
    </r>
    <r>
      <rPr>
        <sz val="11"/>
        <color rgb="FFEE0000"/>
        <rFont val="Aptos Narrow"/>
        <family val="2"/>
        <scheme val="minor"/>
      </rPr>
      <t xml:space="preserve">vence 14 - 06 -2025 </t>
    </r>
  </si>
  <si>
    <t>KEMPRY-GYE-2387</t>
  </si>
  <si>
    <t xml:space="preserve">WILSON JOSÉ </t>
  </si>
  <si>
    <t xml:space="preserve">SERRANO ARMIJOS </t>
  </si>
  <si>
    <t>1200236485</t>
  </si>
  <si>
    <t>0997338406</t>
  </si>
  <si>
    <t>wilsonserrano2010@hotmail.com</t>
  </si>
  <si>
    <t>KEMPRY-STOD-2388</t>
  </si>
  <si>
    <t xml:space="preserve">MARIA ANGELICA </t>
  </si>
  <si>
    <t xml:space="preserve">BRAVO BRAVO </t>
  </si>
  <si>
    <t>1706137625</t>
  </si>
  <si>
    <t>0959014112</t>
  </si>
  <si>
    <t xml:space="preserve">alicia_ 08rosa@hotmail.com </t>
  </si>
  <si>
    <t xml:space="preserve">VLADIMIR </t>
  </si>
  <si>
    <t>KEMPRY-STOD-2389</t>
  </si>
  <si>
    <t xml:space="preserve">YAMIRA CECILIA </t>
  </si>
  <si>
    <t xml:space="preserve">TAPUYO DE LA CRUZ </t>
  </si>
  <si>
    <t>0804376929</t>
  </si>
  <si>
    <t>0968558857</t>
  </si>
  <si>
    <t xml:space="preserve">yamiratapuyo@gmail.com </t>
  </si>
  <si>
    <t>KEMPRY-STOD-2390</t>
  </si>
  <si>
    <t xml:space="preserve">MARYURI MARCENIA </t>
  </si>
  <si>
    <t xml:space="preserve">QUIÑONEZ PRECIADO </t>
  </si>
  <si>
    <t>0801741973</t>
  </si>
  <si>
    <t>0980020868</t>
  </si>
  <si>
    <t xml:space="preserve">VS PACIFICO CORRIENTE </t>
  </si>
  <si>
    <t>marcenia1979@gmail.com</t>
  </si>
  <si>
    <t>KEMPRY-STOD-2991</t>
  </si>
  <si>
    <t xml:space="preserve">OFELIA CONSUELO </t>
  </si>
  <si>
    <t xml:space="preserve">ALEMÁN HERNÁNDEZ </t>
  </si>
  <si>
    <t>0400467973</t>
  </si>
  <si>
    <t>0989430197</t>
  </si>
  <si>
    <t xml:space="preserve">VS DIF 24M </t>
  </si>
  <si>
    <t xml:space="preserve">ofeliaaleman@hotmaiñ.com </t>
  </si>
  <si>
    <t>KEMPRY-STOD-2392</t>
  </si>
  <si>
    <t xml:space="preserve">GLADYS ELVIRA </t>
  </si>
  <si>
    <t xml:space="preserve">CALDERÓN FARIAS </t>
  </si>
  <si>
    <t>0911905198</t>
  </si>
  <si>
    <t>0968065185</t>
  </si>
  <si>
    <t xml:space="preserve">gladyselvirafarias@gmail.com </t>
  </si>
  <si>
    <t>KEMPRY-MLG-2393</t>
  </si>
  <si>
    <t xml:space="preserve">DARWIN DARIO </t>
  </si>
  <si>
    <t xml:space="preserve">LLERENA OCHOA </t>
  </si>
  <si>
    <t xml:space="preserve">0940230444 </t>
  </si>
  <si>
    <t>0960459248</t>
  </si>
  <si>
    <t xml:space="preserve">dariooo_ 10@hotmail.com </t>
  </si>
  <si>
    <t xml:space="preserve">SALOME </t>
  </si>
  <si>
    <t xml:space="preserve">VALERY </t>
  </si>
  <si>
    <t>KEMPRY-MLG-2394</t>
  </si>
  <si>
    <t xml:space="preserve">SERGIO FIDEL </t>
  </si>
  <si>
    <t xml:space="preserve">CENTENO ADRIANO </t>
  </si>
  <si>
    <t>0907851216</t>
  </si>
  <si>
    <t>0989328659</t>
  </si>
  <si>
    <t xml:space="preserve">MC - VS CORRIENTE </t>
  </si>
  <si>
    <t xml:space="preserve">absergiocenteno@hotmail.com </t>
  </si>
  <si>
    <t>KEMPRY-MLG-2995</t>
  </si>
  <si>
    <t>DAVID DANIEL</t>
  </si>
  <si>
    <t xml:space="preserve">MEZA FERRUZOLA </t>
  </si>
  <si>
    <t>0942477068</t>
  </si>
  <si>
    <t>0982828849</t>
  </si>
  <si>
    <t xml:space="preserve">david.meza1636@gmail.com </t>
  </si>
  <si>
    <t xml:space="preserve">ANALYS </t>
  </si>
  <si>
    <t>Pagararé de $940; vence 20 - 12 - 2025</t>
  </si>
  <si>
    <t xml:space="preserve">KEMPRY-CUE-2396 </t>
  </si>
  <si>
    <t xml:space="preserve">FREDDY FAVIAN </t>
  </si>
  <si>
    <t xml:space="preserve">COCHANCELA MUÑOZ </t>
  </si>
  <si>
    <t xml:space="preserve">0103758546  </t>
  </si>
  <si>
    <t xml:space="preserve">0989726247 </t>
  </si>
  <si>
    <t xml:space="preserve">MS CORRIENTE </t>
  </si>
  <si>
    <t xml:space="preserve">asesoriatotal_@hotmail.com </t>
  </si>
  <si>
    <t>KEMPRY-CUE-2397</t>
  </si>
  <si>
    <t xml:space="preserve">EUGENIO ALEJANDRO </t>
  </si>
  <si>
    <t xml:space="preserve">PALACIOS CABRERA </t>
  </si>
  <si>
    <t>0300705407</t>
  </si>
  <si>
    <t>0998947620</t>
  </si>
  <si>
    <t xml:space="preserve">MSCORRIENTE </t>
  </si>
  <si>
    <t xml:space="preserve">epalacios.ocp.@gmail.com </t>
  </si>
  <si>
    <t xml:space="preserve">KEMPERY-CUE-2398 </t>
  </si>
  <si>
    <t xml:space="preserve">MARIA LORENA </t>
  </si>
  <si>
    <t xml:space="preserve">PEÑA MONTERO </t>
  </si>
  <si>
    <t>0103259792</t>
  </si>
  <si>
    <t>0986975124</t>
  </si>
  <si>
    <t xml:space="preserve">lpena@sisantaines.com </t>
  </si>
  <si>
    <t>KEMPERY-CUE-2399</t>
  </si>
  <si>
    <t xml:space="preserve">JULIO FERNANDO </t>
  </si>
  <si>
    <t xml:space="preserve">MENDEZ PERALTA </t>
  </si>
  <si>
    <t>0103165297</t>
  </si>
  <si>
    <t>0979829536</t>
  </si>
  <si>
    <t xml:space="preserve">Pagaré de $400; vence 20 - 12 - 2025 </t>
  </si>
  <si>
    <t>KEMPERY -CUE-2400</t>
  </si>
  <si>
    <t xml:space="preserve">LUZ ESTHER </t>
  </si>
  <si>
    <t xml:space="preserve">NILES LOOR </t>
  </si>
  <si>
    <t>0914617881</t>
  </si>
  <si>
    <t>0994099795</t>
  </si>
  <si>
    <t>MS CORRIENTE PICH</t>
  </si>
  <si>
    <t xml:space="preserve">estherniles2@hotmail.com </t>
  </si>
  <si>
    <t>KEMPERY-CUE-2401</t>
  </si>
  <si>
    <t xml:space="preserve">IVAN PATRICIO </t>
  </si>
  <si>
    <t xml:space="preserve">DOMINGUEZ CALLE </t>
  </si>
  <si>
    <t>0101454833</t>
  </si>
  <si>
    <t>0967548585</t>
  </si>
  <si>
    <t xml:space="preserve">MS PROD CORRIENTE </t>
  </si>
  <si>
    <r>
      <t xml:space="preserve">Pagaré de $490; </t>
    </r>
    <r>
      <rPr>
        <sz val="11"/>
        <color rgb="FFEE0000"/>
        <rFont val="Aptos Narrow"/>
        <family val="2"/>
        <scheme val="minor"/>
      </rPr>
      <t xml:space="preserve">vence 26 - 06 - 2025 </t>
    </r>
  </si>
  <si>
    <t>KEMPERY-CUE-2402</t>
  </si>
  <si>
    <t xml:space="preserve">GALO RENE </t>
  </si>
  <si>
    <t xml:space="preserve">ORTEGA CAJAMARCA </t>
  </si>
  <si>
    <t>0105241418</t>
  </si>
  <si>
    <t>0979434474</t>
  </si>
  <si>
    <t xml:space="preserve">VS PICH CORRIENTE </t>
  </si>
  <si>
    <t xml:space="preserve">galoortega1@hotmatmail.com </t>
  </si>
  <si>
    <t xml:space="preserve">Pagaré de 1.290; vence 25 -09 - 2025 </t>
  </si>
  <si>
    <t>KEMPERY-CUE-2403</t>
  </si>
  <si>
    <t xml:space="preserve">JHON WILLIAM </t>
  </si>
  <si>
    <t xml:space="preserve">CHACA AGUIRRE </t>
  </si>
  <si>
    <t xml:space="preserve">0104251004 </t>
  </si>
  <si>
    <t>0968800816</t>
  </si>
  <si>
    <t xml:space="preserve">williamchaca2179@gmail.com </t>
  </si>
  <si>
    <t>KEMPERY-CUE-2404</t>
  </si>
  <si>
    <t xml:space="preserve">FAUSTO MARCELO </t>
  </si>
  <si>
    <t xml:space="preserve">MENDEZ ESPINOZA </t>
  </si>
  <si>
    <t>0105199533</t>
  </si>
  <si>
    <t>0980237934</t>
  </si>
  <si>
    <t xml:space="preserve">VS PROD CORRIENTE </t>
  </si>
  <si>
    <t xml:space="preserve">ing.marcelomendez@hotmail.com </t>
  </si>
  <si>
    <t>KEMPERY-CUE-2405</t>
  </si>
  <si>
    <t xml:space="preserve">LOURDES SUSANA </t>
  </si>
  <si>
    <t xml:space="preserve">PAIDA CUZCO </t>
  </si>
  <si>
    <t>0105080493</t>
  </si>
  <si>
    <t>0984467438</t>
  </si>
  <si>
    <t xml:space="preserve">MC PACF CORRIENTE </t>
  </si>
  <si>
    <t>luly_9012@hotmail.com</t>
  </si>
  <si>
    <t xml:space="preserve">YAKI </t>
  </si>
  <si>
    <t>KEMPERY-CUE-2406</t>
  </si>
  <si>
    <t xml:space="preserve">FRANKLIN JAVIER </t>
  </si>
  <si>
    <t xml:space="preserve">SUCONOTA LIMA </t>
  </si>
  <si>
    <t>0105532469</t>
  </si>
  <si>
    <t>0990903787</t>
  </si>
  <si>
    <t xml:space="preserve">franksuconota83@gmail.com </t>
  </si>
  <si>
    <t>KEMPERY-CUE-2407</t>
  </si>
  <si>
    <t xml:space="preserve">ELIZABETH YADIRA </t>
  </si>
  <si>
    <t xml:space="preserve">VICUÑA CAJI </t>
  </si>
  <si>
    <t>0302091772</t>
  </si>
  <si>
    <t>0998853578</t>
  </si>
  <si>
    <t>TC DINERS CLUB 24M</t>
  </si>
  <si>
    <t xml:space="preserve">yadieli1994@gmail.com </t>
  </si>
  <si>
    <t xml:space="preserve">SANTIAGO </t>
  </si>
  <si>
    <t>KEMPERY-CUE-2408</t>
  </si>
  <si>
    <t xml:space="preserve">JOSÉ ALBERTO </t>
  </si>
  <si>
    <t xml:space="preserve">GUADAMUD ROLDÁN </t>
  </si>
  <si>
    <t>1309673208</t>
  </si>
  <si>
    <t>0989457357</t>
  </si>
  <si>
    <t xml:space="preserve">MS PACF CORRIENTE </t>
  </si>
  <si>
    <t xml:space="preserve">KEMPERY-CUE-2409 </t>
  </si>
  <si>
    <t xml:space="preserve">JOSÉ LEONIDAS  </t>
  </si>
  <si>
    <t xml:space="preserve">NARVAEZ CHUQUI </t>
  </si>
  <si>
    <t>0103658563</t>
  </si>
  <si>
    <t>0980923970</t>
  </si>
  <si>
    <t xml:space="preserve">VS PROD Y MS CORRIENTE </t>
  </si>
  <si>
    <t xml:space="preserve">jnarvaez@hotmail.es </t>
  </si>
  <si>
    <t xml:space="preserve">ANAYS </t>
  </si>
  <si>
    <t xml:space="preserve">KMPRY-PTV-2410 </t>
  </si>
  <si>
    <t xml:space="preserve">DIEGO EFRAIN </t>
  </si>
  <si>
    <t xml:space="preserve">DEYNA RIVADENEIRA </t>
  </si>
  <si>
    <t xml:space="preserve">1310528011 </t>
  </si>
  <si>
    <t xml:space="preserve">LINK DE PAGO </t>
  </si>
  <si>
    <t xml:space="preserve">TC PROD CORRIENTE </t>
  </si>
  <si>
    <t xml:space="preserve">KMPRY-PTV-2411 </t>
  </si>
  <si>
    <t xml:space="preserve">MARÍA STEFANÍA </t>
  </si>
  <si>
    <t xml:space="preserve">VILLAPRADO CHÁVEZ </t>
  </si>
  <si>
    <t>1314036953</t>
  </si>
  <si>
    <t>0988986563</t>
  </si>
  <si>
    <t xml:space="preserve">stefania1209.sv@gmail.com </t>
  </si>
  <si>
    <t>KMPRY-PTV-2412</t>
  </si>
  <si>
    <t xml:space="preserve">JEISON STEEVEN </t>
  </si>
  <si>
    <t xml:space="preserve">HURTADO GARCÍA </t>
  </si>
  <si>
    <t>1313214007</t>
  </si>
  <si>
    <t>0984643875</t>
  </si>
  <si>
    <t xml:space="preserve">TC TITANIUM DIF24M </t>
  </si>
  <si>
    <t>jeisonshg@gmail.com</t>
  </si>
  <si>
    <t xml:space="preserve">JACKELINE </t>
  </si>
  <si>
    <t>KMPERY-PTV-2413</t>
  </si>
  <si>
    <t xml:space="preserve">WILLIAN LENIN </t>
  </si>
  <si>
    <t xml:space="preserve">MOREIRA MAJOJO </t>
  </si>
  <si>
    <t>1311625237</t>
  </si>
  <si>
    <t>0981181270</t>
  </si>
  <si>
    <t xml:space="preserve">mariadewilliams@hotmail.com </t>
  </si>
  <si>
    <t xml:space="preserve">LESLI </t>
  </si>
  <si>
    <t>KMPERY-PTV-2414</t>
  </si>
  <si>
    <t xml:space="preserve">LEONARDO ALFREDO </t>
  </si>
  <si>
    <t xml:space="preserve">VERA RIVERO </t>
  </si>
  <si>
    <t>1301938112</t>
  </si>
  <si>
    <t>0992329182</t>
  </si>
  <si>
    <t xml:space="preserve">PAYPHONE ZINDY </t>
  </si>
  <si>
    <t xml:space="preserve">TC MC PACF CORRIENTE </t>
  </si>
  <si>
    <t xml:space="preserve">lealveri@hotmail.com </t>
  </si>
  <si>
    <t>KMPERY-PTV-2415</t>
  </si>
  <si>
    <t xml:space="preserve">LUIS KEGMAR </t>
  </si>
  <si>
    <t xml:space="preserve">TORRES CUENCA </t>
  </si>
  <si>
    <t>1305258515</t>
  </si>
  <si>
    <t>0999153978</t>
  </si>
  <si>
    <t xml:space="preserve">kegmtor@hotmail.com </t>
  </si>
  <si>
    <r>
      <t xml:space="preserve">Pagaré de $1.700 - </t>
    </r>
    <r>
      <rPr>
        <sz val="11"/>
        <color rgb="FFEE0000"/>
        <rFont val="Aptos Narrow"/>
        <family val="2"/>
        <scheme val="minor"/>
      </rPr>
      <t>vence 03-07-25</t>
    </r>
  </si>
  <si>
    <t>KMPERY-PTV-2416</t>
  </si>
  <si>
    <t xml:space="preserve">MARÍA JACQUELINE </t>
  </si>
  <si>
    <t xml:space="preserve">PITA ASAN </t>
  </si>
  <si>
    <t>1303347312</t>
  </si>
  <si>
    <t>0981177471</t>
  </si>
  <si>
    <t xml:space="preserve">MS TITANIUM DIF24M </t>
  </si>
  <si>
    <t xml:space="preserve">bcqueline_asan1818@hotmail.com </t>
  </si>
  <si>
    <t xml:space="preserve">KMPERY-PTV-2417 </t>
  </si>
  <si>
    <t xml:space="preserve">MERCY MARISOL </t>
  </si>
  <si>
    <t xml:space="preserve">CASTRO PANTA </t>
  </si>
  <si>
    <t>1305423558</t>
  </si>
  <si>
    <t>0969857571</t>
  </si>
  <si>
    <t xml:space="preserve">EFECTIVO </t>
  </si>
  <si>
    <t xml:space="preserve">EFECTIVO TOTAL </t>
  </si>
  <si>
    <t xml:space="preserve">mercycastro2009@gmail.com </t>
  </si>
  <si>
    <t>KMPERY-PTV-2418</t>
  </si>
  <si>
    <t xml:space="preserve">GREGORIA DIANA </t>
  </si>
  <si>
    <t xml:space="preserve">MANTUANO ALUORA </t>
  </si>
  <si>
    <t>1311424483</t>
  </si>
  <si>
    <t>0939970103</t>
  </si>
  <si>
    <t xml:space="preserve">MC PICH DIF24M </t>
  </si>
  <si>
    <t xml:space="preserve">dianamontuano1983@gmail.com </t>
  </si>
  <si>
    <t xml:space="preserve">KMPERY-PTV-2419 </t>
  </si>
  <si>
    <t xml:space="preserve">ROQUE AGUSTIN </t>
  </si>
  <si>
    <t xml:space="preserve">MANZABA MORÁN </t>
  </si>
  <si>
    <t>1304093014</t>
  </si>
  <si>
    <t>0990338081</t>
  </si>
  <si>
    <t xml:space="preserve">MC PICH CORRIENTE </t>
  </si>
  <si>
    <t xml:space="preserve">roque1963manzaba@gmail.com </t>
  </si>
  <si>
    <t>KMPERY-PTV-2420</t>
  </si>
  <si>
    <t xml:space="preserve">JOSÉ GABRIEL </t>
  </si>
  <si>
    <t xml:space="preserve">OBANDO MENDOZA </t>
  </si>
  <si>
    <t>1303362071</t>
  </si>
  <si>
    <t>0987230158</t>
  </si>
  <si>
    <t xml:space="preserve">jg.obandomendoza@gmail.com </t>
  </si>
  <si>
    <t xml:space="preserve">CARLOS V </t>
  </si>
  <si>
    <t>CARLOS A</t>
  </si>
  <si>
    <t xml:space="preserve">KMPERY-PTV-2421 </t>
  </si>
  <si>
    <t xml:space="preserve">ALEX DUMAN </t>
  </si>
  <si>
    <t xml:space="preserve">ALCIVAR ANDRADE </t>
  </si>
  <si>
    <t>1307502257</t>
  </si>
  <si>
    <t>0998658272</t>
  </si>
  <si>
    <t xml:space="preserve">CRÉDITO DIRECTO </t>
  </si>
  <si>
    <t xml:space="preserve">alexduman74@yahoo.com </t>
  </si>
  <si>
    <t xml:space="preserve">Crédito Directo con la empresa - Mensualidades de $124,58 el 7 de cada mes x 24 cuotas </t>
  </si>
  <si>
    <t xml:space="preserve">KMPERY-PTV-2422 </t>
  </si>
  <si>
    <t xml:space="preserve">GEMA REBECA </t>
  </si>
  <si>
    <t xml:space="preserve">ERAS VÉLEZ </t>
  </si>
  <si>
    <t>1313727313</t>
  </si>
  <si>
    <t>0959796871</t>
  </si>
  <si>
    <t xml:space="preserve">TRANS PACIF </t>
  </si>
  <si>
    <t>gemaeras97@gmail.com</t>
  </si>
  <si>
    <t>KMPERY-STC-2423</t>
  </si>
  <si>
    <t xml:space="preserve">ALEXIS GERÓNIMO </t>
  </si>
  <si>
    <t xml:space="preserve">MOTA GARCÍA </t>
  </si>
  <si>
    <t>0912960119</t>
  </si>
  <si>
    <t>0996632590</t>
  </si>
  <si>
    <t xml:space="preserve">aluminonte3172@gmail.com </t>
  </si>
  <si>
    <t>Pagaré de $1.682 - desde el 13-07-25</t>
  </si>
  <si>
    <t>KMPERY-STC-2424</t>
  </si>
  <si>
    <t xml:space="preserve">NESTOR GABRIEL </t>
  </si>
  <si>
    <t xml:space="preserve">DE LA ROSA MEJILLÓN </t>
  </si>
  <si>
    <t>0924482896</t>
  </si>
  <si>
    <t>0990997610</t>
  </si>
  <si>
    <t xml:space="preserve">DATALINK TRAVELIN BROKERS </t>
  </si>
  <si>
    <t xml:space="preserve">MC PAC CT DATALINK </t>
  </si>
  <si>
    <t xml:space="preserve">ngdlrm@gmail.com </t>
  </si>
  <si>
    <t xml:space="preserve">DANIELA </t>
  </si>
  <si>
    <t xml:space="preserve">Pagaré de $301,01 </t>
  </si>
  <si>
    <t xml:space="preserve">KMPERY-STC-2425 </t>
  </si>
  <si>
    <t xml:space="preserve">MARK ANTHONY </t>
  </si>
  <si>
    <t xml:space="preserve">ORTIZ QUINDE </t>
  </si>
  <si>
    <t>2450393505</t>
  </si>
  <si>
    <t>0987854091</t>
  </si>
  <si>
    <t xml:space="preserve">VS BOL DATALINK - VS PICH </t>
  </si>
  <si>
    <t xml:space="preserve">marguito97@gmail.com </t>
  </si>
  <si>
    <t xml:space="preserve">JENNY </t>
  </si>
  <si>
    <t>KMPERY-STC-2426</t>
  </si>
  <si>
    <t xml:space="preserve">RAFAEL FRANCISCO </t>
  </si>
  <si>
    <t xml:space="preserve">TIGRERO ECHAIZ </t>
  </si>
  <si>
    <t>2400359614</t>
  </si>
  <si>
    <t>0961241779</t>
  </si>
  <si>
    <t>VS BGR CORR - DINERS CLUB 24M</t>
  </si>
  <si>
    <t xml:space="preserve">rafael.goble@gmail.com </t>
  </si>
  <si>
    <t xml:space="preserve">KMPERY-STC-2427 </t>
  </si>
  <si>
    <t xml:space="preserve">LISSETTE ELIANA </t>
  </si>
  <si>
    <t xml:space="preserve">CASTILLO SUAREZ </t>
  </si>
  <si>
    <t>2400094138</t>
  </si>
  <si>
    <t>0989140896</t>
  </si>
  <si>
    <t xml:space="preserve">MS POL CORRIENTE </t>
  </si>
  <si>
    <t xml:space="preserve">elias163126suarez@gmail.com </t>
  </si>
  <si>
    <t xml:space="preserve">KMPERY-STC-2428 </t>
  </si>
  <si>
    <t xml:space="preserve">ALCIADES PABLO </t>
  </si>
  <si>
    <t xml:space="preserve">BASTÓN CHAVEZ </t>
  </si>
  <si>
    <t>1303461253</t>
  </si>
  <si>
    <t>0986146691</t>
  </si>
  <si>
    <t xml:space="preserve">VS BOL CORR </t>
  </si>
  <si>
    <t xml:space="preserve">pablobarlon341@gmail.com </t>
  </si>
  <si>
    <t xml:space="preserve">JACKY </t>
  </si>
  <si>
    <t>Pagaré $650 desde 12-01-205</t>
  </si>
  <si>
    <t>KMPERY-LGQ-2429</t>
  </si>
  <si>
    <t xml:space="preserve">WILSON ELIAS </t>
  </si>
  <si>
    <t xml:space="preserve">QUISATASI RIVERA </t>
  </si>
  <si>
    <t>2100421458</t>
  </si>
  <si>
    <t>0979936267</t>
  </si>
  <si>
    <t xml:space="preserve">VS PACF CORRIENTE </t>
  </si>
  <si>
    <t xml:space="preserve">wilson_quisatasi@yphaoo.com </t>
  </si>
  <si>
    <t>KMPERY-LGQ-2430</t>
  </si>
  <si>
    <t xml:space="preserve">AIDE ESTEFANIA </t>
  </si>
  <si>
    <t xml:space="preserve">CANGO ABAD </t>
  </si>
  <si>
    <t>1106000043</t>
  </si>
  <si>
    <t>0959059884</t>
  </si>
  <si>
    <t xml:space="preserve">VS TITANIUM DIF24M </t>
  </si>
  <si>
    <t xml:space="preserve">aideabad97@gmail.com </t>
  </si>
  <si>
    <t>KMPERY-LGQ-2431</t>
  </si>
  <si>
    <t xml:space="preserve">GLORIA </t>
  </si>
  <si>
    <t xml:space="preserve">NAVARRO PEREZ </t>
  </si>
  <si>
    <t>1714398771</t>
  </si>
  <si>
    <t>0988391108</t>
  </si>
  <si>
    <t xml:space="preserve">DATALINK SOLUCIÓN IMPORTACIÓN ALBOLEO </t>
  </si>
  <si>
    <t xml:space="preserve">AMEX CORR DATALINK </t>
  </si>
  <si>
    <t xml:space="preserve">gloriamp1960@hotmail.com </t>
  </si>
  <si>
    <t>KMPERY-LGQ-2432</t>
  </si>
  <si>
    <t xml:space="preserve">JAMES JORDY </t>
  </si>
  <si>
    <t xml:space="preserve">COLCHA CAMPOVERDE </t>
  </si>
  <si>
    <t>2100951538</t>
  </si>
  <si>
    <t>0996926877</t>
  </si>
  <si>
    <t>MC PICHI CORRIE</t>
  </si>
  <si>
    <t xml:space="preserve">jamesjordycolcha@gmail.com </t>
  </si>
  <si>
    <t xml:space="preserve">Pagaré de $500 - vence 16 -01-2026 </t>
  </si>
  <si>
    <t>KMPERY-LGQ-2433</t>
  </si>
  <si>
    <t xml:space="preserve">DUVAL PATRICIO </t>
  </si>
  <si>
    <t xml:space="preserve">VARGAS ALARCÓN </t>
  </si>
  <si>
    <t>0201202892</t>
  </si>
  <si>
    <t>0981961102</t>
  </si>
  <si>
    <t xml:space="preserve">DINERS  CLUB DIF24M </t>
  </si>
  <si>
    <t xml:space="preserve">duvalvargas@gmail.com </t>
  </si>
  <si>
    <t>KMPERY-LGQ-2434</t>
  </si>
  <si>
    <t xml:space="preserve">JEYSSON GEOVANNY </t>
  </si>
  <si>
    <t xml:space="preserve">ALBÁN CAICEDO </t>
  </si>
  <si>
    <t>2100680053</t>
  </si>
  <si>
    <t>0997870856</t>
  </si>
  <si>
    <t xml:space="preserve">PAGARÉ </t>
  </si>
  <si>
    <t xml:space="preserve">jeysonalban95@hotmail.com </t>
  </si>
  <si>
    <t xml:space="preserve">YOSMARY </t>
  </si>
  <si>
    <t>Pagaré de $1569 - 25-07-25</t>
  </si>
  <si>
    <t>KMPERY-LGQ-2435</t>
  </si>
  <si>
    <t xml:space="preserve">MÓNICA SORAYA </t>
  </si>
  <si>
    <t xml:space="preserve">CORDOVA FUENTES </t>
  </si>
  <si>
    <t>0401648928</t>
  </si>
  <si>
    <t>0990918619</t>
  </si>
  <si>
    <t>monicaortizc28@gmail.com</t>
  </si>
  <si>
    <t>KMPERY-LGQ-2436</t>
  </si>
  <si>
    <t xml:space="preserve">CRISTIAN EVERNEY </t>
  </si>
  <si>
    <t xml:space="preserve">CUEVA PEÑA </t>
  </si>
  <si>
    <t>2100742887</t>
  </si>
  <si>
    <t>0993216726</t>
  </si>
  <si>
    <t xml:space="preserve">juliethgorriezruiz@gmail.com </t>
  </si>
  <si>
    <t>Pagaré de $757 - 17-01-26</t>
  </si>
  <si>
    <t xml:space="preserve">KMPERY-LGQ-2437 </t>
  </si>
  <si>
    <t xml:space="preserve">JOYCE LIZBETH </t>
  </si>
  <si>
    <t xml:space="preserve">TRUJILLO CARCHIPULLA </t>
  </si>
  <si>
    <t>2100681952</t>
  </si>
  <si>
    <t>0985257909</t>
  </si>
  <si>
    <t xml:space="preserve">joycetrujillo22@gmail.com </t>
  </si>
  <si>
    <t>Pagaré de $440 - 18-07-25</t>
  </si>
  <si>
    <t>KMPERY-LGQ-2438</t>
  </si>
  <si>
    <t xml:space="preserve">SOLIS VALAREZO </t>
  </si>
  <si>
    <t>1727130872</t>
  </si>
  <si>
    <t>0992829502</t>
  </si>
  <si>
    <t xml:space="preserve">DINERS CLUB DIF24M </t>
  </si>
  <si>
    <t xml:space="preserve">chsolis99@hotmail.com </t>
  </si>
  <si>
    <t>KMPERY-LGQ-2439</t>
  </si>
  <si>
    <t xml:space="preserve">MARLENE ESTHELA </t>
  </si>
  <si>
    <t xml:space="preserve">ROMERO QUINTANILLA </t>
  </si>
  <si>
    <t>0201186954</t>
  </si>
  <si>
    <t>0960278990</t>
  </si>
  <si>
    <t xml:space="preserve">VS BANC GYE CORR </t>
  </si>
  <si>
    <t xml:space="preserve">marleneromero2009@hotmail.com </t>
  </si>
  <si>
    <t>KMPERY-LGQ-2440</t>
  </si>
  <si>
    <t xml:space="preserve">GEOVANNY PATRICIO </t>
  </si>
  <si>
    <t xml:space="preserve">BARRIONUEVO FLORES </t>
  </si>
  <si>
    <t>1802852283</t>
  </si>
  <si>
    <t>0981268215</t>
  </si>
  <si>
    <t xml:space="preserve">VS TITANIUM CORR Y VS TITANIUM DIF12M </t>
  </si>
  <si>
    <t xml:space="preserve">patriciof1974@hotmail.com </t>
  </si>
  <si>
    <t>Pagaré de $3,500 - a partir del 15-08-25</t>
  </si>
  <si>
    <t>KMPERY-LGQ-2441</t>
  </si>
  <si>
    <t xml:space="preserve">LUIS JAVIER </t>
  </si>
  <si>
    <t xml:space="preserve">MADRID RODRÍGUEZ </t>
  </si>
  <si>
    <t>1003795141</t>
  </si>
  <si>
    <t>0982004732</t>
  </si>
  <si>
    <t xml:space="preserve">DINERS CLUB CORR - DINERS CLUB DIF 24M </t>
  </si>
  <si>
    <t xml:space="preserve">madridjavier2505@gmail.com </t>
  </si>
  <si>
    <t xml:space="preserve">Pagaré de $1,557 a partir del 15-01-26 </t>
  </si>
  <si>
    <t>KMPERY-GYE-2442</t>
  </si>
  <si>
    <t xml:space="preserve">BRYON FERNANDO </t>
  </si>
  <si>
    <t xml:space="preserve">AVILES CHIRIBOGA </t>
  </si>
  <si>
    <t>0932080591</t>
  </si>
  <si>
    <t>0988315866</t>
  </si>
  <si>
    <t>MC BOL DATALINK CORR</t>
  </si>
  <si>
    <t xml:space="preserve">bryonavilesch@gmail.com </t>
  </si>
  <si>
    <t xml:space="preserve">Pagaré de $650 a partir de 22-01-26 </t>
  </si>
  <si>
    <t>KMPERY-GYE-2443</t>
  </si>
  <si>
    <t xml:space="preserve">JOEL PATRICIO </t>
  </si>
  <si>
    <t xml:space="preserve">CUEVA PLUG  </t>
  </si>
  <si>
    <t>0953344249</t>
  </si>
  <si>
    <t>0990214316</t>
  </si>
  <si>
    <t xml:space="preserve">joelcuevap@gmaimail.com </t>
  </si>
  <si>
    <t>KMPERY-GYE-2444</t>
  </si>
  <si>
    <t xml:space="preserve">ALLISSON CRISTINA </t>
  </si>
  <si>
    <t xml:space="preserve">GONZALEZ GAMBOA </t>
  </si>
  <si>
    <t>0929249985</t>
  </si>
  <si>
    <t>0960643983</t>
  </si>
  <si>
    <t xml:space="preserve">VS BANC MACHALA CORR </t>
  </si>
  <si>
    <t xml:space="preserve">cris-gonzalez@outlook.es </t>
  </si>
  <si>
    <t>KMPERY-GYE-2445</t>
  </si>
  <si>
    <t xml:space="preserve">PATRICIO DAVID </t>
  </si>
  <si>
    <t xml:space="preserve">REQUELME </t>
  </si>
  <si>
    <t>0907428940</t>
  </si>
  <si>
    <t>0988631645</t>
  </si>
  <si>
    <t xml:space="preserve">MC INTER CORR </t>
  </si>
  <si>
    <t xml:space="preserve">davidrequelme@outlook.com </t>
  </si>
  <si>
    <t>KMPERY-GYE-2446</t>
  </si>
  <si>
    <t xml:space="preserve">UVALDO CONSTANCIO </t>
  </si>
  <si>
    <t xml:space="preserve">QUINTO ROMAN </t>
  </si>
  <si>
    <t>0915551899</t>
  </si>
  <si>
    <t>0967723315</t>
  </si>
  <si>
    <t xml:space="preserve">VS BANC INTER CORR </t>
  </si>
  <si>
    <t xml:space="preserve">quintoivan160@gmail.com </t>
  </si>
  <si>
    <t>KMPERY-GYE-2447</t>
  </si>
  <si>
    <t xml:space="preserve">JEFFERSON ANDRÉS </t>
  </si>
  <si>
    <t xml:space="preserve">CASTILLO LUVICOTA </t>
  </si>
  <si>
    <t>0604665950</t>
  </si>
  <si>
    <t>0960043914</t>
  </si>
  <si>
    <t xml:space="preserve">DINERS CLUB DIF24M - MC PICH CORR </t>
  </si>
  <si>
    <t xml:space="preserve">dillivicota@gmail.com </t>
  </si>
  <si>
    <t>KMPERY-GYE-2448</t>
  </si>
  <si>
    <t xml:space="preserve">MARÍA EUGENIA </t>
  </si>
  <si>
    <t>VILLAREAL VALENCIA</t>
  </si>
  <si>
    <t>0905607750</t>
  </si>
  <si>
    <t>0997191319</t>
  </si>
  <si>
    <t>VISA BOLIVARIANO CORR F</t>
  </si>
  <si>
    <t xml:space="preserve">mariaeugeniavullareal@gmail.com </t>
  </si>
  <si>
    <t xml:space="preserve">KMPERY-GYE-2449 </t>
  </si>
  <si>
    <t xml:space="preserve">SELENA ESPAÑA </t>
  </si>
  <si>
    <t xml:space="preserve">PÉREZ ARREGLO </t>
  </si>
  <si>
    <t>0912824497</t>
  </si>
  <si>
    <t>0981013279</t>
  </si>
  <si>
    <t xml:space="preserve">MC PAC CORRI DATALINK </t>
  </si>
  <si>
    <t xml:space="preserve">selenaperez-25@hotmail.com </t>
  </si>
  <si>
    <t xml:space="preserve">SELENA </t>
  </si>
  <si>
    <t xml:space="preserve">Pagado - Ayudar al cliente a diferir - Certificado Internacional para Punta Cana o Panamá  </t>
  </si>
  <si>
    <t xml:space="preserve">KMPERY-GYE-2450 </t>
  </si>
  <si>
    <t xml:space="preserve">EDGAR JOSUÉ </t>
  </si>
  <si>
    <t xml:space="preserve">FRANCOS REYES </t>
  </si>
  <si>
    <t>0932178767</t>
  </si>
  <si>
    <t>0939499587</t>
  </si>
  <si>
    <t xml:space="preserve">josuefranco555@gmail.com </t>
  </si>
  <si>
    <t>KMPERY-GYE-2451</t>
  </si>
  <si>
    <t xml:space="preserve">LECTY AZUCENA </t>
  </si>
  <si>
    <t xml:space="preserve">MACÍAS </t>
  </si>
  <si>
    <t>1303963738</t>
  </si>
  <si>
    <t>0968126846</t>
  </si>
  <si>
    <t xml:space="preserve">DATA TRAVELING BROKERS </t>
  </si>
  <si>
    <t xml:space="preserve">VS PROD CORR </t>
  </si>
  <si>
    <t xml:space="preserve">lectymacias@gmail.com </t>
  </si>
  <si>
    <t>KMPERY-GYE-2452</t>
  </si>
  <si>
    <t xml:space="preserve">FATIMA DEL ROCÍO </t>
  </si>
  <si>
    <t xml:space="preserve">ASQUI SALTO </t>
  </si>
  <si>
    <t>0912841863</t>
  </si>
  <si>
    <t>0986980692</t>
  </si>
  <si>
    <t xml:space="preserve">DINERS CLUB </t>
  </si>
  <si>
    <t xml:space="preserve">fasqui6@gmail.com </t>
  </si>
  <si>
    <t>KMPERY-GYE-2453</t>
  </si>
  <si>
    <t xml:space="preserve">GINA ROCIO </t>
  </si>
  <si>
    <t xml:space="preserve">BAIDAL MERA </t>
  </si>
  <si>
    <t>0909472060</t>
  </si>
  <si>
    <t>0998836378</t>
  </si>
  <si>
    <t xml:space="preserve">gibai0265@gmail.com </t>
  </si>
  <si>
    <t>KMPERY-GYE-2454</t>
  </si>
  <si>
    <t xml:space="preserve">EMELY LISSETTE </t>
  </si>
  <si>
    <t xml:space="preserve">ZAMORA BROWN </t>
  </si>
  <si>
    <t>0929733996</t>
  </si>
  <si>
    <t>0968191632</t>
  </si>
  <si>
    <t>DINERS CLUB - VS BOLIV</t>
  </si>
  <si>
    <t xml:space="preserve">stb-90@hotmail.com </t>
  </si>
  <si>
    <t xml:space="preserve">Pagado - Anulación de pagaré otra empresa </t>
  </si>
  <si>
    <t>KMPERY-GYE-2455</t>
  </si>
  <si>
    <t xml:space="preserve">MARCELINO ERASMO </t>
  </si>
  <si>
    <t xml:space="preserve">CANDELARIO MAGALLONES </t>
  </si>
  <si>
    <t>0908607823</t>
  </si>
  <si>
    <t>0997543114</t>
  </si>
  <si>
    <t xml:space="preserve">marcelinocandebio1965@gmail.com </t>
  </si>
  <si>
    <t>KMPRY-GYE-2456</t>
  </si>
  <si>
    <t xml:space="preserve">HUGO FABRIZIO </t>
  </si>
  <si>
    <t xml:space="preserve">CASTRO BERMELLO </t>
  </si>
  <si>
    <t>0911589323</t>
  </si>
  <si>
    <t>0996382624</t>
  </si>
  <si>
    <t xml:space="preserve">TRANSFERENCIA </t>
  </si>
  <si>
    <t xml:space="preserve">fabriziocastrob.3@gmail,com </t>
  </si>
  <si>
    <t xml:space="preserve">FRANCISCO </t>
  </si>
  <si>
    <t>KMPRY-GYE-2457</t>
  </si>
  <si>
    <t xml:space="preserve">MELISSA NICOLE </t>
  </si>
  <si>
    <t xml:space="preserve">HURTADO ORIZLIPI </t>
  </si>
  <si>
    <t>0105702765</t>
  </si>
  <si>
    <t>0958901279</t>
  </si>
  <si>
    <t xml:space="preserve">VS TITAN DIF24M </t>
  </si>
  <si>
    <t xml:space="preserve">melissahurtado12@gmail.com </t>
  </si>
  <si>
    <t>KMPRY-GYE-2458</t>
  </si>
  <si>
    <t xml:space="preserve">FELIX GILBERTO </t>
  </si>
  <si>
    <t xml:space="preserve">PERALTA BANCHÓN </t>
  </si>
  <si>
    <t>0914949961</t>
  </si>
  <si>
    <t>0961030730</t>
  </si>
  <si>
    <t xml:space="preserve">LINK DE PAGO ISS </t>
  </si>
  <si>
    <t>VS AUSTRO CORR</t>
  </si>
  <si>
    <t xml:space="preserve">peraltabanchonfelix@gmail.com </t>
  </si>
  <si>
    <t xml:space="preserve">LINK DE PAGO - ISS / SEMANA INTERNACIONAL. EL CLIENTE PAGA SUS IMPUESTOS PARA EL USO DE LA CORTESIA </t>
  </si>
  <si>
    <t xml:space="preserve">KMPRY-GYE-2459 </t>
  </si>
  <si>
    <t xml:space="preserve">ROCIO ISABEL </t>
  </si>
  <si>
    <t xml:space="preserve">MURILLO FIGUEROA </t>
  </si>
  <si>
    <t>0923259364</t>
  </si>
  <si>
    <t>0967966343</t>
  </si>
  <si>
    <t xml:space="preserve">VS TITAN DIF24M / MC PACIF </t>
  </si>
  <si>
    <t xml:space="preserve">isabel-98261@hotmail.com </t>
  </si>
  <si>
    <t xml:space="preserve">Pagado - Payphone Zindy </t>
  </si>
  <si>
    <t>KMPRY-MCH-2460</t>
  </si>
  <si>
    <t xml:space="preserve">JASMANY ALBERTO </t>
  </si>
  <si>
    <t xml:space="preserve">MEJÍA ARMIJOS </t>
  </si>
  <si>
    <t>0703866889</t>
  </si>
  <si>
    <t>0996763314</t>
  </si>
  <si>
    <t xml:space="preserve">VS BNC RUMIÑAHUI CORR </t>
  </si>
  <si>
    <t xml:space="preserve">paracapatran1980@hotmail.com </t>
  </si>
  <si>
    <t xml:space="preserve">Pagado en su totalidad </t>
  </si>
  <si>
    <t>KMPRY-MCH-2461</t>
  </si>
  <si>
    <t xml:space="preserve">ANA LIZZETH </t>
  </si>
  <si>
    <t xml:space="preserve">CRESPO LARGO </t>
  </si>
  <si>
    <t>0705287233</t>
  </si>
  <si>
    <t>0986775342</t>
  </si>
  <si>
    <t xml:space="preserve">anacrespo407@gmail.com </t>
  </si>
  <si>
    <t>KMPRY-MCH-2462</t>
  </si>
  <si>
    <t xml:space="preserve">SARAYA ARGENTINA </t>
  </si>
  <si>
    <t xml:space="preserve">CABRERA CHALEN </t>
  </si>
  <si>
    <t>0703333393</t>
  </si>
  <si>
    <t>0959591350</t>
  </si>
  <si>
    <t xml:space="preserve">VS COOP JEP CORR </t>
  </si>
  <si>
    <t xml:space="preserve">sorayita-252003@hotmail.com </t>
  </si>
  <si>
    <t>KMPRY-MCH-2463</t>
  </si>
  <si>
    <t xml:space="preserve">LAUTERIA DAYSI </t>
  </si>
  <si>
    <t xml:space="preserve">CAMPUZANO VELIZ </t>
  </si>
  <si>
    <t xml:space="preserve">0701441438 </t>
  </si>
  <si>
    <t>0999373674</t>
  </si>
  <si>
    <t xml:space="preserve">lauteria29cv@gmail.com </t>
  </si>
  <si>
    <t xml:space="preserve">YOSMANY </t>
  </si>
  <si>
    <t>Debe $700 y pagará en 24 cuotas de $23,26</t>
  </si>
  <si>
    <t>KMPRY-MCH-2464</t>
  </si>
  <si>
    <t xml:space="preserve">CUENCA LAPO </t>
  </si>
  <si>
    <t>0750124950</t>
  </si>
  <si>
    <t>0989213802</t>
  </si>
  <si>
    <t xml:space="preserve">DINERS CLUB DIF 24M </t>
  </si>
  <si>
    <t xml:space="preserve">ifcuenca7@gmail.com </t>
  </si>
  <si>
    <t>KMPRY-MCH-2465</t>
  </si>
  <si>
    <t xml:space="preserve">TANIA ELIZABETH </t>
  </si>
  <si>
    <t xml:space="preserve">ESMERALDA PATA </t>
  </si>
  <si>
    <t>0704218650</t>
  </si>
  <si>
    <t>0989714316</t>
  </si>
  <si>
    <t xml:space="preserve">TC DISCOVER MOD DIF 24M </t>
  </si>
  <si>
    <t xml:space="preserve">dfgc2023@gmail.com </t>
  </si>
  <si>
    <t>KMPRY-MCH-2466</t>
  </si>
  <si>
    <t xml:space="preserve">ANTHONY PAUL </t>
  </si>
  <si>
    <t xml:space="preserve">VILLAVICENCIO PARRALES </t>
  </si>
  <si>
    <t>0750508772</t>
  </si>
  <si>
    <t>0959943510</t>
  </si>
  <si>
    <t>KEMPERY - ARBOLEADA</t>
  </si>
  <si>
    <t>VS TITANIUM DIF12M</t>
  </si>
  <si>
    <t xml:space="preserve">paulvillavicencio64@gmail.com </t>
  </si>
  <si>
    <t xml:space="preserve">Pagaré $300 - 07-10-25 - Datalink Importadora </t>
  </si>
  <si>
    <t>KMPRY-MCH-2467</t>
  </si>
  <si>
    <t xml:space="preserve">NURIA LISBETH </t>
  </si>
  <si>
    <t xml:space="preserve">MACHUCA VALAREZO </t>
  </si>
  <si>
    <t>0705281566</t>
  </si>
  <si>
    <t>0980693397</t>
  </si>
  <si>
    <t xml:space="preserve">VS TITANIUM DIF 12 MESES </t>
  </si>
  <si>
    <t xml:space="preserve">nurilisbethh@gmail.com </t>
  </si>
  <si>
    <t xml:space="preserve">Pagaré $300 - 07-10-25 </t>
  </si>
  <si>
    <t>KMPRY-MCH-2468</t>
  </si>
  <si>
    <t xml:space="preserve">BORYS PATRICIO </t>
  </si>
  <si>
    <t xml:space="preserve">ORTIZ RAMOS </t>
  </si>
  <si>
    <t>0704164342</t>
  </si>
  <si>
    <t>0990407142</t>
  </si>
  <si>
    <t xml:space="preserve">boryslexcarpos@hotmail.com </t>
  </si>
  <si>
    <t xml:space="preserve">Pagaré de $1500 - a partir de 08 feb 2026 </t>
  </si>
  <si>
    <t>KMPRY-MCH-2469</t>
  </si>
  <si>
    <t xml:space="preserve">ERIKA ESTHEFANIA </t>
  </si>
  <si>
    <t xml:space="preserve">DIAZ MACAO </t>
  </si>
  <si>
    <t>2100395363</t>
  </si>
  <si>
    <t>0999310534</t>
  </si>
  <si>
    <t xml:space="preserve">MS PACIF CORR </t>
  </si>
  <si>
    <t xml:space="preserve">erikita-16@hotmail.com </t>
  </si>
  <si>
    <t>KMPRY-MCH-2470</t>
  </si>
  <si>
    <t xml:space="preserve">CARLOS ALBERTO </t>
  </si>
  <si>
    <t xml:space="preserve">OJEDA PINARGOTE </t>
  </si>
  <si>
    <t>0702596446</t>
  </si>
  <si>
    <t>0982832012</t>
  </si>
  <si>
    <t xml:space="preserve">VS TITA DIF 24M - DINERS DIF 24M </t>
  </si>
  <si>
    <t xml:space="preserve">Pagado - Se asumen 4 cuotas $140 - pedir al cliente cuenta bancaria y ayudar a diferir de 24 a 36 cuotas </t>
  </si>
  <si>
    <t>KMPRY-MCH-2471</t>
  </si>
  <si>
    <t xml:space="preserve">MANUEL ESTEBAN </t>
  </si>
  <si>
    <t xml:space="preserve">VERA MERA </t>
  </si>
  <si>
    <t>0801211756</t>
  </si>
  <si>
    <t>0988495669</t>
  </si>
  <si>
    <t xml:space="preserve">MC PACIF CORR PAYPHONE </t>
  </si>
  <si>
    <t xml:space="preserve">stevanv-@outlook.es </t>
  </si>
  <si>
    <t xml:space="preserve">Pagaré de $700 - 08 de nov del 2025 - Payphone Zindy </t>
  </si>
  <si>
    <t>KMPRY-MCH-2472</t>
  </si>
  <si>
    <t xml:space="preserve">JESSICA JANNINA </t>
  </si>
  <si>
    <t xml:space="preserve">AÑAZCO TENICELA </t>
  </si>
  <si>
    <t>0703319756</t>
  </si>
  <si>
    <t>0987472036</t>
  </si>
  <si>
    <t xml:space="preserve">MC PACIF CORR DATALINK </t>
  </si>
  <si>
    <t xml:space="preserve">jessica.anazco1@hotmail.com </t>
  </si>
  <si>
    <t>KMPRY-AMB-2473</t>
  </si>
  <si>
    <t xml:space="preserve">PASCUAL RAMIRO </t>
  </si>
  <si>
    <t xml:space="preserve">CRIOLLO TIPANTAXI </t>
  </si>
  <si>
    <t>0503603581</t>
  </si>
  <si>
    <t>0969786655</t>
  </si>
  <si>
    <t xml:space="preserve">DATALINk IMP ARBOLEADA/PAYPHONE ZINDY </t>
  </si>
  <si>
    <t xml:space="preserve">ramiro89criollo@hotmail.com </t>
  </si>
  <si>
    <t xml:space="preserve">Pagaré $990 - pago desde 12-08-2026 - Datalink Imp. Arboleada/ Payphone Zindy </t>
  </si>
  <si>
    <t>KMPRY-AMB-2474</t>
  </si>
  <si>
    <t xml:space="preserve">JAVIER EDUARDO </t>
  </si>
  <si>
    <t xml:space="preserve">ACOSTA VINUERA </t>
  </si>
  <si>
    <t>1705241568</t>
  </si>
  <si>
    <t>0978608719</t>
  </si>
  <si>
    <t xml:space="preserve">HOSTELERÍA LA ANDALUZA </t>
  </si>
  <si>
    <t xml:space="preserve">AMERICAN EXPRESS CORRIENTE </t>
  </si>
  <si>
    <t xml:space="preserve">vinuezae98@gmail.com </t>
  </si>
  <si>
    <t>Pagaré $300 - 13 de agosto del 2026</t>
  </si>
  <si>
    <t>KMPRY-AMB-2475</t>
  </si>
  <si>
    <t>LUIS ALFREDO</t>
  </si>
  <si>
    <t xml:space="preserve">PULLUTASING POALIZA </t>
  </si>
  <si>
    <t>1802157758</t>
  </si>
  <si>
    <t>0989034860</t>
  </si>
  <si>
    <t xml:space="preserve">MC PACIFICARD CORR </t>
  </si>
  <si>
    <t xml:space="preserve">Pagaré de $2490 - 13 de noviembre 2025. Punta Cana se entrega y se usa al terminar el pagaré. </t>
  </si>
  <si>
    <t>KMPRY-AMB-2476</t>
  </si>
  <si>
    <t xml:space="preserve">JOSÉ ANTONIO </t>
  </si>
  <si>
    <t xml:space="preserve">CHIFLA FLORES </t>
  </si>
  <si>
    <t>1600345092</t>
  </si>
  <si>
    <t>0961262568</t>
  </si>
  <si>
    <t xml:space="preserve">VS PICH MOD CORRIENTE </t>
  </si>
  <si>
    <t xml:space="preserve">joseantonio-chf@outlook.es </t>
  </si>
  <si>
    <t xml:space="preserve">KMPRY-AMB-2477 </t>
  </si>
  <si>
    <t xml:space="preserve">EDUARDO ENRIQUE </t>
  </si>
  <si>
    <t xml:space="preserve">CASTRO LÓPEZ </t>
  </si>
  <si>
    <t>1801179662</t>
  </si>
  <si>
    <t>0998408045</t>
  </si>
  <si>
    <t xml:space="preserve">VS INTERNACIONAL </t>
  </si>
  <si>
    <t xml:space="preserve">edel0154@outlook.es </t>
  </si>
  <si>
    <t xml:space="preserve">KMPRY-AMB-2478 </t>
  </si>
  <si>
    <t xml:space="preserve">JOHANNA JACQUELINE </t>
  </si>
  <si>
    <t xml:space="preserve">SIGUENCIA RIERA </t>
  </si>
  <si>
    <t>1804099636</t>
  </si>
  <si>
    <t>0992963578</t>
  </si>
  <si>
    <t xml:space="preserve">jacqueriera91@gmail.com </t>
  </si>
  <si>
    <t xml:space="preserve">Pagaré de $700 - 15 de agosto del 2025 </t>
  </si>
  <si>
    <t xml:space="preserve">KMPRY-AMB-2479 </t>
  </si>
  <si>
    <t xml:space="preserve">RITTA RAQUEL </t>
  </si>
  <si>
    <t xml:space="preserve">RAMOS ROSADO </t>
  </si>
  <si>
    <t>1803640539</t>
  </si>
  <si>
    <t>0995397158</t>
  </si>
  <si>
    <t xml:space="preserve">riquel@hotmail.com </t>
  </si>
  <si>
    <t>KMPRY-RBM-2480</t>
  </si>
  <si>
    <t xml:space="preserve">MARIO EFRAIN </t>
  </si>
  <si>
    <t xml:space="preserve">SILVA VELASTEGUÍ </t>
  </si>
  <si>
    <t>0601994825</t>
  </si>
  <si>
    <t>0984562120</t>
  </si>
  <si>
    <t xml:space="preserve">DEPOSITO </t>
  </si>
  <si>
    <t xml:space="preserve">DEPOSITO DIRECTO PICHINCHA </t>
  </si>
  <si>
    <t xml:space="preserve">mariovelastegui18@gmail.com </t>
  </si>
  <si>
    <t>KMPRY-CUE-2481</t>
  </si>
  <si>
    <t xml:space="preserve">VÍCTOR ERNESTO </t>
  </si>
  <si>
    <t xml:space="preserve">MUÑOZ ACOSTA </t>
  </si>
  <si>
    <t>0902452168</t>
  </si>
  <si>
    <t>0984014186</t>
  </si>
  <si>
    <t>KEMPERY-PAYPHONE ISS</t>
  </si>
  <si>
    <t xml:space="preserve">VS AUSTRO PAYPHONE CORR - VS AUSTRO CORR </t>
  </si>
  <si>
    <t xml:space="preserve">evm926@gmail.com </t>
  </si>
  <si>
    <t xml:space="preserve">KMPRY-CUE-2482 </t>
  </si>
  <si>
    <t xml:space="preserve">DENNIS FERNANDO </t>
  </si>
  <si>
    <t xml:space="preserve">COBOS VEGA </t>
  </si>
  <si>
    <t>0105830640</t>
  </si>
  <si>
    <t>0995036964</t>
  </si>
  <si>
    <t xml:space="preserve">VS TITANIUM DIF 24M </t>
  </si>
  <si>
    <t xml:space="preserve">denniscv11@hotmail.com </t>
  </si>
  <si>
    <t>KMPRY-CUE-2483</t>
  </si>
  <si>
    <t xml:space="preserve">JAVIER REINALDO </t>
  </si>
  <si>
    <t xml:space="preserve">ARMIJOS CÓRDOVA </t>
  </si>
  <si>
    <t>0102768389</t>
  </si>
  <si>
    <t>0981324256</t>
  </si>
  <si>
    <t xml:space="preserve">VS TITANIUM DIF - MC PACIF CORR </t>
  </si>
  <si>
    <t xml:space="preserve">javiereinaldo@outlook.es </t>
  </si>
  <si>
    <t>KMPRY-CUE-2484</t>
  </si>
  <si>
    <t xml:space="preserve">HENRY MAURICIO </t>
  </si>
  <si>
    <t xml:space="preserve">VÁSQUEZ ILLESCAS </t>
  </si>
  <si>
    <t>0102652161</t>
  </si>
  <si>
    <t>0987503147</t>
  </si>
  <si>
    <t xml:space="preserve">TC DINERS CLUB DIF24M </t>
  </si>
  <si>
    <t xml:space="preserve">mauriciovasquei@hotmail.com </t>
  </si>
  <si>
    <t>KMPRY-CUE-2485</t>
  </si>
  <si>
    <t xml:space="preserve">CARLOS SANTIAGO </t>
  </si>
  <si>
    <t xml:space="preserve">BACUILIMA AREVALO </t>
  </si>
  <si>
    <t>0102108982</t>
  </si>
  <si>
    <t>0987636743</t>
  </si>
  <si>
    <t xml:space="preserve">VS PACIF CORR DATALINK </t>
  </si>
  <si>
    <t xml:space="preserve">carlosbucuilima@hotmail.com </t>
  </si>
  <si>
    <t>KMPRY-CUE-2486</t>
  </si>
  <si>
    <t xml:space="preserve">MARIANA DE JESÚS </t>
  </si>
  <si>
    <t xml:space="preserve">OROZCO NAREA </t>
  </si>
  <si>
    <t>0102379062</t>
  </si>
  <si>
    <t>0999061282</t>
  </si>
  <si>
    <t xml:space="preserve">vpillco953@gmail.com </t>
  </si>
  <si>
    <t>KMPRY-CUE-2487</t>
  </si>
  <si>
    <t xml:space="preserve">JONATHAN ROLANDO </t>
  </si>
  <si>
    <t xml:space="preserve">LOJA PIZARRO </t>
  </si>
  <si>
    <t>0905020291</t>
  </si>
  <si>
    <t>0996253430</t>
  </si>
  <si>
    <t>MC COOP JEP CORR</t>
  </si>
  <si>
    <t xml:space="preserve">gatol-89@hotmail.com </t>
  </si>
  <si>
    <t xml:space="preserve">ACEVEDO </t>
  </si>
  <si>
    <t xml:space="preserve">KMPRY-AZG-2488 </t>
  </si>
  <si>
    <t xml:space="preserve">DIANA PATRICIA </t>
  </si>
  <si>
    <t xml:space="preserve">ZHININ GOMEZ </t>
  </si>
  <si>
    <t>0301651360</t>
  </si>
  <si>
    <t>0983269699</t>
  </si>
  <si>
    <t xml:space="preserve">ISS KEMPERY </t>
  </si>
  <si>
    <t xml:space="preserve">VS AUSTRO ISS CORR </t>
  </si>
  <si>
    <t xml:space="preserve">dianazhinin66@gmail.com </t>
  </si>
  <si>
    <t>KMPRY-AZG-2489</t>
  </si>
  <si>
    <t xml:space="preserve">JOSÉ RODOLFO </t>
  </si>
  <si>
    <t xml:space="preserve">TENESACA ANDRADE </t>
  </si>
  <si>
    <t>0801090494</t>
  </si>
  <si>
    <t>0984274871</t>
  </si>
  <si>
    <t xml:space="preserve">trenesacaandrade@yahoo.es </t>
  </si>
  <si>
    <t xml:space="preserve">Pagó $1000 </t>
  </si>
  <si>
    <t xml:space="preserve">      23/08//2025 </t>
  </si>
  <si>
    <t>KMPRY-AZG-2490</t>
  </si>
  <si>
    <t xml:space="preserve">NELSON HONORATO </t>
  </si>
  <si>
    <t xml:space="preserve">NAULA ORTEGA </t>
  </si>
  <si>
    <t>0301372835</t>
  </si>
  <si>
    <t>1715298715</t>
  </si>
  <si>
    <t xml:space="preserve">naulanelson1974@gmail.com </t>
  </si>
  <si>
    <t>Pagaré $1250 - 25 de agosto del 2025</t>
  </si>
  <si>
    <t>KMPRY-LOH-2491</t>
  </si>
  <si>
    <t xml:space="preserve">JOHANNA ELIZABETH </t>
  </si>
  <si>
    <t xml:space="preserve">CORONEL ALULIMA </t>
  </si>
  <si>
    <t>1104675390</t>
  </si>
  <si>
    <t>0981967996</t>
  </si>
  <si>
    <t xml:space="preserve">VS TITANIUM DIFERIDO 24M </t>
  </si>
  <si>
    <t xml:space="preserve">jerocoronel17@gmail.com </t>
  </si>
  <si>
    <t>Pagaré $300 - 26 de agosto del 2026</t>
  </si>
  <si>
    <t xml:space="preserve">KMPRY-LOH-2492 </t>
  </si>
  <si>
    <t xml:space="preserve">CRISTIAN BLADIMIR </t>
  </si>
  <si>
    <t xml:space="preserve">GUACHIZACA CAPA </t>
  </si>
  <si>
    <t>1104200371</t>
  </si>
  <si>
    <t>0939080575</t>
  </si>
  <si>
    <t xml:space="preserve">guachizaracristian85@gmail.com </t>
  </si>
  <si>
    <t xml:space="preserve">Pagaré pendiente </t>
  </si>
  <si>
    <t>KMPRY-LOH-2493</t>
  </si>
  <si>
    <t xml:space="preserve">ARELIS DAYANARA </t>
  </si>
  <si>
    <t xml:space="preserve">GONZALEZ ONCE </t>
  </si>
  <si>
    <t xml:space="preserve">ALEJANDRO -DANIEL </t>
  </si>
  <si>
    <t>KMPRY-LOH-2494</t>
  </si>
  <si>
    <t xml:space="preserve">NIXON IVÁN </t>
  </si>
  <si>
    <t xml:space="preserve">LUDEÑA PRECIADO </t>
  </si>
  <si>
    <t>1105161713</t>
  </si>
  <si>
    <t>0960750679</t>
  </si>
  <si>
    <t xml:space="preserve">TC VISA COOP JEP CORR </t>
  </si>
  <si>
    <t xml:space="preserve">nick15lude@gmail.com </t>
  </si>
  <si>
    <t xml:space="preserve">Pagaré $450 - 15 de diciembre del 2025 </t>
  </si>
  <si>
    <t>KMPRY-LOH-2495</t>
  </si>
  <si>
    <t xml:space="preserve">MELANIO ANIVAL </t>
  </si>
  <si>
    <t xml:space="preserve">RENGEL RUIZ </t>
  </si>
  <si>
    <t>1101974457</t>
  </si>
  <si>
    <t>0994813787</t>
  </si>
  <si>
    <t xml:space="preserve">VS BANC PICH CORR/ VS JEP CORR LINK DE PAGO </t>
  </si>
  <si>
    <t xml:space="preserve">marengelruiz@yahoo.es </t>
  </si>
  <si>
    <t xml:space="preserve">Pagado/Kempery asume 2 cuotas </t>
  </si>
  <si>
    <t>KMPRY-LOH-2496</t>
  </si>
  <si>
    <t xml:space="preserve">BRYAN JOAO </t>
  </si>
  <si>
    <t xml:space="preserve">VICENTE VEGA </t>
  </si>
  <si>
    <t>1105038010</t>
  </si>
  <si>
    <t>0979795977</t>
  </si>
  <si>
    <t xml:space="preserve">KEMPERY ISS </t>
  </si>
  <si>
    <t xml:space="preserve">MC PROD ISS </t>
  </si>
  <si>
    <t xml:space="preserve">bjw-13@hotmail.com </t>
  </si>
  <si>
    <t>KMPRY-LOH-2497</t>
  </si>
  <si>
    <t>KMPRY-LOH-2498</t>
  </si>
  <si>
    <t xml:space="preserve">SHAYRA YESENIA </t>
  </si>
  <si>
    <t xml:space="preserve">ULLOA GUAMÁN </t>
  </si>
  <si>
    <t>1900733401</t>
  </si>
  <si>
    <t>0997857810</t>
  </si>
  <si>
    <t xml:space="preserve">MC TITANIUM CORRIENTE </t>
  </si>
  <si>
    <t xml:space="preserve">gafitastd@gmail.com </t>
  </si>
  <si>
    <t xml:space="preserve">KMPRY-LOH-2499 </t>
  </si>
  <si>
    <t xml:space="preserve">TELMO EUSEVIO </t>
  </si>
  <si>
    <t xml:space="preserve">YAURE VALLE </t>
  </si>
  <si>
    <t>1105551822</t>
  </si>
  <si>
    <t>0968482132</t>
  </si>
  <si>
    <t xml:space="preserve">VS INTERNACIONAL CORR </t>
  </si>
  <si>
    <t xml:space="preserve">telmoyaure7@gmail.com </t>
  </si>
  <si>
    <t xml:space="preserve">KMPRY-LOH-2500 </t>
  </si>
  <si>
    <t xml:space="preserve">JENNIFER ANDREA </t>
  </si>
  <si>
    <t xml:space="preserve">APONTE ZUMBA </t>
  </si>
  <si>
    <t>1104593999</t>
  </si>
  <si>
    <t>0989261941</t>
  </si>
  <si>
    <t xml:space="preserve">jennifer.aponthe912@gmail.com </t>
  </si>
  <si>
    <t xml:space="preserve">Pagaré $2100 - 30 de agosto </t>
  </si>
  <si>
    <t>KMPRY-LOH-2501</t>
  </si>
  <si>
    <t xml:space="preserve">SEGUNDO ABEL </t>
  </si>
  <si>
    <t xml:space="preserve">LOZANO SQQUILANDA </t>
  </si>
  <si>
    <t>1105600918</t>
  </si>
  <si>
    <t>0980862715</t>
  </si>
  <si>
    <t xml:space="preserve">VS PICHINCHA CORR </t>
  </si>
  <si>
    <t xml:space="preserve">Pagaré $800 - 36 cuotas pago 30 de cada mes </t>
  </si>
  <si>
    <t xml:space="preserve">KMPRY-GYE-2502 </t>
  </si>
  <si>
    <t xml:space="preserve">TONNY ANDRÉS </t>
  </si>
  <si>
    <t xml:space="preserve">BALÓN ZAMBRANO </t>
  </si>
  <si>
    <t>0954542288</t>
  </si>
  <si>
    <t>0969258179</t>
  </si>
  <si>
    <t xml:space="preserve">balontonny754@gmail.com </t>
  </si>
  <si>
    <t xml:space="preserve">KMPRY-GYE-2503 </t>
  </si>
  <si>
    <t xml:space="preserve">FERNANDA YUNESKI </t>
  </si>
  <si>
    <t xml:space="preserve">SOLORZANO RUIZ </t>
  </si>
  <si>
    <t>1727212472</t>
  </si>
  <si>
    <t>0987973744</t>
  </si>
  <si>
    <t xml:space="preserve">KMP TRAVEL </t>
  </si>
  <si>
    <t xml:space="preserve">MC PROD CORR </t>
  </si>
  <si>
    <t>solorzanoyuneski@gmail.com</t>
  </si>
  <si>
    <t>KMPRY-GYE-2504</t>
  </si>
  <si>
    <t xml:space="preserve">BLANCA TARCILA  </t>
  </si>
  <si>
    <t xml:space="preserve">PEÑAFIEL CANTOS </t>
  </si>
  <si>
    <t>0700870975</t>
  </si>
  <si>
    <t>0997464302</t>
  </si>
  <si>
    <t xml:space="preserve">blancapeñafiel57@gmail.com </t>
  </si>
  <si>
    <t xml:space="preserve">KMPRY-GYE-2505 </t>
  </si>
  <si>
    <t xml:space="preserve">AGUSTIN DIANICIO </t>
  </si>
  <si>
    <t>PARRALES CEVALLOS</t>
  </si>
  <si>
    <t>1307947836</t>
  </si>
  <si>
    <t>0959166672</t>
  </si>
  <si>
    <t xml:space="preserve">AMEX CORR DATALINK RCC </t>
  </si>
  <si>
    <t>DATA LINK RCC</t>
  </si>
  <si>
    <t xml:space="preserve">agustinparrales2702@gmail.com </t>
  </si>
  <si>
    <t>KMPRY-GYE-2506</t>
  </si>
  <si>
    <t xml:space="preserve">LUBIA AMÉRICA </t>
  </si>
  <si>
    <t xml:space="preserve">PEREZ SANTOS </t>
  </si>
  <si>
    <t>0908509045</t>
  </si>
  <si>
    <t>099414264</t>
  </si>
  <si>
    <t xml:space="preserve">MC TITANIUM CORR </t>
  </si>
  <si>
    <t xml:space="preserve">luby2411@hotmail.com </t>
  </si>
  <si>
    <t>KMPRY-GYE-2507</t>
  </si>
  <si>
    <t xml:space="preserve">MARÍA BELÉN </t>
  </si>
  <si>
    <t xml:space="preserve">LOOR SÁNCHEZ </t>
  </si>
  <si>
    <t>0930713565</t>
  </si>
  <si>
    <t>0939410238</t>
  </si>
  <si>
    <t>VS PRODUBANCO CORR</t>
  </si>
  <si>
    <t xml:space="preserve">belenloor18@gmail.com </t>
  </si>
  <si>
    <t>KMPRY-GYE-2508</t>
  </si>
  <si>
    <t xml:space="preserve">JERSON GABRIEL </t>
  </si>
  <si>
    <t xml:space="preserve">MERCADO GÓMEZ </t>
  </si>
  <si>
    <t>2000096152</t>
  </si>
  <si>
    <t>0967832609</t>
  </si>
  <si>
    <t xml:space="preserve">VS TITANIUM CORR - VS TITANIUM DIF 12 M </t>
  </si>
  <si>
    <t xml:space="preserve">jgmerazy@hotmail.com </t>
  </si>
  <si>
    <t>Pagaré $3.290 - 05 de nov 2025</t>
  </si>
  <si>
    <t>KMPRY-GYE-2509</t>
  </si>
  <si>
    <t xml:space="preserve">KENIA SOLANGE </t>
  </si>
  <si>
    <t xml:space="preserve">TOMALÁ IZURIETA </t>
  </si>
  <si>
    <t>0952278539</t>
  </si>
  <si>
    <t>0979616572</t>
  </si>
  <si>
    <t xml:space="preserve">VS TITANIUM CORR DIF 24M </t>
  </si>
  <si>
    <t xml:space="preserve">keniatomala-96@gmail.com </t>
  </si>
  <si>
    <t xml:space="preserve">Pagado - Cortesía: Entrega Smartwatch </t>
  </si>
  <si>
    <t>KMPRY-GYE-2510</t>
  </si>
  <si>
    <t xml:space="preserve">JEFFERSON ERNESTO </t>
  </si>
  <si>
    <t xml:space="preserve">LINCE LARROSA </t>
  </si>
  <si>
    <t>0950380436</t>
  </si>
  <si>
    <t>0996613005</t>
  </si>
  <si>
    <t xml:space="preserve">TC DISCOVER DIF 24M </t>
  </si>
  <si>
    <t xml:space="preserve">katherineniccol.gz@gmail.com </t>
  </si>
  <si>
    <t>KMPRY-GYE-2511</t>
  </si>
  <si>
    <t xml:space="preserve">GIOCONDA IVONNE </t>
  </si>
  <si>
    <t xml:space="preserve">FRANCO CARVAJAL </t>
  </si>
  <si>
    <t>0905803565</t>
  </si>
  <si>
    <t>0997427036</t>
  </si>
  <si>
    <t>VS BOLIVARIANO CORR</t>
  </si>
  <si>
    <t xml:space="preserve">gioivon-fe@hotmail.com </t>
  </si>
  <si>
    <t>KMPRY-PTV-2512</t>
  </si>
  <si>
    <t xml:space="preserve">MARÍA MAGDALENA </t>
  </si>
  <si>
    <t xml:space="preserve">CHAVEZ BRAVO </t>
  </si>
  <si>
    <t>1312209388</t>
  </si>
  <si>
    <t>0981250036</t>
  </si>
  <si>
    <t xml:space="preserve">VS PACIFICO MOD CORR </t>
  </si>
  <si>
    <t xml:space="preserve">moritaehb@hotmail.com </t>
  </si>
  <si>
    <t>KMPRY-PTV-2513</t>
  </si>
  <si>
    <t xml:space="preserve">FREDDY ANTONIO </t>
  </si>
  <si>
    <t xml:space="preserve">SANTANA CEDEÑO </t>
  </si>
  <si>
    <t>1314990886</t>
  </si>
  <si>
    <t>0994418613</t>
  </si>
  <si>
    <t xml:space="preserve">MC PICHINCHA CORR </t>
  </si>
  <si>
    <t xml:space="preserve">freddysc1995@gmail.com </t>
  </si>
  <si>
    <t>KMPRY-PTV-2514</t>
  </si>
  <si>
    <t xml:space="preserve">YULIXIS NOHEMI </t>
  </si>
  <si>
    <t xml:space="preserve">CANO DE TORRES </t>
  </si>
  <si>
    <t>0960618684</t>
  </si>
  <si>
    <t>0995602063</t>
  </si>
  <si>
    <t xml:space="preserve">15 </t>
  </si>
  <si>
    <t xml:space="preserve">VS PACIFICO MOD CORR KMP </t>
  </si>
  <si>
    <t xml:space="preserve">yulixiscano@gmail.com </t>
  </si>
  <si>
    <t>KMPRY-PTV-2515</t>
  </si>
  <si>
    <t xml:space="preserve">RAFAEL KENNEDY </t>
  </si>
  <si>
    <t xml:space="preserve">REVELO CHÁVEZ </t>
  </si>
  <si>
    <t>1001253796</t>
  </si>
  <si>
    <t>0999531670</t>
  </si>
  <si>
    <t>KMPRY-PTV-2516</t>
  </si>
  <si>
    <t xml:space="preserve">MARÍA LUSITANIA </t>
  </si>
  <si>
    <t xml:space="preserve">ZAMBRANO MENDOZA </t>
  </si>
  <si>
    <t>1306705367</t>
  </si>
  <si>
    <t>0992686406</t>
  </si>
  <si>
    <t xml:space="preserve">VS PACIFICO CORRIENTE KMP </t>
  </si>
  <si>
    <t xml:space="preserve">luis1211zam@hotmail.com </t>
  </si>
  <si>
    <t xml:space="preserve">KMPRY-PTV-2517 </t>
  </si>
  <si>
    <t xml:space="preserve">JORGE EDUARDO </t>
  </si>
  <si>
    <t xml:space="preserve">AGUILAR GRANDA </t>
  </si>
  <si>
    <t>1307359883</t>
  </si>
  <si>
    <t>0968318888</t>
  </si>
  <si>
    <t xml:space="preserve">TC DINERS CLUB DIF 12 M </t>
  </si>
  <si>
    <t xml:space="preserve">jeag71@hotmail.com </t>
  </si>
  <si>
    <t>KMPRY-PTV-2518</t>
  </si>
  <si>
    <t xml:space="preserve">JENNY ALEXANDRA </t>
  </si>
  <si>
    <t xml:space="preserve">MATUTE PERALTA </t>
  </si>
  <si>
    <t>0103056446</t>
  </si>
  <si>
    <t>0996587181</t>
  </si>
  <si>
    <t xml:space="preserve">VS PRODUBANCO CORR KMP </t>
  </si>
  <si>
    <t xml:space="preserve">joalexandra89@gmail.com </t>
  </si>
  <si>
    <t>KMPRY-PTV-2519</t>
  </si>
  <si>
    <t xml:space="preserve">CHRISTIAN PAUL </t>
  </si>
  <si>
    <t xml:space="preserve">GANCHOZO POLO </t>
  </si>
  <si>
    <t>1315534006</t>
  </si>
  <si>
    <t>0986197600</t>
  </si>
  <si>
    <t xml:space="preserve">MC PICHINCHA CORR DIF 24M </t>
  </si>
  <si>
    <t xml:space="preserve">christianganchoza@gmail.com </t>
  </si>
  <si>
    <t xml:space="preserve">KMPRY-PTV-2520 </t>
  </si>
  <si>
    <t xml:space="preserve">LIZETH ELIZABETH </t>
  </si>
  <si>
    <t xml:space="preserve">VÉLEZ HIDALGO </t>
  </si>
  <si>
    <t>1310340664</t>
  </si>
  <si>
    <t>0980686236</t>
  </si>
  <si>
    <t xml:space="preserve">VS TITANIUM DIF 12M/ DIENRS CLUB DIF 24M </t>
  </si>
  <si>
    <t xml:space="preserve">lizethvelez81@hotmail.com </t>
  </si>
  <si>
    <t xml:space="preserve">Pagaré $2,590 - 12 de abril de 2026 </t>
  </si>
  <si>
    <t>KMPRY-PTV-2521</t>
  </si>
  <si>
    <t xml:space="preserve">CRISTHIAN DANILO </t>
  </si>
  <si>
    <t xml:space="preserve">MOREIRA BERMELLO </t>
  </si>
  <si>
    <t>1315185650</t>
  </si>
  <si>
    <t>0968910194</t>
  </si>
  <si>
    <t xml:space="preserve">CUENTA BANCO PICHINCHA </t>
  </si>
  <si>
    <t xml:space="preserve">danimorbe1218@gmail.com </t>
  </si>
  <si>
    <t>Contrato Anulado - $250 costos administrativos</t>
  </si>
  <si>
    <t xml:space="preserve">KMPRY-PTV-2522 </t>
  </si>
  <si>
    <t xml:space="preserve">ANGEL VICENTE </t>
  </si>
  <si>
    <t xml:space="preserve">CARREÑO ZAMORA </t>
  </si>
  <si>
    <t>1314404680</t>
  </si>
  <si>
    <t>0983426881</t>
  </si>
  <si>
    <t>DINERS CLUB DIF 12M</t>
  </si>
  <si>
    <t xml:space="preserve">angelcarrenozamura@gmail.com </t>
  </si>
  <si>
    <t xml:space="preserve">Pagaré $400 - 13 de marzo de 2026 </t>
  </si>
  <si>
    <t>KMPRY-PTV-2523</t>
  </si>
  <si>
    <t xml:space="preserve">DENNYS DAMIAN </t>
  </si>
  <si>
    <t xml:space="preserve">LUCAS GARCÍA </t>
  </si>
  <si>
    <t>1313411959</t>
  </si>
  <si>
    <t>0994472819</t>
  </si>
  <si>
    <t xml:space="preserve">DISCOVER DIF24M/ DINERS CKUB DIF24M </t>
  </si>
  <si>
    <t xml:space="preserve">dennys-lucas@hotmail.com </t>
  </si>
  <si>
    <t>KMPRY-LGQ-2524</t>
  </si>
  <si>
    <t xml:space="preserve">NEYSSER IVÁN </t>
  </si>
  <si>
    <t xml:space="preserve">CALDERÓN QUINALUISA </t>
  </si>
  <si>
    <t>2150009690</t>
  </si>
  <si>
    <t>0959456843</t>
  </si>
  <si>
    <t xml:space="preserve">DATALINK IMPORTACIONES RCC </t>
  </si>
  <si>
    <t xml:space="preserve">AMERICAN EXPRESS DATALINK CORRIENTE </t>
  </si>
  <si>
    <t xml:space="preserve">neysser.calderon1999@gmail.com </t>
  </si>
  <si>
    <t>KMPRY-LGQ-2525</t>
  </si>
  <si>
    <t xml:space="preserve">JECENIA MARIBEL </t>
  </si>
  <si>
    <t xml:space="preserve">MESTANZA JÁCOME </t>
  </si>
  <si>
    <t>2100106893</t>
  </si>
  <si>
    <t>0985079096</t>
  </si>
  <si>
    <t xml:space="preserve">KEMPERY - TRANSFERENCIA </t>
  </si>
  <si>
    <t xml:space="preserve">MC PICHINCHA CORRIENTE </t>
  </si>
  <si>
    <t xml:space="preserve">jecmesdoll25@hotmail.com </t>
  </si>
  <si>
    <t xml:space="preserve">Pagado - Clienta tiene Minivac CancúnCard/ Smart Watch y Audifonos </t>
  </si>
  <si>
    <t xml:space="preserve">KMPRY-LGQ-2526 </t>
  </si>
  <si>
    <t xml:space="preserve">WILLIAN ENRIQUE </t>
  </si>
  <si>
    <t xml:space="preserve">SANABRIA MOREJÓN </t>
  </si>
  <si>
    <t>2100939657</t>
  </si>
  <si>
    <t>0993664397</t>
  </si>
  <si>
    <t xml:space="preserve">VS PICHINCHA MOD CORRIENTE </t>
  </si>
  <si>
    <t xml:space="preserve">we-sana@hotmail.com </t>
  </si>
  <si>
    <t xml:space="preserve">Pagado - Smart Watch </t>
  </si>
  <si>
    <t>KMPRY-LGQ-2527</t>
  </si>
  <si>
    <t xml:space="preserve">BRYAN JOSÉ </t>
  </si>
  <si>
    <t xml:space="preserve">RODRIGUEZ BONE </t>
  </si>
  <si>
    <t>2100991708</t>
  </si>
  <si>
    <t>0994492566</t>
  </si>
  <si>
    <t xml:space="preserve">MC TITANIUM  DIF 24M </t>
  </si>
  <si>
    <t xml:space="preserve">adanjose18@yahoo.es </t>
  </si>
  <si>
    <t xml:space="preserve">KMPRY-LGQ-2528 </t>
  </si>
  <si>
    <t xml:space="preserve">EDWIN GUSTAVO </t>
  </si>
  <si>
    <t xml:space="preserve">PUNINA SIGCHA </t>
  </si>
  <si>
    <t>1804762191</t>
  </si>
  <si>
    <t>0986179992</t>
  </si>
  <si>
    <t xml:space="preserve">TDC VS TITANIUM DIF24M </t>
  </si>
  <si>
    <t xml:space="preserve">edwinpunina2016@gmail.com </t>
  </si>
  <si>
    <t>KMPRY-LGQ-2529</t>
  </si>
  <si>
    <t xml:space="preserve">FERNANDO PATRICIO </t>
  </si>
  <si>
    <t xml:space="preserve">ANDRADE VILLAMARÍN </t>
  </si>
  <si>
    <t>2100208517</t>
  </si>
  <si>
    <t>0961498058</t>
  </si>
  <si>
    <t xml:space="preserve">TDC DINERS CLUB DIF24M </t>
  </si>
  <si>
    <t xml:space="preserve">patrickandrade733@gmail.com </t>
  </si>
  <si>
    <t xml:space="preserve">KMPRY-LGQ-2530 </t>
  </si>
  <si>
    <t xml:space="preserve">PAREDES ENRIQUEZ </t>
  </si>
  <si>
    <t>1001299591</t>
  </si>
  <si>
    <t>0993169169</t>
  </si>
  <si>
    <t>-</t>
  </si>
  <si>
    <t xml:space="preserve">KEMPERY / KMP / IMPORTACIONES RCC </t>
  </si>
  <si>
    <t xml:space="preserve">AMERICAN EXPRESS/ DINERS CLUB DIF24M  / MC INTERNACIONAL </t>
  </si>
  <si>
    <t xml:space="preserve">vicastro123@gmail.com </t>
  </si>
  <si>
    <t xml:space="preserve">KMPRY-LGQ-2531 </t>
  </si>
  <si>
    <t xml:space="preserve">LEONARDO PATRICIO </t>
  </si>
  <si>
    <t xml:space="preserve">SANCHEZ OLEAS </t>
  </si>
  <si>
    <t>2100648118</t>
  </si>
  <si>
    <t>0962346515</t>
  </si>
  <si>
    <t xml:space="preserve">MC TITANIUM DIF 24M </t>
  </si>
  <si>
    <t xml:space="preserve">leonardosanchez744@gmail.com </t>
  </si>
  <si>
    <t>KMPRY-LGQ-2532</t>
  </si>
  <si>
    <t xml:space="preserve">PATRICIA ALEXANDRA </t>
  </si>
  <si>
    <t xml:space="preserve">LOMBEIDA CAMBISACA </t>
  </si>
  <si>
    <t>2100285307</t>
  </si>
  <si>
    <t>097887808</t>
  </si>
  <si>
    <t xml:space="preserve">MC INTERN CORRIENTE </t>
  </si>
  <si>
    <t xml:space="preserve">lomberiapaty@gmail.com </t>
  </si>
  <si>
    <t xml:space="preserve">Pagaré - 36 cuotas de $63,33 </t>
  </si>
  <si>
    <t>KMPRY-LGQ-2533</t>
  </si>
  <si>
    <t xml:space="preserve">YORKI OLIMPO </t>
  </si>
  <si>
    <t xml:space="preserve">CARDENAS JARAMILLO </t>
  </si>
  <si>
    <t>1103813646</t>
  </si>
  <si>
    <t>0991488153</t>
  </si>
  <si>
    <t xml:space="preserve">VS INTERNACIONAL CORRIENTE </t>
  </si>
  <si>
    <t>yorkicardenas@yahoo.com</t>
  </si>
  <si>
    <t>KMPRY-PUY-2534</t>
  </si>
  <si>
    <t xml:space="preserve">RICHARD GABRIEL </t>
  </si>
  <si>
    <t xml:space="preserve">NINACURI SATUQUINGA </t>
  </si>
  <si>
    <t>16000639965</t>
  </si>
  <si>
    <t>0995510830</t>
  </si>
  <si>
    <t xml:space="preserve">gab.ninacuri97@gmail.com </t>
  </si>
  <si>
    <t xml:space="preserve">Pagaré $1190 - 24 de enero 2026/ Llamar el día lunes a las 10am para la venta del banco de noches. </t>
  </si>
  <si>
    <t>KMPRY-PUY-2435</t>
  </si>
  <si>
    <t xml:space="preserve">JENNY SOLIMAR </t>
  </si>
  <si>
    <t xml:space="preserve">MOLINA LITUMA </t>
  </si>
  <si>
    <t>1600610966</t>
  </si>
  <si>
    <t>0998059040</t>
  </si>
  <si>
    <t xml:space="preserve">VS INTERNACIONAL CORRIENTE KMP </t>
  </si>
  <si>
    <t xml:space="preserve">samsalaar.sa@gmail.com </t>
  </si>
  <si>
    <t xml:space="preserve">Pagaré de $4,290 - 25 de septiembre del 2025. </t>
  </si>
  <si>
    <t>KMPRY-PUY-2436</t>
  </si>
  <si>
    <t xml:space="preserve">BRIGHAM ALEXANDER </t>
  </si>
  <si>
    <t xml:space="preserve">JARAMILLO CONDOR </t>
  </si>
  <si>
    <t>1600824369</t>
  </si>
  <si>
    <t>0992989614</t>
  </si>
  <si>
    <t xml:space="preserve">KEMPERY  </t>
  </si>
  <si>
    <t xml:space="preserve">alexanderjaramillo2019@hotmail.com </t>
  </si>
  <si>
    <t xml:space="preserve">Pagaré $650 - 24 de junio de 2026. </t>
  </si>
  <si>
    <t>KMPRY-PUY-2537</t>
  </si>
  <si>
    <t xml:space="preserve">BELLY ELISA </t>
  </si>
  <si>
    <t xml:space="preserve">NÚÑEZ FREIRE </t>
  </si>
  <si>
    <t>1600311391</t>
  </si>
  <si>
    <t>0989026113</t>
  </si>
  <si>
    <t xml:space="preserve">elisafre@hotmail.com </t>
  </si>
  <si>
    <t xml:space="preserve">KTHC-28 </t>
  </si>
  <si>
    <t>KMPRY-PUY-2538</t>
  </si>
  <si>
    <t xml:space="preserve">OSCAR NOLBERTO </t>
  </si>
  <si>
    <t xml:space="preserve">ALTAMIRANO SUÁREZ </t>
  </si>
  <si>
    <t>1600117715</t>
  </si>
  <si>
    <t>0992525389</t>
  </si>
  <si>
    <t xml:space="preserve">IMPORTACIONES RCC </t>
  </si>
  <si>
    <t xml:space="preserve">VS AUSTRO CORRIENTE DATALINK </t>
  </si>
  <si>
    <t xml:space="preserve">oscaraltamirano06@hotmail.com </t>
  </si>
  <si>
    <t>CB101</t>
  </si>
  <si>
    <t>KMPRY-PUY-2539</t>
  </si>
  <si>
    <t xml:space="preserve">EDUARDO JAVIER </t>
  </si>
  <si>
    <t xml:space="preserve">GONZÁLEZ MORA </t>
  </si>
  <si>
    <t>1600573552</t>
  </si>
  <si>
    <t>0996679074</t>
  </si>
  <si>
    <t xml:space="preserve">edugm91@yahoo.es </t>
  </si>
  <si>
    <t>KMPRY-TNW-2540</t>
  </si>
  <si>
    <t xml:space="preserve">ERIKA MISHELL </t>
  </si>
  <si>
    <t xml:space="preserve">ARCE VALAREZO </t>
  </si>
  <si>
    <t>1501230732</t>
  </si>
  <si>
    <t>0968229260</t>
  </si>
  <si>
    <t xml:space="preserve">erikaarce9917@gmail.com </t>
  </si>
  <si>
    <t xml:space="preserve">700Z </t>
  </si>
  <si>
    <t xml:space="preserve">KMPRY-QVD-2541 </t>
  </si>
  <si>
    <t xml:space="preserve">CARLOS RODRIGO </t>
  </si>
  <si>
    <t xml:space="preserve">RIPLADA ALAVA </t>
  </si>
  <si>
    <t>1203288236</t>
  </si>
  <si>
    <t>0985858555</t>
  </si>
  <si>
    <t xml:space="preserve">DISCOVER DIF24M </t>
  </si>
  <si>
    <t xml:space="preserve">cripalda@gmail.com </t>
  </si>
  <si>
    <t xml:space="preserve">KMPRY-QVD-2542 </t>
  </si>
  <si>
    <t xml:space="preserve">MARÍA ISABEL </t>
  </si>
  <si>
    <t xml:space="preserve">ZAMBRANO PARRALES </t>
  </si>
  <si>
    <t>1202243216</t>
  </si>
  <si>
    <t>0992225881</t>
  </si>
  <si>
    <t xml:space="preserve">VS BANCO PICHINCHA CORR </t>
  </si>
  <si>
    <t xml:space="preserve">isabelzambrano@hotmail.com </t>
  </si>
  <si>
    <t xml:space="preserve">KMPRY-QVD-2543 </t>
  </si>
  <si>
    <t xml:space="preserve">MAYRA JESSINA </t>
  </si>
  <si>
    <t xml:space="preserve">PALMA RAMIREZ </t>
  </si>
  <si>
    <t>1205179474</t>
  </si>
  <si>
    <t>0939350472</t>
  </si>
  <si>
    <t xml:space="preserve">maypalma1629@gmail.com </t>
  </si>
  <si>
    <t xml:space="preserve">KMPRY-QVD-2544 </t>
  </si>
  <si>
    <t xml:space="preserve">ROSA ANGELICA </t>
  </si>
  <si>
    <t xml:space="preserve">DUARTE MORA </t>
  </si>
  <si>
    <t>1205664483</t>
  </si>
  <si>
    <t>0968400764</t>
  </si>
  <si>
    <t xml:space="preserve">MC TITANIUM DIF24M </t>
  </si>
  <si>
    <t xml:space="preserve">duarteangelica321@gmail.com </t>
  </si>
  <si>
    <t>KMPRY-QVD-2545</t>
  </si>
  <si>
    <t xml:space="preserve">CASTAÑEDA CÁCEREZ </t>
  </si>
  <si>
    <t>1205622705</t>
  </si>
  <si>
    <t>0980014946</t>
  </si>
  <si>
    <t xml:space="preserve">DINERS CLUB DIF 06M </t>
  </si>
  <si>
    <t xml:space="preserve">andres-castaneda001@hotmail.com </t>
  </si>
  <si>
    <t>KMPRY-GYE-2546</t>
  </si>
  <si>
    <t xml:space="preserve">CINDY ASUNCIÓN </t>
  </si>
  <si>
    <t xml:space="preserve">MOREIRA MORENO </t>
  </si>
  <si>
    <t>0910127703</t>
  </si>
  <si>
    <t>0967227054</t>
  </si>
  <si>
    <t xml:space="preserve">lomonifoverever@hotmail.com </t>
  </si>
  <si>
    <t>KMPRY-GYE-2547</t>
  </si>
  <si>
    <t xml:space="preserve">VICTOR EMILIO </t>
  </si>
  <si>
    <t xml:space="preserve">COROZO TOLEDO </t>
  </si>
  <si>
    <t>0942628843</t>
  </si>
  <si>
    <t>0963854841</t>
  </si>
  <si>
    <t xml:space="preserve">AMERICAN EXPRESS CORR </t>
  </si>
  <si>
    <t xml:space="preserve">emilizooo@hotmai.com </t>
  </si>
  <si>
    <t>KMPRY-GYE-2548</t>
  </si>
  <si>
    <t xml:space="preserve">BRYAN FELIX </t>
  </si>
  <si>
    <t xml:space="preserve">REYES YAGUEL </t>
  </si>
  <si>
    <t>0951271071</t>
  </si>
  <si>
    <t>0987842441</t>
  </si>
  <si>
    <t xml:space="preserve">VS BANCO MACHALA CORR </t>
  </si>
  <si>
    <t xml:space="preserve">bryanreyes.1993@hotmail.com </t>
  </si>
  <si>
    <t xml:space="preserve">Pagaré $55,55 el 09 de cada mes - viaje a Medellín al pagar valor pendiente </t>
  </si>
  <si>
    <t>KMPRY-GYE-2549</t>
  </si>
  <si>
    <t xml:space="preserve">MIGUEL DONALDO </t>
  </si>
  <si>
    <t xml:space="preserve">TUABANDA TUABANDA </t>
  </si>
  <si>
    <t>0201699394</t>
  </si>
  <si>
    <t>0982452524</t>
  </si>
  <si>
    <t xml:space="preserve">MC PACF CORRI PAYPHONE </t>
  </si>
  <si>
    <t xml:space="preserve">jaquelinegomez2012@gmail.com </t>
  </si>
  <si>
    <t>KMPRY-GYE-2550</t>
  </si>
  <si>
    <t xml:space="preserve">JAROL BRYAN </t>
  </si>
  <si>
    <t xml:space="preserve">GUERRA ZAVALA </t>
  </si>
  <si>
    <t>0950958793</t>
  </si>
  <si>
    <t>0985420798</t>
  </si>
  <si>
    <t xml:space="preserve">jarolb-guerra@hotmail.com </t>
  </si>
  <si>
    <t xml:space="preserve">Pagaré $1990 - 09 de oct 2026 </t>
  </si>
  <si>
    <t>KMPRY-GYE-2551</t>
  </si>
  <si>
    <t xml:space="preserve">EGDA NOEMI </t>
  </si>
  <si>
    <t xml:space="preserve">BRAVO MOREIRA </t>
  </si>
  <si>
    <t>0908434152</t>
  </si>
  <si>
    <t>0979150817</t>
  </si>
  <si>
    <t xml:space="preserve">VS PRODUBANCO CORR </t>
  </si>
  <si>
    <t xml:space="preserve">atinoemi26@gmail.com </t>
  </si>
  <si>
    <t xml:space="preserve">NICOLAS </t>
  </si>
  <si>
    <t>Pagaré $1200 - 09 de abril 2026</t>
  </si>
  <si>
    <t>KMPRY-GYE-2552</t>
  </si>
  <si>
    <t xml:space="preserve">TONNY GIOVNNI </t>
  </si>
  <si>
    <t xml:space="preserve">MONCAYO PROAÑO </t>
  </si>
  <si>
    <t>0905435707</t>
  </si>
  <si>
    <t>0999917318</t>
  </si>
  <si>
    <t xml:space="preserve">tonnymoncayo.55@gmail.com </t>
  </si>
  <si>
    <t>KMPRY-GYE-2553</t>
  </si>
  <si>
    <t xml:space="preserve">FELIPE NORBERTO </t>
  </si>
  <si>
    <t xml:space="preserve">MORAN DIAZ </t>
  </si>
  <si>
    <t>1201952338</t>
  </si>
  <si>
    <t>0983414476</t>
  </si>
  <si>
    <t>TDC BANCO BOLIVARIANO CORR</t>
  </si>
  <si>
    <t xml:space="preserve">felipemorandiaz@gmail.com </t>
  </si>
  <si>
    <t>KMPRY-MCH-2554</t>
  </si>
  <si>
    <t xml:space="preserve">CHRISTIAN ALBERTO </t>
  </si>
  <si>
    <t xml:space="preserve">MOSQUERA AGUILAR </t>
  </si>
  <si>
    <t>0706752912</t>
  </si>
  <si>
    <t>0958942213</t>
  </si>
  <si>
    <t xml:space="preserve">MC PACIFICO CORR </t>
  </si>
  <si>
    <t xml:space="preserve">chrisstmosquera@gmail.com </t>
  </si>
  <si>
    <t xml:space="preserve">Pagaré $2000 - 16 de oct 2025 </t>
  </si>
  <si>
    <t>KMPRY-LOH-2555</t>
  </si>
  <si>
    <t xml:space="preserve">MARÍA ALBA </t>
  </si>
  <si>
    <t xml:space="preserve">ZAMBRANO ACEVEDO </t>
  </si>
  <si>
    <t>1102210398</t>
  </si>
  <si>
    <t>0989069639</t>
  </si>
  <si>
    <t xml:space="preserve">zambranoalbita@gmail.com </t>
  </si>
  <si>
    <t xml:space="preserve">Pagaré de $3000 - 17 de oct 2025 </t>
  </si>
  <si>
    <t>KMPRY-LOH-2556</t>
  </si>
  <si>
    <t xml:space="preserve">RITA ELIZABETH </t>
  </si>
  <si>
    <t xml:space="preserve">TORRES VALDIVIESO </t>
  </si>
  <si>
    <t>1102730916</t>
  </si>
  <si>
    <t>0988644023</t>
  </si>
  <si>
    <t xml:space="preserve">T/C DISCOVER CORR/ MC PICH CORR </t>
  </si>
  <si>
    <t xml:space="preserve">rit-elis@hotmail.com </t>
  </si>
  <si>
    <t xml:space="preserve">HENRY </t>
  </si>
  <si>
    <t xml:space="preserve">Pagaré $4,190 - 60 cuotas </t>
  </si>
  <si>
    <t>KMPRY-LOH-2557</t>
  </si>
  <si>
    <t xml:space="preserve">WILMER OSCAR </t>
  </si>
  <si>
    <t xml:space="preserve">SARANGO PELAEZ </t>
  </si>
  <si>
    <t>1900314160</t>
  </si>
  <si>
    <t>0997755955</t>
  </si>
  <si>
    <t xml:space="preserve">T/C DISCOVER MOD CORR </t>
  </si>
  <si>
    <t xml:space="preserve">sarangooscar64@gmail.com </t>
  </si>
  <si>
    <t>KMPRY-RBM-2558</t>
  </si>
  <si>
    <t xml:space="preserve">ROSA ISOLINA </t>
  </si>
  <si>
    <t xml:space="preserve">QUISPE ANDRADE </t>
  </si>
  <si>
    <t>0601002702</t>
  </si>
  <si>
    <t>0998947809</t>
  </si>
  <si>
    <t xml:space="preserve">rosaquispe12345678910@hotmail.com </t>
  </si>
  <si>
    <t xml:space="preserve">Pagaré 36 cuotas - adendeum </t>
  </si>
  <si>
    <t>KMPRY-RBM-2559</t>
  </si>
  <si>
    <t xml:space="preserve">PATRICIA MERCEDES </t>
  </si>
  <si>
    <t xml:space="preserve">BARRERTO MORA </t>
  </si>
  <si>
    <t>0201648847</t>
  </si>
  <si>
    <t>0989551566</t>
  </si>
  <si>
    <t xml:space="preserve">MC PACIF PAYPHONE </t>
  </si>
  <si>
    <t xml:space="preserve">patriciabarreto10@gmail.com </t>
  </si>
  <si>
    <t xml:space="preserve">Pagaré $1790 </t>
  </si>
  <si>
    <t>KMPRY-RBM-2560</t>
  </si>
  <si>
    <t xml:space="preserve">MERCY ALICIA </t>
  </si>
  <si>
    <t xml:space="preserve">MOGON SANI </t>
  </si>
  <si>
    <t>0605203298</t>
  </si>
  <si>
    <t>0960555656</t>
  </si>
  <si>
    <t xml:space="preserve">DINERS CLUB DIFERIDO 24M </t>
  </si>
  <si>
    <t xml:space="preserve">alismogon@gmail.com </t>
  </si>
  <si>
    <t xml:space="preserve">KMPRY-RBM-2561 </t>
  </si>
  <si>
    <t xml:space="preserve">MONSERRATE TATIANA </t>
  </si>
  <si>
    <t xml:space="preserve">ARÉVALO CUADRADO </t>
  </si>
  <si>
    <t>0650329576</t>
  </si>
  <si>
    <t>0999074157</t>
  </si>
  <si>
    <t xml:space="preserve">TC DINERS CLUB DIF 24M </t>
  </si>
  <si>
    <t xml:space="preserve">monserratearevalo@gmail.com </t>
  </si>
  <si>
    <t>KMPRY-RBM-2562</t>
  </si>
  <si>
    <t xml:space="preserve">VICENTE </t>
  </si>
  <si>
    <t>CAJO LEMA</t>
  </si>
  <si>
    <t>0601940927</t>
  </si>
  <si>
    <t>0968157927</t>
  </si>
  <si>
    <t xml:space="preserve">vicentecajo@gmail.com </t>
  </si>
  <si>
    <t>KMPRY-RBM-2563</t>
  </si>
  <si>
    <t xml:space="preserve">JOSÉ EDUARDO </t>
  </si>
  <si>
    <t xml:space="preserve">AMAGUAY USHCA </t>
  </si>
  <si>
    <t>0602499964</t>
  </si>
  <si>
    <t>0989000515</t>
  </si>
  <si>
    <t xml:space="preserve">HOTEL ZEUS </t>
  </si>
  <si>
    <t xml:space="preserve">emodida@gmail.com </t>
  </si>
  <si>
    <t xml:space="preserve">Pagaré - $1,990 - 24 de abril 2026 </t>
  </si>
  <si>
    <t xml:space="preserve">KMPRY-RBM-2564 </t>
  </si>
  <si>
    <t xml:space="preserve">LUIS ORLANDO </t>
  </si>
  <si>
    <t xml:space="preserve">GRANIZO BARRETO </t>
  </si>
  <si>
    <t>0604752220</t>
  </si>
  <si>
    <t>0997489932</t>
  </si>
  <si>
    <t xml:space="preserve">VS BGR MOD CORR </t>
  </si>
  <si>
    <t xml:space="preserve">loga94@hotmail.com </t>
  </si>
  <si>
    <t xml:space="preserve">KMPRY-RBM-2565 </t>
  </si>
  <si>
    <t xml:space="preserve">GISSELA MICHELLE </t>
  </si>
  <si>
    <t xml:space="preserve">CALERO TAPIA </t>
  </si>
  <si>
    <t>0604053371</t>
  </si>
  <si>
    <t>0978872087</t>
  </si>
  <si>
    <t xml:space="preserve">giseelacalero@gmail.com </t>
  </si>
  <si>
    <t xml:space="preserve">KMPRY-RBM-2566 </t>
  </si>
  <si>
    <t xml:space="preserve">ALEXANDER RAFAEL </t>
  </si>
  <si>
    <t xml:space="preserve">VELASQUEZ FIGUEROA </t>
  </si>
  <si>
    <t>0987697604</t>
  </si>
  <si>
    <t xml:space="preserve">alexandervlsqz6@gmail.com </t>
  </si>
  <si>
    <t xml:space="preserve">PEDRO </t>
  </si>
  <si>
    <t xml:space="preserve">Pagaré $400 - 25 de abril de 2026 </t>
  </si>
  <si>
    <t>KMPRY-RBM-2567</t>
  </si>
  <si>
    <t xml:space="preserve">HENRY PAÚL </t>
  </si>
  <si>
    <t xml:space="preserve">PEREZ MACHADO </t>
  </si>
  <si>
    <t>063930868</t>
  </si>
  <si>
    <t>0963629056</t>
  </si>
  <si>
    <t xml:space="preserve">LINK DE PAGO KEMPERY </t>
  </si>
  <si>
    <t xml:space="preserve">VS TITANIUM LINK DE PAGO </t>
  </si>
  <si>
    <t xml:space="preserve">herniuxo18@gmail.com </t>
  </si>
  <si>
    <t>KMPRY-MLG-2568</t>
  </si>
  <si>
    <t xml:space="preserve">JORGE OCTAVIO </t>
  </si>
  <si>
    <t xml:space="preserve">CHIMBOLEMA GUARANGA </t>
  </si>
  <si>
    <t>0920372877</t>
  </si>
  <si>
    <t>0959757217</t>
  </si>
  <si>
    <t xml:space="preserve">jorgeoctavichimbolema@gmail.com </t>
  </si>
  <si>
    <t xml:space="preserve">KMPRY-MLG-2569 </t>
  </si>
  <si>
    <t xml:space="preserve">ADA LUZ </t>
  </si>
  <si>
    <t xml:space="preserve">LOZADA MENDEZ </t>
  </si>
  <si>
    <t>0942098385</t>
  </si>
  <si>
    <t>0968242229</t>
  </si>
  <si>
    <t xml:space="preserve">VS TITANIUM MOD CORR </t>
  </si>
  <si>
    <t xml:space="preserve">aditalozadamendez@hotmail.com </t>
  </si>
  <si>
    <t xml:space="preserve">Pagaré - $300 - 28 de abril de 2026 </t>
  </si>
  <si>
    <t>KMPRY-MLG-2570</t>
  </si>
  <si>
    <t xml:space="preserve">JESSENIA JANETH </t>
  </si>
  <si>
    <t xml:space="preserve">DIAZ CONDO </t>
  </si>
  <si>
    <t>0985201769</t>
  </si>
  <si>
    <t>0957018047</t>
  </si>
  <si>
    <t xml:space="preserve"> </t>
  </si>
  <si>
    <t xml:space="preserve">Pagaré $1,500 - 29 de octubre 2025 </t>
  </si>
  <si>
    <t>KMPRY-MLG-2571</t>
  </si>
  <si>
    <t xml:space="preserve">FABRICIO AMANIO </t>
  </si>
  <si>
    <t xml:space="preserve">MERA MONTOYA </t>
  </si>
  <si>
    <t>0927156794</t>
  </si>
  <si>
    <t>0969188248</t>
  </si>
  <si>
    <t xml:space="preserve">VS COOP JEP CORR/ MC PACI PAYPHONE </t>
  </si>
  <si>
    <t xml:space="preserve">fabri.mera@hotmail.com </t>
  </si>
  <si>
    <t>Pagaré $490 - 30 de octubre 2025</t>
  </si>
  <si>
    <t xml:space="preserve">KMPRY-GYE-2572 </t>
  </si>
  <si>
    <t xml:space="preserve">TOMÁS ABRAHAM </t>
  </si>
  <si>
    <t xml:space="preserve">CHAPARRO ARAUJO </t>
  </si>
  <si>
    <t>1201291612</t>
  </si>
  <si>
    <t>0984049730</t>
  </si>
  <si>
    <t xml:space="preserve">MC BANCO AUSTRO CORRIENTE </t>
  </si>
  <si>
    <t xml:space="preserve">tocha.49@hotmail.com </t>
  </si>
  <si>
    <t>KMPRY-GYE-2573</t>
  </si>
  <si>
    <t xml:space="preserve">MERCEDES DEL ROCÍO </t>
  </si>
  <si>
    <t xml:space="preserve">JIMENEZ PAZMIÑO </t>
  </si>
  <si>
    <t>0914977582</t>
  </si>
  <si>
    <t>0997636454</t>
  </si>
  <si>
    <t xml:space="preserve">VS PICHINCHA DIF 12 M </t>
  </si>
  <si>
    <t xml:space="preserve">mercedes-jimenezp@hotmail.com </t>
  </si>
  <si>
    <t>KMPRY-GYE-2574</t>
  </si>
  <si>
    <t xml:space="preserve">KARLA SUYIN </t>
  </si>
  <si>
    <t xml:space="preserve">ECHEVERRIA VILLAMAR </t>
  </si>
  <si>
    <t>0957269293</t>
  </si>
  <si>
    <t>0994192190</t>
  </si>
  <si>
    <t>VS AUSTRO CORR / VS PRODUBANCO CORR</t>
  </si>
  <si>
    <t xml:space="preserve">karlaecheverria671@gmail.coom </t>
  </si>
  <si>
    <t xml:space="preserve">CESAR </t>
  </si>
  <si>
    <t>KMPRY-LTG-2575</t>
  </si>
  <si>
    <t xml:space="preserve">JUAN GUSTAVO </t>
  </si>
  <si>
    <t xml:space="preserve">LASINQUIZA GUAMÁN </t>
  </si>
  <si>
    <t>0999963645</t>
  </si>
  <si>
    <t xml:space="preserve">5 </t>
  </si>
  <si>
    <t xml:space="preserve">lasinquizajuan00@gmail.com </t>
  </si>
  <si>
    <t xml:space="preserve">VANESA </t>
  </si>
  <si>
    <t>Ingresó con valor $0 pagaré 1400$ 07/11/2025</t>
  </si>
  <si>
    <t>KMPRY-LTG-2576</t>
  </si>
  <si>
    <t xml:space="preserve">EMILIO VICENTE </t>
  </si>
  <si>
    <t xml:space="preserve">YUGCHA CASA </t>
  </si>
  <si>
    <t>0503279408</t>
  </si>
  <si>
    <t>0987705270</t>
  </si>
  <si>
    <t xml:space="preserve">KEMPERY/KMP </t>
  </si>
  <si>
    <t>VS TITANIUM - MC PRODU CORR</t>
  </si>
  <si>
    <t xml:space="preserve">evt-cnn@hotmail.com </t>
  </si>
  <si>
    <t>KMPRY-CYM-2577</t>
  </si>
  <si>
    <t xml:space="preserve">GUSTAVO ISAIAS </t>
  </si>
  <si>
    <t xml:space="preserve">CHAVEZ QUIMBIULCO </t>
  </si>
  <si>
    <t>1755464466</t>
  </si>
  <si>
    <t>0998230570</t>
  </si>
  <si>
    <t>KMP</t>
  </si>
  <si>
    <t xml:space="preserve">gustavopx1267@gmail.com </t>
  </si>
  <si>
    <t>KMPRY-CYM-2578</t>
  </si>
  <si>
    <t xml:space="preserve">GRETA LORENA </t>
  </si>
  <si>
    <t xml:space="preserve">AGILA OLLALES </t>
  </si>
  <si>
    <t>1710195392</t>
  </si>
  <si>
    <t>0993266129</t>
  </si>
  <si>
    <t xml:space="preserve">juanguano-1@hotmail.com </t>
  </si>
  <si>
    <t>08/11//2025</t>
  </si>
  <si>
    <t>KMPRY-CYM-2579</t>
  </si>
  <si>
    <t xml:space="preserve">JOHANNA FERNANDA </t>
  </si>
  <si>
    <t xml:space="preserve">CEVALLOS MOLINA </t>
  </si>
  <si>
    <t>1003381017</t>
  </si>
  <si>
    <t>0973810881</t>
  </si>
  <si>
    <t>VS PICHINCHA DIF 24M</t>
  </si>
  <si>
    <t xml:space="preserve">jifer2505jcm@gmail.com </t>
  </si>
  <si>
    <t>KMPRY-UIO-2580</t>
  </si>
  <si>
    <t xml:space="preserve">CALUGUILLIN CALUGUILLIN </t>
  </si>
  <si>
    <t>1712380995</t>
  </si>
  <si>
    <t>0998002257</t>
  </si>
  <si>
    <t xml:space="preserve">PAYPHONE EDUARDO </t>
  </si>
  <si>
    <t>KMPERY UIO 5013</t>
  </si>
  <si>
    <t>OSCAR ANDRES</t>
  </si>
  <si>
    <t>ZAMORA SOLANO</t>
  </si>
  <si>
    <t>1750959544001</t>
  </si>
  <si>
    <t>09871218788</t>
  </si>
  <si>
    <t>CORPO</t>
  </si>
  <si>
    <t>oskar-285@hotmail.com</t>
  </si>
  <si>
    <t>KMPERY UIO 5014</t>
  </si>
  <si>
    <t xml:space="preserve">JUAN JOSE </t>
  </si>
  <si>
    <t>TACURI QUEZADA</t>
  </si>
  <si>
    <t>0106902299001</t>
  </si>
  <si>
    <t>0984025737</t>
  </si>
  <si>
    <t>DIS CORRIENTE</t>
  </si>
  <si>
    <t>hvjx4@hotmail.com</t>
  </si>
  <si>
    <t>KMPERY UIO 5015</t>
  </si>
  <si>
    <t>ANGEL RAMIRO</t>
  </si>
  <si>
    <t>VERDESOTO BARONA</t>
  </si>
  <si>
    <t>17046732822</t>
  </si>
  <si>
    <t>0997785359</t>
  </si>
  <si>
    <t>PUNTA CANA/CANCUN</t>
  </si>
  <si>
    <t>DN DF 24M</t>
  </si>
  <si>
    <t>ramiroverdesoto@hotmail.com</t>
  </si>
  <si>
    <t>KMPERY UIO 5016</t>
  </si>
  <si>
    <t>REMIGIO GONZALO</t>
  </si>
  <si>
    <t>MORALES LUCIO</t>
  </si>
  <si>
    <t>0201453560</t>
  </si>
  <si>
    <t>0998097413</t>
  </si>
  <si>
    <t>remigonza77@gmail.com</t>
  </si>
  <si>
    <t>KMPERY UIO 5017</t>
  </si>
  <si>
    <t>CUEVA VIECENTE</t>
  </si>
  <si>
    <t>1721140422</t>
  </si>
  <si>
    <t>0998824425</t>
  </si>
  <si>
    <t>DN DF 6M</t>
  </si>
  <si>
    <t>carolinacuevav@gmail.com</t>
  </si>
  <si>
    <t>KMPERY UIO 5018</t>
  </si>
  <si>
    <t>PAZMIÑO CAMACHO</t>
  </si>
  <si>
    <t>1715000707</t>
  </si>
  <si>
    <t>0987372775</t>
  </si>
  <si>
    <t>MILA</t>
  </si>
  <si>
    <t>juancarlosbarbas@hotmail.es</t>
  </si>
  <si>
    <t>KMPERY UIO 5019</t>
  </si>
  <si>
    <t>TOAPANTA ALVAREZ</t>
  </si>
  <si>
    <t>1720522117</t>
  </si>
  <si>
    <t>0967610672</t>
  </si>
  <si>
    <t>letyzai08@gmail.com</t>
  </si>
  <si>
    <t>KMPERY LTG 1497</t>
  </si>
  <si>
    <t>VERONICA YANETH</t>
  </si>
  <si>
    <t>MOLINA LLUMITASIG</t>
  </si>
  <si>
    <t>0502490071</t>
  </si>
  <si>
    <t>0992755209</t>
  </si>
  <si>
    <t>veritoolina83@hotmail.com</t>
  </si>
  <si>
    <t>KMPERY LTG 1498</t>
  </si>
  <si>
    <t>CASA YUGSI</t>
  </si>
  <si>
    <t>0503319733</t>
  </si>
  <si>
    <t>0983065595</t>
  </si>
  <si>
    <t>tomuizanandito@hotmail.com</t>
  </si>
  <si>
    <t>KMPERY LTG 1499</t>
  </si>
  <si>
    <t>CAISAGUANO TAIPE</t>
  </si>
  <si>
    <t>0502027758</t>
  </si>
  <si>
    <t>0979644558</t>
  </si>
  <si>
    <t>ESTADOS UNIDOS</t>
  </si>
  <si>
    <t>pauly301996@gmail.com</t>
  </si>
  <si>
    <t>KMPERY UIO 5020</t>
  </si>
  <si>
    <t>JESSICA MAITE</t>
  </si>
  <si>
    <t>IZURIETA PARREÑO</t>
  </si>
  <si>
    <t>1723476675001</t>
  </si>
  <si>
    <t>0990307261</t>
  </si>
  <si>
    <t>TRANSFERENCIA PICHINCHA</t>
  </si>
  <si>
    <t>maite9508@hotmail.com</t>
  </si>
  <si>
    <t>KMPERY RBM 1500</t>
  </si>
  <si>
    <t>IZAMAR CECILIA</t>
  </si>
  <si>
    <t>UVIDIA PARRA</t>
  </si>
  <si>
    <t>0604402826</t>
  </si>
  <si>
    <t>0995709482</t>
  </si>
  <si>
    <t>isamaruvidia@hotmail.com</t>
  </si>
  <si>
    <t>KMPERY RBM 1501</t>
  </si>
  <si>
    <t>DENIS ELOY</t>
  </si>
  <si>
    <t>CHANGO CARVAJAL</t>
  </si>
  <si>
    <t>0603161209</t>
  </si>
  <si>
    <t>0960169882</t>
  </si>
  <si>
    <t>changodenis2017@gmail.com</t>
  </si>
  <si>
    <t>KMPERY RBM 1502</t>
  </si>
  <si>
    <t>ANGEL PATRICIO</t>
  </si>
  <si>
    <t>ABARCA BONILLA</t>
  </si>
  <si>
    <t>0603964776</t>
  </si>
  <si>
    <t>0995443854</t>
  </si>
  <si>
    <t>pabarcabonilla@hotmail.com</t>
  </si>
  <si>
    <t xml:space="preserve">30/09/2025 hizo el pago de $790 - cancelado total </t>
  </si>
  <si>
    <t>KMPERY RBM 1503</t>
  </si>
  <si>
    <t>CAZA CALUÑA</t>
  </si>
  <si>
    <t>1803987039</t>
  </si>
  <si>
    <t>0958861564</t>
  </si>
  <si>
    <t>normaligiacoba12@gmail.com</t>
  </si>
  <si>
    <t>KMPERY RBM 1504</t>
  </si>
  <si>
    <t>CARMEN SILVANA</t>
  </si>
  <si>
    <t>SARANGO CABRERA</t>
  </si>
  <si>
    <t>1150152179001</t>
  </si>
  <si>
    <t>0994062685</t>
  </si>
  <si>
    <t>carmensarango4@gmail.com</t>
  </si>
  <si>
    <t>KMPERY UIO 5021</t>
  </si>
  <si>
    <t xml:space="preserve">JONATHAN STEVEN </t>
  </si>
  <si>
    <t>MORAN ZAVALA</t>
  </si>
  <si>
    <t>1722314711</t>
  </si>
  <si>
    <t>0998637279</t>
  </si>
  <si>
    <t>jonathansteven.mz.285@gmail.com</t>
  </si>
  <si>
    <t>KMPERY RBM 1505</t>
  </si>
  <si>
    <t xml:space="preserve">FRANKLIN PAUL </t>
  </si>
  <si>
    <t>SANCHEZ MAZON</t>
  </si>
  <si>
    <t>0604157487</t>
  </si>
  <si>
    <t>0993524570</t>
  </si>
  <si>
    <t>PUNTA CANA O Cancún</t>
  </si>
  <si>
    <t>sanchezfranklin548@gmail.com</t>
  </si>
  <si>
    <t>KMPERY UIO 5022</t>
  </si>
  <si>
    <t>ROSA MARIA</t>
  </si>
  <si>
    <t>TENELEMA CALUÑA</t>
  </si>
  <si>
    <t>0201904273</t>
  </si>
  <si>
    <t>0985824912</t>
  </si>
  <si>
    <t>rous_tenelema@yahoo.es</t>
  </si>
  <si>
    <t>KMPERY UIO 5023</t>
  </si>
  <si>
    <t xml:space="preserve">ANA EDITH </t>
  </si>
  <si>
    <t>POZO CARLOZAMA</t>
  </si>
  <si>
    <t>1714350210001</t>
  </si>
  <si>
    <t>0979413337</t>
  </si>
  <si>
    <t>anedpc_1977@hotmail.com</t>
  </si>
  <si>
    <t>KMPERY UIO 5024</t>
  </si>
  <si>
    <t>MARCO EDUARDO</t>
  </si>
  <si>
    <t>CHASIPANTA AVALOS</t>
  </si>
  <si>
    <t>1712925724001</t>
  </si>
  <si>
    <t>0995017263</t>
  </si>
  <si>
    <t>marco.chusipanta@hotmail.com</t>
  </si>
  <si>
    <t>KMPERY RBM 1506</t>
  </si>
  <si>
    <t>ANA CECILIA</t>
  </si>
  <si>
    <t>AGUAGALLO GONZALEZ</t>
  </si>
  <si>
    <t>0603273186</t>
  </si>
  <si>
    <t>0993590640</t>
  </si>
  <si>
    <t>ivalexiana.6@gmail.com</t>
  </si>
  <si>
    <t>KMPERY LGC 1507</t>
  </si>
  <si>
    <t>PAUL ALEXANDER</t>
  </si>
  <si>
    <t>PAREDES CALLE</t>
  </si>
  <si>
    <t>2100327481001</t>
  </si>
  <si>
    <t>0987054852</t>
  </si>
  <si>
    <t>raulparedes95@hotmail.com</t>
  </si>
  <si>
    <t>KMPERY UIO 5025</t>
  </si>
  <si>
    <t>CARLOS RICARDO</t>
  </si>
  <si>
    <t>KING YEROVI</t>
  </si>
  <si>
    <t>1704928231</t>
  </si>
  <si>
    <t>0999475577</t>
  </si>
  <si>
    <t>KMPERY UIO 5026</t>
  </si>
  <si>
    <t>LUIS WASHINGTONN</t>
  </si>
  <si>
    <t>QUINGA SUQUILLO</t>
  </si>
  <si>
    <t>1710373794</t>
  </si>
  <si>
    <t>0998575137</t>
  </si>
  <si>
    <t>washo1907@hotmail.com</t>
  </si>
  <si>
    <t>RENATO</t>
  </si>
  <si>
    <t>KMPERY LGC 1508</t>
  </si>
  <si>
    <t>MARIA NANCY</t>
  </si>
  <si>
    <t>MOLINA MOLINA</t>
  </si>
  <si>
    <t>2101059174</t>
  </si>
  <si>
    <t>0982295443</t>
  </si>
  <si>
    <t>molinamary387@gmail.com</t>
  </si>
  <si>
    <t>KMPERY LGC 1509</t>
  </si>
  <si>
    <t>CARLOS OSWALDO</t>
  </si>
  <si>
    <t>CALLE</t>
  </si>
  <si>
    <t>0300821683</t>
  </si>
  <si>
    <t>0986539157</t>
  </si>
  <si>
    <t>scarlosocalle1212@gmail.com</t>
  </si>
  <si>
    <t>KMPERY UIO 5027</t>
  </si>
  <si>
    <t>IVAN RENE</t>
  </si>
  <si>
    <t>SARMIENT6O SEGARRA</t>
  </si>
  <si>
    <t>1712298635001</t>
  </si>
  <si>
    <t>0985423814</t>
  </si>
  <si>
    <t>ivan_invest@yahoo.com</t>
  </si>
  <si>
    <t>KMPERY LGC 1510</t>
  </si>
  <si>
    <t>SIXTON HERNAN</t>
  </si>
  <si>
    <t>CAICEDO RIOS</t>
  </si>
  <si>
    <t>0703417345</t>
  </si>
  <si>
    <t>0989434195</t>
  </si>
  <si>
    <t>caicedohernan1978@gmail.com</t>
  </si>
  <si>
    <t>KMPERY UIO 5028</t>
  </si>
  <si>
    <t>RICARDO JOSE</t>
  </si>
  <si>
    <t>BERRU LOPEZ</t>
  </si>
  <si>
    <t>1718821810</t>
  </si>
  <si>
    <t>0994447897</t>
  </si>
  <si>
    <t>ricardojbl.85@hotmail.com</t>
  </si>
  <si>
    <t>SARAY</t>
  </si>
  <si>
    <t>KMPERY CYM 1511</t>
  </si>
  <si>
    <t xml:space="preserve">LUIS ALFONSO </t>
  </si>
  <si>
    <t>TUPIZA CAIZAPASTO</t>
  </si>
  <si>
    <t>1720707239</t>
  </si>
  <si>
    <t>0967360499</t>
  </si>
  <si>
    <t>luistupiza25@outlook.com</t>
  </si>
  <si>
    <t>KMPERY CYM 1512</t>
  </si>
  <si>
    <t>VIZCAINO CHINCHUÑA</t>
  </si>
  <si>
    <t>1726115114001</t>
  </si>
  <si>
    <t>0984415763</t>
  </si>
  <si>
    <t>majo62100486@hotmail.com</t>
  </si>
  <si>
    <t>KMPERY LOH 1513</t>
  </si>
  <si>
    <t>HUGO ESTEBAN</t>
  </si>
  <si>
    <t>GUALLO PILLAJO</t>
  </si>
  <si>
    <t>0602663635001</t>
  </si>
  <si>
    <t>0986026775</t>
  </si>
  <si>
    <t>hugo_091973@hotmail.com</t>
  </si>
  <si>
    <t>KMPERY LOH 1514</t>
  </si>
  <si>
    <t>MARIA ARANZAZU</t>
  </si>
  <si>
    <t>CISNEROS VIDAL</t>
  </si>
  <si>
    <t>1711464246</t>
  </si>
  <si>
    <t>0958981924</t>
  </si>
  <si>
    <t>aranzazu_sisa@hotmail.com</t>
  </si>
  <si>
    <t>KMPERY LOH 1515</t>
  </si>
  <si>
    <t>FANNY MORAYMA</t>
  </si>
  <si>
    <t>GOMEZ GUAMAN</t>
  </si>
  <si>
    <t>1102934575</t>
  </si>
  <si>
    <t>0982876068</t>
  </si>
  <si>
    <t>fannymorama2@gmail.com</t>
  </si>
  <si>
    <t>KMPERY LOH 1516</t>
  </si>
  <si>
    <t>VIVIANA ESTHELA</t>
  </si>
  <si>
    <t>BRAVO MEJIA</t>
  </si>
  <si>
    <t>1104416324001</t>
  </si>
  <si>
    <t>0969461085</t>
  </si>
  <si>
    <t>vivianaesthela35@gmail.com</t>
  </si>
  <si>
    <t>KMPERY LOH 1517</t>
  </si>
  <si>
    <t xml:space="preserve">JOSE FERNANDO </t>
  </si>
  <si>
    <t>CAMACHO PINEDA</t>
  </si>
  <si>
    <t>1104686850001</t>
  </si>
  <si>
    <t>0988516321</t>
  </si>
  <si>
    <t>nandocamachopineda@gmail.com</t>
  </si>
  <si>
    <t>KMPERY LOH 1518</t>
  </si>
  <si>
    <t>FREDY WILFRIDO</t>
  </si>
  <si>
    <t>SEAZ SOTO</t>
  </si>
  <si>
    <t>1103733562</t>
  </si>
  <si>
    <t>0992436410</t>
  </si>
  <si>
    <t>maicol_seaz@hotmail.com</t>
  </si>
  <si>
    <t>KMPERY LOH 1519</t>
  </si>
  <si>
    <t>BYRON MANUEL</t>
  </si>
  <si>
    <t>JIMENEZ GAONA</t>
  </si>
  <si>
    <t>1104904782</t>
  </si>
  <si>
    <t>0980171050</t>
  </si>
  <si>
    <t>byronjimenez575@gmail.com</t>
  </si>
  <si>
    <t>KMPERY LOH 1520</t>
  </si>
  <si>
    <t>MANUEL ROMEL</t>
  </si>
  <si>
    <t>RAMON HURTADO</t>
  </si>
  <si>
    <t>1102367248</t>
  </si>
  <si>
    <t>0985581799</t>
  </si>
  <si>
    <t>romelramon@gmail.com</t>
  </si>
  <si>
    <t>KMPERY LOH 1521</t>
  </si>
  <si>
    <t>KMPERY LOH 1522</t>
  </si>
  <si>
    <t>MYRIAM NARCISA</t>
  </si>
  <si>
    <t>GUAMAN GUAILLAS</t>
  </si>
  <si>
    <t>1105636516</t>
  </si>
  <si>
    <t>0990051335</t>
  </si>
  <si>
    <t>mnguaman01@gmail.com</t>
  </si>
  <si>
    <t>KMPERY LOH 1523</t>
  </si>
  <si>
    <t>JORGE ALEXANDER</t>
  </si>
  <si>
    <t>ABARCA CUENCA</t>
  </si>
  <si>
    <t>1105046757001</t>
  </si>
  <si>
    <t>0979213134</t>
  </si>
  <si>
    <t>jorgelp560@gmail.com</t>
  </si>
  <si>
    <t>KMPERY LOH 1524</t>
  </si>
  <si>
    <t>HENRY ROBAR</t>
  </si>
  <si>
    <t>BALCAZAR NORIEGA</t>
  </si>
  <si>
    <t>0703980417001</t>
  </si>
  <si>
    <t>0980820447</t>
  </si>
  <si>
    <t>topohenry.balcazal@hotmail.com</t>
  </si>
  <si>
    <t>KMPERY LOH 1525</t>
  </si>
  <si>
    <t>PALO DAVID</t>
  </si>
  <si>
    <t>AYALA PESANTEZ</t>
  </si>
  <si>
    <t>1103878276001</t>
  </si>
  <si>
    <t>0984823379</t>
  </si>
  <si>
    <t>dianamarizolvaldiviezo@gmail.com</t>
  </si>
  <si>
    <t>KMPERY LOH 1526</t>
  </si>
  <si>
    <t xml:space="preserve">DIANA THAIS </t>
  </si>
  <si>
    <t>ORBE VIVANCO</t>
  </si>
  <si>
    <t>1103939821</t>
  </si>
  <si>
    <t>0982201156</t>
  </si>
  <si>
    <t>santiagomanavad@gmail.com</t>
  </si>
  <si>
    <t>KMPERY PTV 1527</t>
  </si>
  <si>
    <t>KMPERY PTV 1528</t>
  </si>
  <si>
    <t xml:space="preserve">RUTH VERONICA </t>
  </si>
  <si>
    <t>CEDEÑO VELIZ</t>
  </si>
  <si>
    <t>1307169456001</t>
  </si>
  <si>
    <t>0986544602</t>
  </si>
  <si>
    <t>ruthvero13@hotmail.com</t>
  </si>
  <si>
    <t>KMPERY PTV 1529</t>
  </si>
  <si>
    <t>CRISTOBAL COLON</t>
  </si>
  <si>
    <t>UBILLOS CEVAYO</t>
  </si>
  <si>
    <t>1304005455001</t>
  </si>
  <si>
    <t>0990510008</t>
  </si>
  <si>
    <t>crisjarvi@hotmail.com</t>
  </si>
  <si>
    <t>KMPERY PTV 1530</t>
  </si>
  <si>
    <t xml:space="preserve">JEFFERSON MANUEL </t>
  </si>
  <si>
    <t>1350768782001</t>
  </si>
  <si>
    <t>0992267099</t>
  </si>
  <si>
    <t>jeffersonmacias9@hotmail.com</t>
  </si>
  <si>
    <t>KMPERY PTV 1531</t>
  </si>
  <si>
    <t>GEOVANNY JESUS</t>
  </si>
  <si>
    <t>MOLINA TOALA</t>
  </si>
  <si>
    <t>1312659871</t>
  </si>
  <si>
    <t>0986663919</t>
  </si>
  <si>
    <t>geovanny.molinat@hotmail.com</t>
  </si>
  <si>
    <t>GIBELIS</t>
  </si>
  <si>
    <t>KMPERY PTV 1532</t>
  </si>
  <si>
    <t xml:space="preserve">VICENTE JUNIOR </t>
  </si>
  <si>
    <t>BRAVO MENDOZA</t>
  </si>
  <si>
    <t>1314617760</t>
  </si>
  <si>
    <t>0991845643</t>
  </si>
  <si>
    <t>junitobravo@outlook.com</t>
  </si>
  <si>
    <t>KMPERY PTV 1533</t>
  </si>
  <si>
    <t>ROBERT WILLIAM</t>
  </si>
  <si>
    <t>LOOR BRAVO</t>
  </si>
  <si>
    <t>1707443048</t>
  </si>
  <si>
    <t>0994362691</t>
  </si>
  <si>
    <t>KMPERY PTV 1534</t>
  </si>
  <si>
    <t>JORGE LEOPOLDO</t>
  </si>
  <si>
    <t>AGUILAR MANZO</t>
  </si>
  <si>
    <t>1309961389</t>
  </si>
  <si>
    <t>0993016770</t>
  </si>
  <si>
    <t>juaguilarm1@outlook.es</t>
  </si>
  <si>
    <t>KMPERY PTV 1535</t>
  </si>
  <si>
    <t>JOSE AQUILINO</t>
  </si>
  <si>
    <t>GARCIA LOOR</t>
  </si>
  <si>
    <t>1309426821</t>
  </si>
  <si>
    <t>0988852327</t>
  </si>
  <si>
    <t>josegarcia-1978@hotmail.com</t>
  </si>
  <si>
    <t>KMPERY PTV 1536</t>
  </si>
  <si>
    <t>CECILIA ELIZABETH</t>
  </si>
  <si>
    <t>VILLAMAR VELIZ</t>
  </si>
  <si>
    <t>0928595297</t>
  </si>
  <si>
    <t>0988770864</t>
  </si>
  <si>
    <t>elizavillavel@gmail.com</t>
  </si>
  <si>
    <t>KMPERY CUE 1537</t>
  </si>
  <si>
    <t>PAUL XAVIER</t>
  </si>
  <si>
    <t>PALLCHISACA LLIGUISUPA</t>
  </si>
  <si>
    <t>0105910418</t>
  </si>
  <si>
    <t>0981912995</t>
  </si>
  <si>
    <t>paullespaulo@hotmail.com</t>
  </si>
  <si>
    <t>KMPERY CUE 1538</t>
  </si>
  <si>
    <t>FRANKLIN EDUARDO</t>
  </si>
  <si>
    <t>QUIZPHI BUESTAN</t>
  </si>
  <si>
    <t>0105194559001</t>
  </si>
  <si>
    <t>0989656903</t>
  </si>
  <si>
    <t>franklin.quizhpi92@gmail.com</t>
  </si>
  <si>
    <t>KMPERY CUE 1539</t>
  </si>
  <si>
    <t>PAOLA ANDREA</t>
  </si>
  <si>
    <t>RIOFRIO ALBA</t>
  </si>
  <si>
    <t>0106556962</t>
  </si>
  <si>
    <t>0985608889</t>
  </si>
  <si>
    <t>paoriofrio27@hotmail.com</t>
  </si>
  <si>
    <t>KMPERY CUE 1540</t>
  </si>
  <si>
    <t xml:space="preserve">MARTHA CECILIA </t>
  </si>
  <si>
    <t>TENESACA QUITIO</t>
  </si>
  <si>
    <t>0301980397</t>
  </si>
  <si>
    <t>0980757523</t>
  </si>
  <si>
    <t>marthaceciliatenesaca@gmail.com</t>
  </si>
  <si>
    <t>KMPERY CUE 1541</t>
  </si>
  <si>
    <t>CRISTHIAN SANTIAGO</t>
  </si>
  <si>
    <t>SOCOLA FEIJO</t>
  </si>
  <si>
    <t>1105786337</t>
  </si>
  <si>
    <t>0963514635</t>
  </si>
  <si>
    <t>flaco_santi27@hotmail.com</t>
  </si>
  <si>
    <t>KMPERY CUE 1542</t>
  </si>
  <si>
    <t>ROSALES ABAD</t>
  </si>
  <si>
    <t>0105084271001</t>
  </si>
  <si>
    <t>0987100970</t>
  </si>
  <si>
    <t>copasoccer_live@hotmail.com</t>
  </si>
  <si>
    <t>KMPERY CUE 1543</t>
  </si>
  <si>
    <t xml:space="preserve">JENNY MARIBEL </t>
  </si>
  <si>
    <t>MOROCHO SANTOS</t>
  </si>
  <si>
    <t>0105767990</t>
  </si>
  <si>
    <t>0993017120</t>
  </si>
  <si>
    <t>maribel2013@gmail.com</t>
  </si>
  <si>
    <t>KMPERY CUE 1544</t>
  </si>
  <si>
    <t>CARLOSARTURO</t>
  </si>
  <si>
    <t>CORAIZACA POGYO</t>
  </si>
  <si>
    <t>0102681020</t>
  </si>
  <si>
    <t>0985422231</t>
  </si>
  <si>
    <t>carloscoraiza255@gmail.com</t>
  </si>
  <si>
    <t>GYBELYS</t>
  </si>
  <si>
    <t>KMPERY CUE 1545</t>
  </si>
  <si>
    <t xml:space="preserve">ANGEL ROBERTO </t>
  </si>
  <si>
    <t>CARCHIPULLA MOROCHO</t>
  </si>
  <si>
    <t>0104658554</t>
  </si>
  <si>
    <t>0997572473</t>
  </si>
  <si>
    <t>CARTAGENA 2 ADULTOS</t>
  </si>
  <si>
    <t>robercarmorocho@gmail.com</t>
  </si>
  <si>
    <t>KMPERY CUE 1546</t>
  </si>
  <si>
    <t>DELEG SIGUA</t>
  </si>
  <si>
    <t>0105830517</t>
  </si>
  <si>
    <t>0997632459</t>
  </si>
  <si>
    <t>marisadeleg@gmail.com</t>
  </si>
  <si>
    <t>GIBELYS</t>
  </si>
  <si>
    <t>KMPERY CUE 1547</t>
  </si>
  <si>
    <t>OFELIA EMITERIA</t>
  </si>
  <si>
    <t>GUZMAN REYES</t>
  </si>
  <si>
    <t>2100052261001</t>
  </si>
  <si>
    <t>0984558452</t>
  </si>
  <si>
    <t>ofeliemiteriaguz@gmail.com</t>
  </si>
  <si>
    <t>KMPERY CUE 1548</t>
  </si>
  <si>
    <t>LUIS EDUARDO</t>
  </si>
  <si>
    <t>TENESACA TENECELA</t>
  </si>
  <si>
    <t>0102555752</t>
  </si>
  <si>
    <t>0984147730</t>
  </si>
  <si>
    <t>ledut66@gmail.com</t>
  </si>
  <si>
    <t>KMPERY CUE 1549</t>
  </si>
  <si>
    <t>LUIS HUMBERTO</t>
  </si>
  <si>
    <t>CASTAÑEDA CACHIMUEL</t>
  </si>
  <si>
    <t>1003292214</t>
  </si>
  <si>
    <t>0960009171</t>
  </si>
  <si>
    <t xml:space="preserve">PANAMA </t>
  </si>
  <si>
    <t>sunmee2803@gmail.com</t>
  </si>
  <si>
    <t>KMPERY CUE 1550</t>
  </si>
  <si>
    <t>KMPERY CUE 1551</t>
  </si>
  <si>
    <t>ELIANA NOEMI</t>
  </si>
  <si>
    <t>VANEGAS ASTUDILLO</t>
  </si>
  <si>
    <t>0103816187</t>
  </si>
  <si>
    <t>0983351592</t>
  </si>
  <si>
    <t>elyvan1@hotmail.com</t>
  </si>
  <si>
    <t>MAYRA/ZINDY</t>
  </si>
  <si>
    <t>KMPERY CUE 1552</t>
  </si>
  <si>
    <t>MARIA PIEDAD</t>
  </si>
  <si>
    <t>GUAMBAÑA AYAVACA</t>
  </si>
  <si>
    <t>0102760758</t>
  </si>
  <si>
    <t>0968088580</t>
  </si>
  <si>
    <t>KMPERY CUE 1553</t>
  </si>
  <si>
    <t>CARRION NAREA</t>
  </si>
  <si>
    <t>0103005971</t>
  </si>
  <si>
    <t>0980753392</t>
  </si>
  <si>
    <t>KMPERY CUE 1554</t>
  </si>
  <si>
    <t>BYRON RUBIRO</t>
  </si>
  <si>
    <t>JARAMILLO PUCHA</t>
  </si>
  <si>
    <t>1104458391</t>
  </si>
  <si>
    <t>0979674292</t>
  </si>
  <si>
    <t>jaramillo.6j-15@hotmail.com</t>
  </si>
  <si>
    <t>KMPERY CUE 1555</t>
  </si>
  <si>
    <t>NUMANCIA ANA</t>
  </si>
  <si>
    <t>QUITO LLIVISACA</t>
  </si>
  <si>
    <t>0102985611</t>
  </si>
  <si>
    <t>0989392123</t>
  </si>
  <si>
    <t>quitoanys@gmail.com</t>
  </si>
  <si>
    <t>KMPERY CUE 1556</t>
  </si>
  <si>
    <t>KMPERY CUE 1557</t>
  </si>
  <si>
    <t>GILBERTO AGUSTIN</t>
  </si>
  <si>
    <t>SALINAS ASTUDILLO</t>
  </si>
  <si>
    <t>0704160126001</t>
  </si>
  <si>
    <t>0987182338</t>
  </si>
  <si>
    <t>austinsalinas82@gmail.com</t>
  </si>
  <si>
    <t>KMPERY CUE 1558</t>
  </si>
  <si>
    <t>CARLA MISHELLE</t>
  </si>
  <si>
    <t>SOLIS QUISHPI</t>
  </si>
  <si>
    <t>0927030866</t>
  </si>
  <si>
    <t>0962629712</t>
  </si>
  <si>
    <t>carla28_1993@hotmail.com</t>
  </si>
  <si>
    <t>KMPERY CUE 1559</t>
  </si>
  <si>
    <t>ALVARO ROSENDO</t>
  </si>
  <si>
    <t>CASTRO GOMEZ</t>
  </si>
  <si>
    <t>0802933424</t>
  </si>
  <si>
    <t>0988558411</t>
  </si>
  <si>
    <t>castrog.95@gmail.com</t>
  </si>
  <si>
    <t>KMPERY CUE 1560</t>
  </si>
  <si>
    <t>ANA LUCIA</t>
  </si>
  <si>
    <t>RAMON QUEZADA</t>
  </si>
  <si>
    <t>0105460547001</t>
  </si>
  <si>
    <t>0981145895</t>
  </si>
  <si>
    <t>anaramon24@hotmail.com</t>
  </si>
  <si>
    <t>KMPERY CUE 1561</t>
  </si>
  <si>
    <t>SILVIA SUSANA</t>
  </si>
  <si>
    <t>PUNINA COLLAI</t>
  </si>
  <si>
    <t>1805420195</t>
  </si>
  <si>
    <t>0960651242</t>
  </si>
  <si>
    <t>aguirregrandal4@gmail.com</t>
  </si>
  <si>
    <t>KMPERY CUE 1562</t>
  </si>
  <si>
    <t>GLADYS REBECA</t>
  </si>
  <si>
    <t>FAJARDO HEREDIA</t>
  </si>
  <si>
    <t>0101809754</t>
  </si>
  <si>
    <t>0990945354</t>
  </si>
  <si>
    <t>gladysfajardo1961@gmail.com</t>
  </si>
  <si>
    <t>KMPERY CUE 1563</t>
  </si>
  <si>
    <t xml:space="preserve">CHRISTIAN ESTEBAN </t>
  </si>
  <si>
    <t>PAZMIÑO  AVILA</t>
  </si>
  <si>
    <t>0105788988</t>
  </si>
  <si>
    <t>0983237077</t>
  </si>
  <si>
    <t>tebo95_esteban@hotmail.com</t>
  </si>
  <si>
    <t>KMPERY CUE 1564</t>
  </si>
  <si>
    <t>TOLEDO DOMINGUEZ</t>
  </si>
  <si>
    <t>0105649974</t>
  </si>
  <si>
    <t>0969470948</t>
  </si>
  <si>
    <t>toledodominguez232013@gmail.com</t>
  </si>
  <si>
    <t>KMPERY CUE 1565</t>
  </si>
  <si>
    <t>DAVID NATANAEL</t>
  </si>
  <si>
    <t>JURADO DURAN</t>
  </si>
  <si>
    <t>0104651831001</t>
  </si>
  <si>
    <t>0968373663</t>
  </si>
  <si>
    <t>durantrucks@gmail.com</t>
  </si>
  <si>
    <t>KMPERY CUE 1566</t>
  </si>
  <si>
    <t xml:space="preserve">ROCIO DE LA NUBE </t>
  </si>
  <si>
    <t>GUAPACASA LOJANO</t>
  </si>
  <si>
    <t>0103824777</t>
  </si>
  <si>
    <t>0985579018</t>
  </si>
  <si>
    <t>lojanorocio689@gmail.com</t>
  </si>
  <si>
    <t>KMPERY CUE 1567</t>
  </si>
  <si>
    <t>RUBER</t>
  </si>
  <si>
    <t>HUAMAN PEREZ</t>
  </si>
  <si>
    <t>0107203093</t>
  </si>
  <si>
    <t>0993298743</t>
  </si>
  <si>
    <t>rhuman1986@hotmail.com</t>
  </si>
  <si>
    <t>KMPERY CUE 1568</t>
  </si>
  <si>
    <t>MARITZA ELIZABETH</t>
  </si>
  <si>
    <t>JIMENEZ CARRION</t>
  </si>
  <si>
    <t>1105131989</t>
  </si>
  <si>
    <t>0980818775</t>
  </si>
  <si>
    <t>eli.jime90@hotmail.com</t>
  </si>
  <si>
    <t>KMPERY CUE 1569</t>
  </si>
  <si>
    <t>ZHAÑAY VILLA</t>
  </si>
  <si>
    <t>0106810575</t>
  </si>
  <si>
    <t>0959265329</t>
  </si>
  <si>
    <t>zhanayluis15@gmail.com</t>
  </si>
  <si>
    <t>KMPERY CUE 1570</t>
  </si>
  <si>
    <t xml:space="preserve">EDDISON DANILO  </t>
  </si>
  <si>
    <t>IBARRA RIVERA</t>
  </si>
  <si>
    <t>1207494061</t>
  </si>
  <si>
    <t>0967255440</t>
  </si>
  <si>
    <t>danny_liga99@hotmail.com</t>
  </si>
  <si>
    <t>KMPERY GYE 1571</t>
  </si>
  <si>
    <t>DUSSAN RONALDO</t>
  </si>
  <si>
    <t>POVEDA FIGUEROA</t>
  </si>
  <si>
    <t>1207722263</t>
  </si>
  <si>
    <t>0999362489</t>
  </si>
  <si>
    <t>dussanpoveda1998@gmail.com</t>
  </si>
  <si>
    <t>KMPERY GYE 1572</t>
  </si>
  <si>
    <t>HECTOR ADRIAN</t>
  </si>
  <si>
    <t>ESPINOSA MENDOZA</t>
  </si>
  <si>
    <t>0921158788</t>
  </si>
  <si>
    <t>0939315231</t>
  </si>
  <si>
    <t>fahuce@gmail.com</t>
  </si>
  <si>
    <t>KMPERY GYE 1573</t>
  </si>
  <si>
    <t>ANDY STEVEN</t>
  </si>
  <si>
    <t xml:space="preserve">MACIAS IZQUIERDO </t>
  </si>
  <si>
    <t>0927036483</t>
  </si>
  <si>
    <t>0967002881</t>
  </si>
  <si>
    <t>aandy.maciass@hotmail.com</t>
  </si>
  <si>
    <t>KMPERY GYE 1574</t>
  </si>
  <si>
    <t>YUDITH BETSABETH</t>
  </si>
  <si>
    <t>SANTANA HOLGUIN</t>
  </si>
  <si>
    <t>0952076560</t>
  </si>
  <si>
    <t>0961117520</t>
  </si>
  <si>
    <t>ybsantana94@hotmail.com</t>
  </si>
  <si>
    <t>KMPERY GYE 1575</t>
  </si>
  <si>
    <t>GINA LEONELA</t>
  </si>
  <si>
    <t>LINO ORTIZ</t>
  </si>
  <si>
    <t>0926514241</t>
  </si>
  <si>
    <t>0960202520</t>
  </si>
  <si>
    <t>ginalina29@gmail.com</t>
  </si>
  <si>
    <t>KMPERY GYE 1576</t>
  </si>
  <si>
    <t>SHANON NICOLL</t>
  </si>
  <si>
    <t>ESTRADA SEDAMANOS</t>
  </si>
  <si>
    <t>1104536626</t>
  </si>
  <si>
    <t>0982074226</t>
  </si>
  <si>
    <t>sharon_nicoll_1801@hotmail.com</t>
  </si>
  <si>
    <t>KMPERY GYE 1577</t>
  </si>
  <si>
    <t xml:space="preserve">JOSUE STEEVEN </t>
  </si>
  <si>
    <t>GOMEZ JAIME</t>
  </si>
  <si>
    <t>0951708619</t>
  </si>
  <si>
    <t>0992600475</t>
  </si>
  <si>
    <t>AL DIF 24M</t>
  </si>
  <si>
    <t>josuegomezjaime@gmail.com</t>
  </si>
  <si>
    <t>KMPERY GYE 1578</t>
  </si>
  <si>
    <t>ANGELICA MARIA</t>
  </si>
  <si>
    <t>GOMEZ PINCAY</t>
  </si>
  <si>
    <t>0929471019001</t>
  </si>
  <si>
    <t>0985225790</t>
  </si>
  <si>
    <t>maglincay@gmail.com</t>
  </si>
  <si>
    <t>LEO</t>
  </si>
  <si>
    <t>KMPERY GYE 1579</t>
  </si>
  <si>
    <t>JEFFERSON GABRIEL</t>
  </si>
  <si>
    <t>ORTEGA LAZO</t>
  </si>
  <si>
    <t>0924264013</t>
  </si>
  <si>
    <t>0994183671</t>
  </si>
  <si>
    <t>jorgetegalazo@yahoo.com</t>
  </si>
  <si>
    <t>KMPERY GYE 1580</t>
  </si>
  <si>
    <t>EMERITA DIOSELENA</t>
  </si>
  <si>
    <t>GARCIA SANTILLAN</t>
  </si>
  <si>
    <t>1311069783</t>
  </si>
  <si>
    <t>0986376495</t>
  </si>
  <si>
    <t>gustavitoayala@hotmail.com</t>
  </si>
  <si>
    <t>KMPERY AZG 1581</t>
  </si>
  <si>
    <t>WILSON BENJAMIN</t>
  </si>
  <si>
    <t>CORREA CALLE</t>
  </si>
  <si>
    <t>0301277166</t>
  </si>
  <si>
    <t>0995015525</t>
  </si>
  <si>
    <t>DN DIF 3M</t>
  </si>
  <si>
    <t>wilson080473@hotmail.com</t>
  </si>
  <si>
    <t>CARLOS/ZINDY</t>
  </si>
  <si>
    <t>KMPERY AZG 1582</t>
  </si>
  <si>
    <t>ROSA ALEXANDRA</t>
  </si>
  <si>
    <t>BUSTAMANTE VEGA</t>
  </si>
  <si>
    <t>0301098927</t>
  </si>
  <si>
    <t>0995568788</t>
  </si>
  <si>
    <t>rosy_rabv@hotmail.com</t>
  </si>
  <si>
    <t>GLADYS</t>
  </si>
  <si>
    <t>KMPERY AZG 1583</t>
  </si>
  <si>
    <t>ANZHELA NARCISA</t>
  </si>
  <si>
    <t>ROMERO SOJOS</t>
  </si>
  <si>
    <t>0301338869</t>
  </si>
  <si>
    <t>0983225731</t>
  </si>
  <si>
    <t>DN 24M</t>
  </si>
  <si>
    <t>mateo0612011@hotmail.com</t>
  </si>
  <si>
    <t>KMPERY AZG 1584</t>
  </si>
  <si>
    <t>MONICA LORENA</t>
  </si>
  <si>
    <t>RODRIGUEZ ESCANDON</t>
  </si>
  <si>
    <t>0301022992</t>
  </si>
  <si>
    <t>0987312059</t>
  </si>
  <si>
    <t>molorenare@gma.com</t>
  </si>
  <si>
    <t>KMPERY AZG 1585</t>
  </si>
  <si>
    <t xml:space="preserve">RUTH ZHANETH </t>
  </si>
  <si>
    <t>VERDUGO CRESPO</t>
  </si>
  <si>
    <t>0301287587</t>
  </si>
  <si>
    <t>0987063435</t>
  </si>
  <si>
    <t>rverdugocrespo1@gmail.com</t>
  </si>
  <si>
    <t>KMPERY AZG 1586</t>
  </si>
  <si>
    <t>LUIS EFRAIN</t>
  </si>
  <si>
    <t>GUAMAN VARGAS</t>
  </si>
  <si>
    <t>0302936455</t>
  </si>
  <si>
    <t>0984687929</t>
  </si>
  <si>
    <t>guaman26luis@gmail.com</t>
  </si>
  <si>
    <t>KMPERY AZG 1587</t>
  </si>
  <si>
    <t>LILIANA FRANCISCA</t>
  </si>
  <si>
    <t>CALLE LUNA</t>
  </si>
  <si>
    <t>0301731345</t>
  </si>
  <si>
    <t>0995161378</t>
  </si>
  <si>
    <t>callelinaliliana@gmail.com</t>
  </si>
  <si>
    <t>KMPERY AZG 1588</t>
  </si>
  <si>
    <t>FERNANDEZ OJEDA</t>
  </si>
  <si>
    <t>0301846713001</t>
  </si>
  <si>
    <t>0987192605</t>
  </si>
  <si>
    <t>fernandezmarco332@gmail.com</t>
  </si>
  <si>
    <t>KMPERY AZG 1589</t>
  </si>
  <si>
    <t>JULIO GABRIEL</t>
  </si>
  <si>
    <t>SANMARTIN GONZALEZ</t>
  </si>
  <si>
    <t>0302167085</t>
  </si>
  <si>
    <t>0989899189</t>
  </si>
  <si>
    <t>gabosanmartin1986@gmail.com</t>
  </si>
  <si>
    <t>KMPERY AZG 1590</t>
  </si>
  <si>
    <t xml:space="preserve">FANNY EULALIA </t>
  </si>
  <si>
    <t>SARMIENTO MENDIA</t>
  </si>
  <si>
    <t>0301199832</t>
  </si>
  <si>
    <t>0987216630</t>
  </si>
  <si>
    <t>PUNTA CANA/ cancun</t>
  </si>
  <si>
    <t>sarfanny@hotmail.com</t>
  </si>
  <si>
    <t>KMPERY OTV 1591</t>
  </si>
  <si>
    <t>QUISHPE AVILA</t>
  </si>
  <si>
    <t>1003209382</t>
  </si>
  <si>
    <t>0986849447</t>
  </si>
  <si>
    <t>HOTEL</t>
  </si>
  <si>
    <t>jorgedavila35@gmail.com</t>
  </si>
  <si>
    <t>KMPERY OTV 1592</t>
  </si>
  <si>
    <t>ARTEAGA CERON</t>
  </si>
  <si>
    <t>1003241393</t>
  </si>
  <si>
    <t>0997730257</t>
  </si>
  <si>
    <t>miguelateagaceron@gmail.com</t>
  </si>
  <si>
    <t>KMPERY OTV 1593</t>
  </si>
  <si>
    <t>KLEVER FABIAN</t>
  </si>
  <si>
    <t>NICOLALDE FLORES</t>
  </si>
  <si>
    <t>1003990536</t>
  </si>
  <si>
    <t>0995979943</t>
  </si>
  <si>
    <t>kleverniclx92@gmail.com</t>
  </si>
  <si>
    <t>KMPERY OTV 1594</t>
  </si>
  <si>
    <t>CARMEN ELIZABETH</t>
  </si>
  <si>
    <t>PAREDES ENCALADA</t>
  </si>
  <si>
    <t>1002191961</t>
  </si>
  <si>
    <t>0983943745</t>
  </si>
  <si>
    <t>carmenparedes74_@hotmail.com</t>
  </si>
  <si>
    <t>KMPERY GYE 1595</t>
  </si>
  <si>
    <t>MILTON ENRIQUE</t>
  </si>
  <si>
    <t>MORAN PRIAS</t>
  </si>
  <si>
    <t>0916722416</t>
  </si>
  <si>
    <t>0939934901</t>
  </si>
  <si>
    <t>miltonmonstersoundvgv@gmail.com</t>
  </si>
  <si>
    <t>KMPERY OTV 1596</t>
  </si>
  <si>
    <t>PETER ALEJANDRO</t>
  </si>
  <si>
    <t>BASANTES ENCALADA</t>
  </si>
  <si>
    <t>1001993672</t>
  </si>
  <si>
    <t>0959774846</t>
  </si>
  <si>
    <t>kevinbasantes1234jp@gmail.com</t>
  </si>
  <si>
    <t>KMPERY OTV 1597</t>
  </si>
  <si>
    <t>MUSUÑA SAGNAY</t>
  </si>
  <si>
    <t>0603904038</t>
  </si>
  <si>
    <t>0985368063</t>
  </si>
  <si>
    <t>turquesaartz@gmail.com</t>
  </si>
  <si>
    <t>KMPERY UIO 1598</t>
  </si>
  <si>
    <t>JACKELINE ANA JOSEFINA</t>
  </si>
  <si>
    <t>VERGARA CARRERA</t>
  </si>
  <si>
    <t>1703841203</t>
  </si>
  <si>
    <t>0999973815</t>
  </si>
  <si>
    <t>patiadasn@gmail.com</t>
  </si>
  <si>
    <t>KMPERY UIO 1599</t>
  </si>
  <si>
    <t>HAROLD PATRICIO</t>
  </si>
  <si>
    <t>TROYA VELEZ</t>
  </si>
  <si>
    <t>1717347148</t>
  </si>
  <si>
    <t>0987240437</t>
  </si>
  <si>
    <t>tlousher@gmail.com</t>
  </si>
  <si>
    <t>KMPERY LTG 1600</t>
  </si>
  <si>
    <t xml:space="preserve">BLANCA SUSANA </t>
  </si>
  <si>
    <t>BENTACURT HERRERA</t>
  </si>
  <si>
    <t>1711600005</t>
  </si>
  <si>
    <t>0963449989</t>
  </si>
  <si>
    <t>blancasusanabh@gmail.com</t>
  </si>
  <si>
    <t>ISAAC</t>
  </si>
  <si>
    <t>KMPERY LTG 1601</t>
  </si>
  <si>
    <t>CAPILLA KAROLIS</t>
  </si>
  <si>
    <t>0503170896</t>
  </si>
  <si>
    <t>0998564843</t>
  </si>
  <si>
    <t>analuciacapillakarolis03@gmail.com</t>
  </si>
  <si>
    <t>KMPERY LTG 1602</t>
  </si>
  <si>
    <t xml:space="preserve">CARLOS VINICIO </t>
  </si>
  <si>
    <t>GARCIA OSORIO</t>
  </si>
  <si>
    <t>0502672090001</t>
  </si>
  <si>
    <t>0992329012</t>
  </si>
  <si>
    <t>garciavinicio256@gmail.com</t>
  </si>
  <si>
    <t>KMPERY LTG 1603</t>
  </si>
  <si>
    <t xml:space="preserve">JUAN CRISTOBAL </t>
  </si>
  <si>
    <t>CASTRO</t>
  </si>
  <si>
    <t>1708269095</t>
  </si>
  <si>
    <t>0999854074</t>
  </si>
  <si>
    <t>juan.castro@utc.edu.ec</t>
  </si>
  <si>
    <t>KMPERY LTG 1604</t>
  </si>
  <si>
    <t>CARRANZA VILLAFUERTE</t>
  </si>
  <si>
    <t>1803634631</t>
  </si>
  <si>
    <t>0984345109</t>
  </si>
  <si>
    <t>luiscarranzahan@gmail.com</t>
  </si>
  <si>
    <t>KMPERY LTG 1605</t>
  </si>
  <si>
    <t>MILTON FABIAN</t>
  </si>
  <si>
    <t>VARGAS ALVAREZ</t>
  </si>
  <si>
    <t>1713743050</t>
  </si>
  <si>
    <t>0989208722</t>
  </si>
  <si>
    <t>mifaval2004@yahoo.es</t>
  </si>
  <si>
    <t>KMPERY LTG 1606</t>
  </si>
  <si>
    <t>BUSTILLOS BRAVO</t>
  </si>
  <si>
    <t>0502357965</t>
  </si>
  <si>
    <t>0998229258</t>
  </si>
  <si>
    <t>juanbustillos77@hotmail.com</t>
  </si>
  <si>
    <t>KMPERY STD 1607</t>
  </si>
  <si>
    <t xml:space="preserve">MARIA ESTHER </t>
  </si>
  <si>
    <t>CEDEÑO MELO</t>
  </si>
  <si>
    <t>2300028343</t>
  </si>
  <si>
    <t>0981716184</t>
  </si>
  <si>
    <t>mariaesther_22leo@hotmail.com</t>
  </si>
  <si>
    <t>KMPERY STD 1608</t>
  </si>
  <si>
    <t>EDITA VERONICA</t>
  </si>
  <si>
    <t>COX CALDERON</t>
  </si>
  <si>
    <t>1718351974</t>
  </si>
  <si>
    <t>0989788254</t>
  </si>
  <si>
    <t>editacox26@gmail.com</t>
  </si>
  <si>
    <t>KMPERY STD 1609</t>
  </si>
  <si>
    <t>ROSARIO ELIZABETH</t>
  </si>
  <si>
    <t>DE LA CRUZ VERDUGA</t>
  </si>
  <si>
    <t>1716541238</t>
  </si>
  <si>
    <t>0996336035</t>
  </si>
  <si>
    <t>charitofiorela@hotmail.com</t>
  </si>
  <si>
    <t>KMPERY STD 1610</t>
  </si>
  <si>
    <t>HIDERES NICOLAS</t>
  </si>
  <si>
    <t>LERMA ORDOÑEZ</t>
  </si>
  <si>
    <t>0800906315</t>
  </si>
  <si>
    <t>0990041822</t>
  </si>
  <si>
    <t>lemahideres@hotmail.com</t>
  </si>
  <si>
    <t>KMPERY STD 1611</t>
  </si>
  <si>
    <t>RAMIREZ URBANO</t>
  </si>
  <si>
    <t>0201516382</t>
  </si>
  <si>
    <t>0993082264</t>
  </si>
  <si>
    <t>ecaramirez@hotmail.com</t>
  </si>
  <si>
    <t>KMPERY STD 1612</t>
  </si>
  <si>
    <t>VERONICA FERNANDA</t>
  </si>
  <si>
    <t>ARGUELLO ALVARADO</t>
  </si>
  <si>
    <t>1722352091</t>
  </si>
  <si>
    <t>0984303981</t>
  </si>
  <si>
    <t>verito.arguello@gmail.com</t>
  </si>
  <si>
    <t>KMPERY STD 1613</t>
  </si>
  <si>
    <t>DIGNA ROGELIA</t>
  </si>
  <si>
    <t>GUANO TOAZA</t>
  </si>
  <si>
    <t>1712585155</t>
  </si>
  <si>
    <t>0980599062</t>
  </si>
  <si>
    <t>digna.guano@hotmail.com</t>
  </si>
  <si>
    <t xml:space="preserve">HUGO </t>
  </si>
  <si>
    <t>KMPERY STD 1614</t>
  </si>
  <si>
    <t>BARBARA ELIZABETH</t>
  </si>
  <si>
    <t>VELASQUEZ BECERRA</t>
  </si>
  <si>
    <t>1713515961001</t>
  </si>
  <si>
    <t>0989375187</t>
  </si>
  <si>
    <t>betyka-10@hotmail.com</t>
  </si>
  <si>
    <t>KMPERY STD 1615</t>
  </si>
  <si>
    <t>RIVAS VARGAS</t>
  </si>
  <si>
    <t>2300202328</t>
  </si>
  <si>
    <t>0980690142</t>
  </si>
  <si>
    <t>marcos-rivas1996@hotmail.com</t>
  </si>
  <si>
    <t>KMPERY STD 1616</t>
  </si>
  <si>
    <t>EMMANUEL EDUARDO</t>
  </si>
  <si>
    <t>BAQUE ZAVALA</t>
  </si>
  <si>
    <t>1718791492</t>
  </si>
  <si>
    <t>0985465688</t>
  </si>
  <si>
    <t>eduardobaque.159@gmail.com</t>
  </si>
  <si>
    <t>KMPERY STD 1617</t>
  </si>
  <si>
    <t>JAVIER ISAIAS</t>
  </si>
  <si>
    <t>GUTIERREZ AROCA</t>
  </si>
  <si>
    <t>2300372956</t>
  </si>
  <si>
    <t>0997886603</t>
  </si>
  <si>
    <t>gutierrez-std92@hotmail.com</t>
  </si>
  <si>
    <t>KMPERY STD 1618</t>
  </si>
  <si>
    <t>HUGO ENRIQUE</t>
  </si>
  <si>
    <t>MENDOZA ARMIJOS</t>
  </si>
  <si>
    <t>1713513602001</t>
  </si>
  <si>
    <t>0991883090</t>
  </si>
  <si>
    <t>kikemar2004@yahoo.com</t>
  </si>
  <si>
    <t xml:space="preserve">GIBELYS </t>
  </si>
  <si>
    <t>KMPERY STD 1619</t>
  </si>
  <si>
    <t>JUAN JOSE</t>
  </si>
  <si>
    <t>GUANUCHE GUANUCHI</t>
  </si>
  <si>
    <t>1400472047</t>
  </si>
  <si>
    <t>0985267999</t>
  </si>
  <si>
    <t>guanuchejuan53@gmail.com</t>
  </si>
  <si>
    <t>KMPERY STD 1620</t>
  </si>
  <si>
    <t>MARIA ESPERANZA</t>
  </si>
  <si>
    <t>VALDIVIEZO VERA</t>
  </si>
  <si>
    <t>1204119919</t>
  </si>
  <si>
    <t>0985520148</t>
  </si>
  <si>
    <t>frovi2018@hotmail.com</t>
  </si>
  <si>
    <t>KMPERY STD 1621</t>
  </si>
  <si>
    <t xml:space="preserve">MANUELA GRACIELA </t>
  </si>
  <si>
    <t>CHICAIZA CURCO</t>
  </si>
  <si>
    <t>1720659075</t>
  </si>
  <si>
    <t>0989167312</t>
  </si>
  <si>
    <t>chicaiza.graciela@yahoo.es</t>
  </si>
  <si>
    <t>KMPERY STD 1622</t>
  </si>
  <si>
    <t xml:space="preserve">WAGNER WASHINTON </t>
  </si>
  <si>
    <t>MEJIA GOMEZ</t>
  </si>
  <si>
    <t>1722477831</t>
  </si>
  <si>
    <t>0989111097</t>
  </si>
  <si>
    <t>mejia.wagner@gmail.com</t>
  </si>
  <si>
    <t>KMPERY STD 1623</t>
  </si>
  <si>
    <t>ELVIA MERCEDES</t>
  </si>
  <si>
    <t>ANDRADE RODRIGUEZ</t>
  </si>
  <si>
    <t>1718506148</t>
  </si>
  <si>
    <t>0980171708</t>
  </si>
  <si>
    <t>elviandrade1982@hotmail.com</t>
  </si>
  <si>
    <t>KMPERY STD 1624</t>
  </si>
  <si>
    <t>ARACELY MIREYA</t>
  </si>
  <si>
    <t>LOOR CRUZ</t>
  </si>
  <si>
    <t>1708921851</t>
  </si>
  <si>
    <t>0990305973</t>
  </si>
  <si>
    <t>looraracely663@gmail.com</t>
  </si>
  <si>
    <t>KMPERY OCC 1625</t>
  </si>
  <si>
    <t>GUILLERMO MILTON</t>
  </si>
  <si>
    <t>GREFA LICUY</t>
  </si>
  <si>
    <t>1500529894</t>
  </si>
  <si>
    <t>0980396933</t>
  </si>
  <si>
    <t>miltongrefa10230@gmail.com</t>
  </si>
  <si>
    <t>KMPERY OCC 1626</t>
  </si>
  <si>
    <t>JENNY BEATRIZ</t>
  </si>
  <si>
    <t>OCHOA SALVATIERRA</t>
  </si>
  <si>
    <t>1307018125001</t>
  </si>
  <si>
    <t>0996164483</t>
  </si>
  <si>
    <t>jennybeatriz0707@hotmail.com</t>
  </si>
  <si>
    <t>KMPERY OCC 1627</t>
  </si>
  <si>
    <t>EMMI ARELIZ</t>
  </si>
  <si>
    <t>POTOSI BERNAL</t>
  </si>
  <si>
    <t>2200420624</t>
  </si>
  <si>
    <t>0980663691</t>
  </si>
  <si>
    <t>potosiemmi59@gmail.com</t>
  </si>
  <si>
    <t>KMPERY OCC 1628</t>
  </si>
  <si>
    <t>LEONCIO ARTIDORO</t>
  </si>
  <si>
    <t>CASTILLO MUÑOZ</t>
  </si>
  <si>
    <t>1500497381001</t>
  </si>
  <si>
    <t>0991815697</t>
  </si>
  <si>
    <t>leoncio_castillo@hotmail.com</t>
  </si>
  <si>
    <t>KMPERY OCC 1629</t>
  </si>
  <si>
    <t>VERONICA ELIZABETH</t>
  </si>
  <si>
    <t>ANDRADE BALSECA</t>
  </si>
  <si>
    <t>2100308770</t>
  </si>
  <si>
    <t>0996919941</t>
  </si>
  <si>
    <t>VS  DIF 24M</t>
  </si>
  <si>
    <t>vero_elizabeth05@hotmail.com</t>
  </si>
  <si>
    <t>KMPERY OCC 1630</t>
  </si>
  <si>
    <t>WILMER RAMON</t>
  </si>
  <si>
    <t>CEDEÑO MANTILLA</t>
  </si>
  <si>
    <t>2200008734</t>
  </si>
  <si>
    <t>0983576243</t>
  </si>
  <si>
    <t>cedenow170@gmail.com</t>
  </si>
  <si>
    <t>KMPERY OCC 1631</t>
  </si>
  <si>
    <t>GONZALEZ MEDINA</t>
  </si>
  <si>
    <t>1105678674</t>
  </si>
  <si>
    <t>0993441227</t>
  </si>
  <si>
    <t>VS 24M</t>
  </si>
  <si>
    <t>carlitosgonza1993@gmail.com</t>
  </si>
  <si>
    <t>KMPERY OCC 1632</t>
  </si>
  <si>
    <t xml:space="preserve">LUIS ALEJANDRO </t>
  </si>
  <si>
    <t>QUINTERO GARCIA</t>
  </si>
  <si>
    <t>2100286067</t>
  </si>
  <si>
    <t>0982979796</t>
  </si>
  <si>
    <t>lui.alejandro22@hotmail.com</t>
  </si>
  <si>
    <t>KMPERY OCC 1633</t>
  </si>
  <si>
    <t>ROSA SUSANA</t>
  </si>
  <si>
    <t>GUALAVISI FARINANGO</t>
  </si>
  <si>
    <t>1709414740</t>
  </si>
  <si>
    <t>0996121288</t>
  </si>
  <si>
    <t>rosagualavisi@gmail.com</t>
  </si>
  <si>
    <t>KMPERY IBR 1634</t>
  </si>
  <si>
    <t>KMPERY SSF 1635</t>
  </si>
  <si>
    <t>MARIA VIOLETA</t>
  </si>
  <si>
    <t>VERA ORELLANA</t>
  </si>
  <si>
    <t>0702285370</t>
  </si>
  <si>
    <t>0993610692</t>
  </si>
  <si>
    <t>VS DEBITO</t>
  </si>
  <si>
    <t>violeta_vera_m@hotmail.com</t>
  </si>
  <si>
    <t>KMPERY SSF 1636</t>
  </si>
  <si>
    <t>HENRY PAUL</t>
  </si>
  <si>
    <t>OJEDA SARMIENTO</t>
  </si>
  <si>
    <t>1803894490</t>
  </si>
  <si>
    <t>0981969813</t>
  </si>
  <si>
    <t>pulojeda41@gmail.com</t>
  </si>
  <si>
    <t>KMPERY SSF 1637</t>
  </si>
  <si>
    <t>VICENTE JAVIER</t>
  </si>
  <si>
    <t>BENAVIDES TAMAMI</t>
  </si>
  <si>
    <t>0202519237</t>
  </si>
  <si>
    <t>0984751836</t>
  </si>
  <si>
    <t>vicentejavier-mat@hotmail.com</t>
  </si>
  <si>
    <t>KMPERY SSF 1638</t>
  </si>
  <si>
    <t>HENRY LEODAN</t>
  </si>
  <si>
    <t>2100797071</t>
  </si>
  <si>
    <t>0990368900</t>
  </si>
  <si>
    <t>garciahenrygtt97@outlook.com</t>
  </si>
  <si>
    <t>KMPERY IBR 1639</t>
  </si>
  <si>
    <t>SEGUNDO RAUL</t>
  </si>
  <si>
    <t>POZO QUILCA</t>
  </si>
  <si>
    <t>1002150652</t>
  </si>
  <si>
    <t>0939385220</t>
  </si>
  <si>
    <t>srpozo1973@gmail.com</t>
  </si>
  <si>
    <t>CARLOS/LEO</t>
  </si>
  <si>
    <t>KMPERY IBR 1640</t>
  </si>
  <si>
    <t>JESSICA SOFIA</t>
  </si>
  <si>
    <t>ICHAU FARINGO</t>
  </si>
  <si>
    <t>1004904783</t>
  </si>
  <si>
    <t>0991086328</t>
  </si>
  <si>
    <t>jessicaichau56@gmail.com</t>
  </si>
  <si>
    <t>KMPERY IBR 1641</t>
  </si>
  <si>
    <t xml:space="preserve">PAULO CESAR </t>
  </si>
  <si>
    <t>CORDOVA VINUEZA</t>
  </si>
  <si>
    <t>1003071733001</t>
  </si>
  <si>
    <t>0996768888</t>
  </si>
  <si>
    <t>paulom16111@gmail.com</t>
  </si>
  <si>
    <t>KMPERY LOH 1642</t>
  </si>
  <si>
    <t>GLADYS SOLEDAD</t>
  </si>
  <si>
    <t>ABAD</t>
  </si>
  <si>
    <t>1102530092</t>
  </si>
  <si>
    <t>0982421491</t>
  </si>
  <si>
    <t>glasol@live.com</t>
  </si>
  <si>
    <t>KMPERY LOH 1643</t>
  </si>
  <si>
    <t>IRMA ISABEL</t>
  </si>
  <si>
    <t>GUAMAN CARTUCHE</t>
  </si>
  <si>
    <t>1104888480001</t>
  </si>
  <si>
    <t>0968432602</t>
  </si>
  <si>
    <t>irmag6129@gmail.com</t>
  </si>
  <si>
    <t>KMPERY LOH 1644</t>
  </si>
  <si>
    <t>SANDRA MARIBEL</t>
  </si>
  <si>
    <t>CARTUCHE SANMARTIN</t>
  </si>
  <si>
    <t>1104225063</t>
  </si>
  <si>
    <t>0999291459</t>
  </si>
  <si>
    <t>sandracartuchesanmartin@gmail.com</t>
  </si>
  <si>
    <t xml:space="preserve">ISAAC </t>
  </si>
  <si>
    <t>KMPERY LOH 1645</t>
  </si>
  <si>
    <t>MONICA ALEXANDRA</t>
  </si>
  <si>
    <t>CAMPOVERDE VASQUEZ</t>
  </si>
  <si>
    <t>1103879050</t>
  </si>
  <si>
    <t>0999560003</t>
  </si>
  <si>
    <t>GALAPAGOS HOSPEDAJE</t>
  </si>
  <si>
    <t>munyticom_15@yahoo.es</t>
  </si>
  <si>
    <t>KMPERY LOH 1646</t>
  </si>
  <si>
    <t>SEGUNDO JOSE</t>
  </si>
  <si>
    <t>DANDOVAL RAMOS</t>
  </si>
  <si>
    <t>1101835625</t>
  </si>
  <si>
    <t>0982824313</t>
  </si>
  <si>
    <t>SEGUNDO-SANDOVAL61@HOTMAIL.ES</t>
  </si>
  <si>
    <t>KMPERY LOH 1647</t>
  </si>
  <si>
    <t>JANINA DE LOS ANGELES</t>
  </si>
  <si>
    <t>TAPIA CUENCA</t>
  </si>
  <si>
    <t>1104880560</t>
  </si>
  <si>
    <t>0995951248</t>
  </si>
  <si>
    <t>janinatapia@gmail.com</t>
  </si>
  <si>
    <t>KMPERY LOH 1648</t>
  </si>
  <si>
    <t xml:space="preserve">CARLOS ALCIVAR </t>
  </si>
  <si>
    <t>CUENCA VIVANCO</t>
  </si>
  <si>
    <t>1105048936001</t>
  </si>
  <si>
    <t>0984107926</t>
  </si>
  <si>
    <t>karlitoscuenca1993@gmail.com</t>
  </si>
  <si>
    <t>KMPERY LOH 1649</t>
  </si>
  <si>
    <t>WILMAR FERNANDO</t>
  </si>
  <si>
    <t>GUALPA GUAYCHA</t>
  </si>
  <si>
    <t>1105114860</t>
  </si>
  <si>
    <t>0980137893</t>
  </si>
  <si>
    <t>wilmanfernando1995@gmail.com</t>
  </si>
  <si>
    <t>KMPERY LOH 1650</t>
  </si>
  <si>
    <t xml:space="preserve">MAGALY ANDREINA </t>
  </si>
  <si>
    <t>VILLA PUCHAICELA</t>
  </si>
  <si>
    <t>1104566755</t>
  </si>
  <si>
    <t>0992185881</t>
  </si>
  <si>
    <t>magalysa89@hotmail.com</t>
  </si>
  <si>
    <t>KMPERY LOH 1651</t>
  </si>
  <si>
    <t>OLIVIO SIVANO</t>
  </si>
  <si>
    <t>AGILA</t>
  </si>
  <si>
    <t>1101834495</t>
  </si>
  <si>
    <t>0993783870</t>
  </si>
  <si>
    <t>aliciaguamango@hotmail.com</t>
  </si>
  <si>
    <t>KMPERY LOH 1652</t>
  </si>
  <si>
    <t>CARMEN AGRIPINA</t>
  </si>
  <si>
    <t>VELASQUEZ CASTILLO</t>
  </si>
  <si>
    <t>1104133523</t>
  </si>
  <si>
    <t>0986287985</t>
  </si>
  <si>
    <t>FIN DE SEMANA 0 COSTO</t>
  </si>
  <si>
    <t>carmita_velasquez23@hotmail.com</t>
  </si>
  <si>
    <t>KMPERY LOH 1653</t>
  </si>
  <si>
    <t>AUYI VISUMA</t>
  </si>
  <si>
    <t>1900536325</t>
  </si>
  <si>
    <t>0989454659</t>
  </si>
  <si>
    <t>mishiayui@hotmail.es</t>
  </si>
  <si>
    <t>KMPERY LOH 1654</t>
  </si>
  <si>
    <t>LUPE DEL CARMEN</t>
  </si>
  <si>
    <t>RIVAS LOAIZA</t>
  </si>
  <si>
    <t>1103955884</t>
  </si>
  <si>
    <t>0969147691</t>
  </si>
  <si>
    <t>ldrivas03@hotmail.com</t>
  </si>
  <si>
    <t>KMPERY LOH 1655</t>
  </si>
  <si>
    <t>RUTH SOFIA</t>
  </si>
  <si>
    <t>GRANDA QUINDE</t>
  </si>
  <si>
    <t>1104721236</t>
  </si>
  <si>
    <t>0987337284</t>
  </si>
  <si>
    <t>soniagrandaquinde@gmail.com</t>
  </si>
  <si>
    <t>KMPERY LOH 1656</t>
  </si>
  <si>
    <t>MIGUEL ALEJANDRO</t>
  </si>
  <si>
    <t>RIVERA PIEDRA</t>
  </si>
  <si>
    <t>1104529233001</t>
  </si>
  <si>
    <t>0993893263</t>
  </si>
  <si>
    <t>AM DIF 6M</t>
  </si>
  <si>
    <t>miguel_rp@outlook.com</t>
  </si>
  <si>
    <t>KMPERY LOH 1657</t>
  </si>
  <si>
    <t>MARIA MAGDALENA</t>
  </si>
  <si>
    <t>JARAMILLO JARAMILLO</t>
  </si>
  <si>
    <t>1103890693</t>
  </si>
  <si>
    <t>0997687746</t>
  </si>
  <si>
    <t>maggy233j@hotmail.com</t>
  </si>
  <si>
    <t>KMPERY LOH 1658</t>
  </si>
  <si>
    <t>RUTH</t>
  </si>
  <si>
    <t>1105344822</t>
  </si>
  <si>
    <t>0994074744</t>
  </si>
  <si>
    <t>familydrisna@hotmail.com</t>
  </si>
  <si>
    <t>KMPERY ESM 1659</t>
  </si>
  <si>
    <t>JOSE STALIN</t>
  </si>
  <si>
    <t>BATALLA AYOVI</t>
  </si>
  <si>
    <t>0800281016</t>
  </si>
  <si>
    <t>0997459889</t>
  </si>
  <si>
    <t>batallastanlin@hotmai.com</t>
  </si>
  <si>
    <t>KMPERY ESM 1660</t>
  </si>
  <si>
    <t xml:space="preserve">ELOY JOAQUIN </t>
  </si>
  <si>
    <t>ALBAN ESTUPIÑAN</t>
  </si>
  <si>
    <t>0800461790</t>
  </si>
  <si>
    <t>0994581315</t>
  </si>
  <si>
    <t>eloyalban@hotmail.com</t>
  </si>
  <si>
    <t>KMPERY ESM 1661</t>
  </si>
  <si>
    <t>WILMER ALFREDO</t>
  </si>
  <si>
    <t>CAICEDO AREVALO</t>
  </si>
  <si>
    <t>0803046762001</t>
  </si>
  <si>
    <t>0979912545</t>
  </si>
  <si>
    <t>wilmercaicedooarevalo@hotmail.com</t>
  </si>
  <si>
    <t>KMPERY ESM 1662</t>
  </si>
  <si>
    <t>TARYN YESENIA</t>
  </si>
  <si>
    <t>PALACIOS SALINAS</t>
  </si>
  <si>
    <t>0801861238</t>
  </si>
  <si>
    <t>0994931864</t>
  </si>
  <si>
    <t>taryn_yesenia2006@hotmail.com</t>
  </si>
  <si>
    <t>AUDREY</t>
  </si>
  <si>
    <t>KMPERY ESM 1663</t>
  </si>
  <si>
    <t>ALAVA ROMERO</t>
  </si>
  <si>
    <t>0802375667001</t>
  </si>
  <si>
    <t>0981375276</t>
  </si>
  <si>
    <t>lidermairon@hotmail.com</t>
  </si>
  <si>
    <t>KMPERY ESM 1664</t>
  </si>
  <si>
    <t>JUAN ANDRES</t>
  </si>
  <si>
    <t>MARIN ALCIVAR</t>
  </si>
  <si>
    <t>0802660571</t>
  </si>
  <si>
    <t>0989982162</t>
  </si>
  <si>
    <t>juan5262-@hotmail.com</t>
  </si>
  <si>
    <t>KMPERY ESM 1665</t>
  </si>
  <si>
    <t>BRAVO MACIAS</t>
  </si>
  <si>
    <t>1310624802</t>
  </si>
  <si>
    <t>0991557921</t>
  </si>
  <si>
    <t>juliobravomacias1984@gmail.com</t>
  </si>
  <si>
    <t>KMPERY ESM 1666</t>
  </si>
  <si>
    <t>CAICEDO MERO</t>
  </si>
  <si>
    <t>0802852574</t>
  </si>
  <si>
    <t>0990877010</t>
  </si>
  <si>
    <t>caicedojorge529@gmail.com</t>
  </si>
  <si>
    <t>KMPERY ESM 1667</t>
  </si>
  <si>
    <t>MARIELA</t>
  </si>
  <si>
    <t>ANGULO ZAFIR</t>
  </si>
  <si>
    <t>0800570731</t>
  </si>
  <si>
    <t>0993620389</t>
  </si>
  <si>
    <t>marielasangulozafir@yahoo.com</t>
  </si>
  <si>
    <t>KMPERY ESM 1668</t>
  </si>
  <si>
    <t>EDILMA LILIANA</t>
  </si>
  <si>
    <t>ZAMBRANO LOOR</t>
  </si>
  <si>
    <t>0803247360</t>
  </si>
  <si>
    <t>0988911247</t>
  </si>
  <si>
    <t>lilizambrano1987@yahoo.com</t>
  </si>
  <si>
    <t>KMPERY ESM 1669</t>
  </si>
  <si>
    <t>FREDDY REINALDO</t>
  </si>
  <si>
    <t>GOMEZ RIUMA</t>
  </si>
  <si>
    <t>0800985400</t>
  </si>
  <si>
    <t>0981421538</t>
  </si>
  <si>
    <t>freddygomez1964@yahoo.com</t>
  </si>
  <si>
    <t>KMPERY ESM 1670</t>
  </si>
  <si>
    <t>ERICKSON JOSUE</t>
  </si>
  <si>
    <t>PEREZ CAICEDO</t>
  </si>
  <si>
    <t>0803126829</t>
  </si>
  <si>
    <t>0967291500</t>
  </si>
  <si>
    <t>VISA DIF 24M</t>
  </si>
  <si>
    <t>josue2023coa@gmail.com</t>
  </si>
  <si>
    <t>KMPERY ESM 1671</t>
  </si>
  <si>
    <t>ZAIRA MARIANA</t>
  </si>
  <si>
    <t>ESPINOZA VIVES</t>
  </si>
  <si>
    <t>0802432948</t>
  </si>
  <si>
    <t>0988998545</t>
  </si>
  <si>
    <t>zairaespinoza358@gmail.com</t>
  </si>
  <si>
    <t>KMPERY ESM 1672</t>
  </si>
  <si>
    <t>GABRIELA JAMILETH</t>
  </si>
  <si>
    <t>MOYA QUIÑONEZ</t>
  </si>
  <si>
    <t>0803155993</t>
  </si>
  <si>
    <t>0969118321</t>
  </si>
  <si>
    <t>dovelitalinda@hotmail.com</t>
  </si>
  <si>
    <t>KMPERY ESM 1673</t>
  </si>
  <si>
    <t>MAURA LADIS</t>
  </si>
  <si>
    <t>QUINTERO DE VALENCIA</t>
  </si>
  <si>
    <t>0800773590001</t>
  </si>
  <si>
    <t>0967277502</t>
  </si>
  <si>
    <t>1960mauraquintero@gmail.com</t>
  </si>
  <si>
    <t>KMPERY ESM 1674</t>
  </si>
  <si>
    <t>MANUEL ANTONIO</t>
  </si>
  <si>
    <t>VALENCIA TORRES</t>
  </si>
  <si>
    <t>0801825407</t>
  </si>
  <si>
    <t>0993391062</t>
  </si>
  <si>
    <t>manuelvalenciatorres72@hotmail.com</t>
  </si>
  <si>
    <t>KMPERY ESM 1675</t>
  </si>
  <si>
    <t>SILVIA EUGENIA</t>
  </si>
  <si>
    <t>AVEIGA VERA</t>
  </si>
  <si>
    <t>1725101479</t>
  </si>
  <si>
    <t>0990809037</t>
  </si>
  <si>
    <t>silviaaveiga@hotmail.com</t>
  </si>
  <si>
    <t>KMPERY AMB 1676</t>
  </si>
  <si>
    <t>MARIA ROSALINA</t>
  </si>
  <si>
    <t>UNAUCHO LLUMITASIG</t>
  </si>
  <si>
    <t>1803113388</t>
  </si>
  <si>
    <t>0997779092</t>
  </si>
  <si>
    <t>rosyunaucho@gmail.com</t>
  </si>
  <si>
    <t>KMPERY AMB 1677</t>
  </si>
  <si>
    <t>ERICK JAVIER</t>
  </si>
  <si>
    <t>ANALUISA JARAMILLO</t>
  </si>
  <si>
    <t>1805061742</t>
  </si>
  <si>
    <t>0987068525</t>
  </si>
  <si>
    <t>erick94jaramillo@hotmail.com</t>
  </si>
  <si>
    <t>KMPERY AMB 1678</t>
  </si>
  <si>
    <t>JAIME ESTUARDO</t>
  </si>
  <si>
    <t>PAREDES VITERI</t>
  </si>
  <si>
    <t>1801100171</t>
  </si>
  <si>
    <t>0959767930</t>
  </si>
  <si>
    <t>elisesthetic@gmail.com</t>
  </si>
  <si>
    <t>KMPERY AMB 1679</t>
  </si>
  <si>
    <t>ERICA JICELA</t>
  </si>
  <si>
    <t>QUISPE SANTOS</t>
  </si>
  <si>
    <t>1802870046</t>
  </si>
  <si>
    <t>0992553601</t>
  </si>
  <si>
    <t>erikaquispesantosdome@gmail.com</t>
  </si>
  <si>
    <t>KMPERY AMB 1680</t>
  </si>
  <si>
    <t>MAGALY SOLEDAD</t>
  </si>
  <si>
    <t>GUAMANI GALORA</t>
  </si>
  <si>
    <t>1805531470001</t>
  </si>
  <si>
    <t>0969084228</t>
  </si>
  <si>
    <t>guamanimagaly@gmail.com</t>
  </si>
  <si>
    <t>KMPERY AMB 1681</t>
  </si>
  <si>
    <t>NELLY JEANETH</t>
  </si>
  <si>
    <t>VERDESOTO YANCE</t>
  </si>
  <si>
    <t>1802562478</t>
  </si>
  <si>
    <t>0987610491</t>
  </si>
  <si>
    <t>jeanethvrdsoto@gmail.com</t>
  </si>
  <si>
    <t>KMPERY AMB 1682</t>
  </si>
  <si>
    <t>ESTEBAN JOSUE</t>
  </si>
  <si>
    <t>PAZMIÑO OÑATE</t>
  </si>
  <si>
    <t>1804075073</t>
  </si>
  <si>
    <t>0981411017</t>
  </si>
  <si>
    <t>CANCUNCARD/ PUNTACANA</t>
  </si>
  <si>
    <t>epazmino@avipaz.com</t>
  </si>
  <si>
    <t>KMPERY AMB 1683</t>
  </si>
  <si>
    <t>JARAMILLO SOLEDISPA</t>
  </si>
  <si>
    <t>1804624326001</t>
  </si>
  <si>
    <t>0995510229</t>
  </si>
  <si>
    <t>verojaramillosol1390@gmail.com</t>
  </si>
  <si>
    <t>RICHARD/LEO</t>
  </si>
  <si>
    <t>A1103</t>
  </si>
  <si>
    <t>KMPERY AMB 1684</t>
  </si>
  <si>
    <t>GABRIEL NICOLAS</t>
  </si>
  <si>
    <t>NAVARRETE GOMEZ</t>
  </si>
  <si>
    <t>1804606240001</t>
  </si>
  <si>
    <t>0995582509</t>
  </si>
  <si>
    <t>nico.navarrete19@gmail.com</t>
  </si>
  <si>
    <t>8000</t>
  </si>
  <si>
    <t>KMPERY AMB 1685</t>
  </si>
  <si>
    <t>LUISA MARLENE</t>
  </si>
  <si>
    <t>DIER PAREDES</t>
  </si>
  <si>
    <t>1801415819</t>
  </si>
  <si>
    <t>0998236929</t>
  </si>
  <si>
    <t>luisa_dier@hotmail.com</t>
  </si>
  <si>
    <t>KMPERY AMB 1686</t>
  </si>
  <si>
    <t>JOSE ERNESTO</t>
  </si>
  <si>
    <t>ESCOBAR BRITO</t>
  </si>
  <si>
    <t>1802123297</t>
  </si>
  <si>
    <t>0992571437</t>
  </si>
  <si>
    <t>jeeb1802@hotmail.com</t>
  </si>
  <si>
    <t>KMPERY AMB 1687</t>
  </si>
  <si>
    <t>BYRON ANDRES</t>
  </si>
  <si>
    <t>JACOME ANJA</t>
  </si>
  <si>
    <t>1803549383</t>
  </si>
  <si>
    <t>0999875982</t>
  </si>
  <si>
    <t>byron_jacome1984@hotmail.com</t>
  </si>
  <si>
    <t>KMPERY AMB 1688</t>
  </si>
  <si>
    <t>ANGELA MARIA</t>
  </si>
  <si>
    <t>MENESES CASTRO</t>
  </si>
  <si>
    <t>0920971405</t>
  </si>
  <si>
    <t>0993671484</t>
  </si>
  <si>
    <t>guidopolivio201508@hotmail.com</t>
  </si>
  <si>
    <t>ADRIAN R</t>
  </si>
  <si>
    <t>KMPERY AMB 1689</t>
  </si>
  <si>
    <t>ALEX ARIEL</t>
  </si>
  <si>
    <t>APUNTE AGUILAR</t>
  </si>
  <si>
    <t>1850128180</t>
  </si>
  <si>
    <t>0979650495</t>
  </si>
  <si>
    <t>arielapunte7@gmail.com</t>
  </si>
  <si>
    <t>KMPERY AMB 1690</t>
  </si>
  <si>
    <t>MYRIAM JEANETTE</t>
  </si>
  <si>
    <t>AVILES MORA</t>
  </si>
  <si>
    <t>1803459302</t>
  </si>
  <si>
    <t>0960109587</t>
  </si>
  <si>
    <t>darwin.vicen@hotmail.com</t>
  </si>
  <si>
    <t>700</t>
  </si>
  <si>
    <t>KMPERY AMB 1691</t>
  </si>
  <si>
    <t>PEREZ CORDERO</t>
  </si>
  <si>
    <t>0917530354001</t>
  </si>
  <si>
    <t>0959186533</t>
  </si>
  <si>
    <t>patiperezcordero@gmail.com</t>
  </si>
  <si>
    <t>EDUARDO/VLADIMIR</t>
  </si>
  <si>
    <t>555</t>
  </si>
  <si>
    <t>KMPERY AMB 1692</t>
  </si>
  <si>
    <t>TUTASIG FONSECA</t>
  </si>
  <si>
    <t>0503648313001</t>
  </si>
  <si>
    <t>0983430565</t>
  </si>
  <si>
    <t>maar89@hotmail.com</t>
  </si>
  <si>
    <t>KMPERY AMB 1693</t>
  </si>
  <si>
    <t>ALBA GUADALUPE</t>
  </si>
  <si>
    <t>PAZOS LEDESMA</t>
  </si>
  <si>
    <t>0202025136</t>
  </si>
  <si>
    <t>0984227644</t>
  </si>
  <si>
    <t>albigpl@hotmail.com</t>
  </si>
  <si>
    <t>KMPERY AMB 1694</t>
  </si>
  <si>
    <t>DAVID EDUARDO</t>
  </si>
  <si>
    <t>LLAGUA GUATO</t>
  </si>
  <si>
    <t>1803549185</t>
  </si>
  <si>
    <t>0960746625</t>
  </si>
  <si>
    <t>davidllagua@hotmail.com</t>
  </si>
  <si>
    <t>KMPERY RBM 1695</t>
  </si>
  <si>
    <t>PARCO TAZACAN</t>
  </si>
  <si>
    <t>0604344861001</t>
  </si>
  <si>
    <t>0987426218</t>
  </si>
  <si>
    <t>irmaparco25@gmail.com</t>
  </si>
  <si>
    <t>KMPERY RBM 1696</t>
  </si>
  <si>
    <t>DIANA CAROLINA</t>
  </si>
  <si>
    <t>CARRASCO HINOJOSA</t>
  </si>
  <si>
    <t>1725484750001</t>
  </si>
  <si>
    <t>0992789920</t>
  </si>
  <si>
    <t>dalika.dis@gmail.com</t>
  </si>
  <si>
    <t>KMPERY RBM 1697</t>
  </si>
  <si>
    <t>QUISHPI YUNGAN</t>
  </si>
  <si>
    <t>0603551961</t>
  </si>
  <si>
    <t>0991691747</t>
  </si>
  <si>
    <t>KMPERY RBM 1698</t>
  </si>
  <si>
    <t>AUCANCELA EVAS</t>
  </si>
  <si>
    <t>0603612516</t>
  </si>
  <si>
    <t>0996161961</t>
  </si>
  <si>
    <t>KMPERY RBM 1699</t>
  </si>
  <si>
    <t>GALLARDO REZABALA</t>
  </si>
  <si>
    <t>1716174709001</t>
  </si>
  <si>
    <t>0987442634</t>
  </si>
  <si>
    <t>migallardo79@hotmail.com</t>
  </si>
  <si>
    <t>KMPERY RBM 1700</t>
  </si>
  <si>
    <t>WALTER ORLANDO</t>
  </si>
  <si>
    <t>FLORES MAIGUA</t>
  </si>
  <si>
    <t>0604011098001</t>
  </si>
  <si>
    <t>0963228031</t>
  </si>
  <si>
    <t>walterloresmaigua@gmail.com</t>
  </si>
  <si>
    <t>ZINDY/RICHARD</t>
  </si>
  <si>
    <t>C200</t>
  </si>
  <si>
    <t>KMPERY RBM 1701</t>
  </si>
  <si>
    <t>KMPERY RBM 1702</t>
  </si>
  <si>
    <t>NOEMY ALEXANDRA</t>
  </si>
  <si>
    <t>JANETA MOROCHO</t>
  </si>
  <si>
    <t>0605099621</t>
  </si>
  <si>
    <t>0992635431</t>
  </si>
  <si>
    <t>noemy19942014@gmail.com</t>
  </si>
  <si>
    <t>KMPERY RBM 1703</t>
  </si>
  <si>
    <t xml:space="preserve">ROSA ELENA </t>
  </si>
  <si>
    <t>RAMIREZ GUSQUI</t>
  </si>
  <si>
    <t>0604230045</t>
  </si>
  <si>
    <t>0982927973</t>
  </si>
  <si>
    <t>vro5680@gmail.com</t>
  </si>
  <si>
    <t>KMPERY RBM 1704</t>
  </si>
  <si>
    <t>EDGAR FABIAN</t>
  </si>
  <si>
    <t>TORRES GUANANGA</t>
  </si>
  <si>
    <t>0602077836</t>
  </si>
  <si>
    <t>0984035913</t>
  </si>
  <si>
    <t>edgarftorresg@hotmail.com</t>
  </si>
  <si>
    <t>KMPERY RBM 1705</t>
  </si>
  <si>
    <t>WILLIAM VLADIMIR</t>
  </si>
  <si>
    <t>PILCO CAJO</t>
  </si>
  <si>
    <t>0603451444</t>
  </si>
  <si>
    <t>0985550668</t>
  </si>
  <si>
    <t>willpc@live.com</t>
  </si>
  <si>
    <t>KMPERY RBM 1706</t>
  </si>
  <si>
    <t>MARVIN LEONARDO</t>
  </si>
  <si>
    <t>ROBALINO LOPEZ</t>
  </si>
  <si>
    <t>0602614703</t>
  </si>
  <si>
    <t>0992248515</t>
  </si>
  <si>
    <t>maverickrobalino@gmail.com</t>
  </si>
  <si>
    <t>EDUARDO/LEO</t>
  </si>
  <si>
    <t>KMPERY RBM 1707</t>
  </si>
  <si>
    <t>MANUEL MESIAS</t>
  </si>
  <si>
    <t>CAMINOS INSUASTE</t>
  </si>
  <si>
    <t>0602297269</t>
  </si>
  <si>
    <t>0984422578</t>
  </si>
  <si>
    <t>m.caminos@hotmail.com</t>
  </si>
  <si>
    <t>KMPERY RBM 1708</t>
  </si>
  <si>
    <t>VICENTE</t>
  </si>
  <si>
    <t>HIDALGO</t>
  </si>
  <si>
    <t>0600722219</t>
  </si>
  <si>
    <t>0984191362</t>
  </si>
  <si>
    <t>vicentehidalgolive@gmail.com</t>
  </si>
  <si>
    <t>KMPERY RBM 1709</t>
  </si>
  <si>
    <t xml:space="preserve">ADRIANA ELIZABETH </t>
  </si>
  <si>
    <t>ABARCA  SANCHEZ</t>
  </si>
  <si>
    <t>0605280876001</t>
  </si>
  <si>
    <t>0998911073</t>
  </si>
  <si>
    <t>industriasarben@gmail.com</t>
  </si>
  <si>
    <t>KMPERY RBM 1710</t>
  </si>
  <si>
    <t>BUÑAY YANTELEMA</t>
  </si>
  <si>
    <t>0604518894001</t>
  </si>
  <si>
    <t>0990265531</t>
  </si>
  <si>
    <t>buluisefrain2@gmail.com</t>
  </si>
  <si>
    <t>KMPERY RBM 1711</t>
  </si>
  <si>
    <t>ROSA CONSUELO</t>
  </si>
  <si>
    <t>NIQUINGA CHANGOLUISA</t>
  </si>
  <si>
    <t>1804266896001</t>
  </si>
  <si>
    <t>0998368686</t>
  </si>
  <si>
    <t>Cancún CARD</t>
  </si>
  <si>
    <t>niquingaconsu534@gmail.com</t>
  </si>
  <si>
    <t>KMPERY RBM 1712</t>
  </si>
  <si>
    <t>GUAMAN GUAPULEMA</t>
  </si>
  <si>
    <t>0604549279</t>
  </si>
  <si>
    <t>0989359479</t>
  </si>
  <si>
    <t>miguelin0215@hotmail.com</t>
  </si>
  <si>
    <t>KMPERY RBM 1713</t>
  </si>
  <si>
    <t>MAYRA ELIZABETH</t>
  </si>
  <si>
    <t>LASSO CARRAZCO</t>
  </si>
  <si>
    <t>0603462060</t>
  </si>
  <si>
    <t>0989578441</t>
  </si>
  <si>
    <t>mpao1985@hotmail.com</t>
  </si>
  <si>
    <t>KMPERY RBM 1714</t>
  </si>
  <si>
    <t>MARIA BELEN</t>
  </si>
  <si>
    <t>GUTIERREZ NARVAEZ</t>
  </si>
  <si>
    <t>0604653543</t>
  </si>
  <si>
    <t>0997896292</t>
  </si>
  <si>
    <t>mariabelennarvaez95@gmail.com</t>
  </si>
  <si>
    <t>KMPERY RBM 1715</t>
  </si>
  <si>
    <t>MARIA MARLENE</t>
  </si>
  <si>
    <t>TENEZACA TENELEMA</t>
  </si>
  <si>
    <t>0603557018</t>
  </si>
  <si>
    <t>0939646002</t>
  </si>
  <si>
    <t>marimarlenet@hotmail.com</t>
  </si>
  <si>
    <t>KMPERY PTV 1716</t>
  </si>
  <si>
    <t>TERESA ANNABELL</t>
  </si>
  <si>
    <t>LOOR BERMELLO</t>
  </si>
  <si>
    <t>1310794274</t>
  </si>
  <si>
    <t>0993416296</t>
  </si>
  <si>
    <t>annabell_30lb@hotmail.com</t>
  </si>
  <si>
    <t>KMPERY PTV 1717</t>
  </si>
  <si>
    <t>JUSTO JOSE</t>
  </si>
  <si>
    <t>BERMUDEZ TORO</t>
  </si>
  <si>
    <t>0963551783</t>
  </si>
  <si>
    <t>0988803130</t>
  </si>
  <si>
    <t>justobermudez1@gmail.com</t>
  </si>
  <si>
    <t>KMPERY PTV 1718</t>
  </si>
  <si>
    <t>JOHNNY ALEJANDRO</t>
  </si>
  <si>
    <t>TOALA RIVAS</t>
  </si>
  <si>
    <t>1310371859</t>
  </si>
  <si>
    <t>0963119828</t>
  </si>
  <si>
    <t>alejandrotoalarivas@gmail.com</t>
  </si>
  <si>
    <t>KMPERY PTV 1719</t>
  </si>
  <si>
    <t>YESENIA DEL JESUS</t>
  </si>
  <si>
    <t>ANDRADE ZAMBRANO</t>
  </si>
  <si>
    <t>1309031738</t>
  </si>
  <si>
    <t>0995836806</t>
  </si>
  <si>
    <t>yessyaz1977@hotmail.com</t>
  </si>
  <si>
    <t>9060</t>
  </si>
  <si>
    <t>KMPERY PTV 1720</t>
  </si>
  <si>
    <t>MONICA ELVA</t>
  </si>
  <si>
    <t>VACA CARDENAS</t>
  </si>
  <si>
    <t>0603144908</t>
  </si>
  <si>
    <t>0962105414</t>
  </si>
  <si>
    <t>monica.vaca@utm.edu.ec</t>
  </si>
  <si>
    <t>KMPERY PTV 1721</t>
  </si>
  <si>
    <t>VEGA RUIZ</t>
  </si>
  <si>
    <t>0704906494</t>
  </si>
  <si>
    <t>0986463573</t>
  </si>
  <si>
    <t>gabrielsebastian1992@hotmail.com</t>
  </si>
  <si>
    <t>KMPERY PTV 1722</t>
  </si>
  <si>
    <t>RICHARD MICHAEL</t>
  </si>
  <si>
    <t>PINARGOTE BAZURTO</t>
  </si>
  <si>
    <t>1313389916</t>
  </si>
  <si>
    <t>0982778949</t>
  </si>
  <si>
    <t>keniastefania1993@hotmail.com</t>
  </si>
  <si>
    <t>KMPERY PTV 1723</t>
  </si>
  <si>
    <t>DOLORES ISABEL</t>
  </si>
  <si>
    <t>SABANDO ZAMBRANO</t>
  </si>
  <si>
    <t>1310096639</t>
  </si>
  <si>
    <t>0989183107</t>
  </si>
  <si>
    <t>dra.loly1982@hotmail.com</t>
  </si>
  <si>
    <t>KMPERY PTV 1724</t>
  </si>
  <si>
    <t>RAMON ANTONIO</t>
  </si>
  <si>
    <t>CONTRERAS MOREIRA</t>
  </si>
  <si>
    <t>1307373009</t>
  </si>
  <si>
    <t>0986719219</t>
  </si>
  <si>
    <t>ramoncontrerasmoreira@hotmail.com</t>
  </si>
  <si>
    <t>KMPERY PTV 1725</t>
  </si>
  <si>
    <t>SONIA DE JESUS</t>
  </si>
  <si>
    <t>ZAMORA GARCIA</t>
  </si>
  <si>
    <t>1304735267</t>
  </si>
  <si>
    <t>0961455471</t>
  </si>
  <si>
    <t>soniazamora237@gmail.com</t>
  </si>
  <si>
    <t>SARAI/GIBELYS</t>
  </si>
  <si>
    <t>KMPERY PTV 1726</t>
  </si>
  <si>
    <t>INES DEL CARMEN</t>
  </si>
  <si>
    <t>ALCIVAR MUÑOZ</t>
  </si>
  <si>
    <t>1305938324</t>
  </si>
  <si>
    <t>0939533907</t>
  </si>
  <si>
    <t>inesalcivar-1967@hotmail.com</t>
  </si>
  <si>
    <t>KMPERY PTV 1727</t>
  </si>
  <si>
    <t>MAYRA ALEXANDRA</t>
  </si>
  <si>
    <t>GARCIA ANDRADE</t>
  </si>
  <si>
    <t>1312896937001</t>
  </si>
  <si>
    <t>0969238259</t>
  </si>
  <si>
    <t>andradegarciamayra@gmail.com</t>
  </si>
  <si>
    <t>KMPERY PTV 1728</t>
  </si>
  <si>
    <t>POLA MARY</t>
  </si>
  <si>
    <t>SILVA ALVARADO</t>
  </si>
  <si>
    <t>1305874677</t>
  </si>
  <si>
    <t>0968088339</t>
  </si>
  <si>
    <t>poly_m_silva_3@hotmail.com</t>
  </si>
  <si>
    <t>KMPERY PTV 1729</t>
  </si>
  <si>
    <t>CRISTHIAN ALEJANDRO</t>
  </si>
  <si>
    <t>GARCIA VERGARA</t>
  </si>
  <si>
    <t>1315527828</t>
  </si>
  <si>
    <t>0968062699</t>
  </si>
  <si>
    <t>chiquito58@live.com</t>
  </si>
  <si>
    <t>VLADIMIR/EDUARDO</t>
  </si>
  <si>
    <t>KMPERY PTV 1730</t>
  </si>
  <si>
    <t>JAIME POMERIO</t>
  </si>
  <si>
    <t>GOMEZ BRIONES</t>
  </si>
  <si>
    <t>1309700050</t>
  </si>
  <si>
    <t>0959622725</t>
  </si>
  <si>
    <t>guapopoll@hotmail.com</t>
  </si>
  <si>
    <t>KMPERY PTV 1731</t>
  </si>
  <si>
    <t>NATIVIDAD NARCISA</t>
  </si>
  <si>
    <t>MESA BRIONES</t>
  </si>
  <si>
    <t>1303471419</t>
  </si>
  <si>
    <t>0994290450</t>
  </si>
  <si>
    <t>narcimebri@hotmail.com</t>
  </si>
  <si>
    <t>KMPERY PTV 1732</t>
  </si>
  <si>
    <t>RONY  RAMON</t>
  </si>
  <si>
    <t>VALLE MENDOZA</t>
  </si>
  <si>
    <t>1206419192</t>
  </si>
  <si>
    <t>0995825369</t>
  </si>
  <si>
    <t>ron.y.1988@hotmail.com</t>
  </si>
  <si>
    <t>KMPERY PTV 1733</t>
  </si>
  <si>
    <t>MARITZA LISSETH</t>
  </si>
  <si>
    <t>LOOR VELIZ</t>
  </si>
  <si>
    <t>1314416759</t>
  </si>
  <si>
    <t>0989298248</t>
  </si>
  <si>
    <t>maritzaloor_chinita@hotmail.com</t>
  </si>
  <si>
    <t>KMPERY PTV 1734</t>
  </si>
  <si>
    <t>AIDA LORENA</t>
  </si>
  <si>
    <t>QUINTEROSDE LA CRUZ</t>
  </si>
  <si>
    <t>0918747403</t>
  </si>
  <si>
    <t>0983662568</t>
  </si>
  <si>
    <t>ailoren11@outlook.com</t>
  </si>
  <si>
    <t>KMPERY PTV 1735</t>
  </si>
  <si>
    <t>LUIS FELIPE</t>
  </si>
  <si>
    <t>CARREÑO VELEZ</t>
  </si>
  <si>
    <t>1310633899001</t>
  </si>
  <si>
    <t>0959528083</t>
  </si>
  <si>
    <t>luifeloorvel@hotmail.com</t>
  </si>
  <si>
    <t>KMPERY PTV 1736</t>
  </si>
  <si>
    <t>CARMEN VERONICA</t>
  </si>
  <si>
    <t>ARIAS AVILA</t>
  </si>
  <si>
    <t>1312322660</t>
  </si>
  <si>
    <t>0939731577</t>
  </si>
  <si>
    <t>vcarmeorios1987@gmail.com</t>
  </si>
  <si>
    <t>700/A1103</t>
  </si>
  <si>
    <t>KMPERY PTV 1737</t>
  </si>
  <si>
    <t>ROSARIO JACINTA</t>
  </si>
  <si>
    <t>ROMERO RUIZ</t>
  </si>
  <si>
    <t>1311459620</t>
  </si>
  <si>
    <t>0993431801</t>
  </si>
  <si>
    <t>SC</t>
  </si>
  <si>
    <t>KMPERY PTV 1738</t>
  </si>
  <si>
    <t>JOSE GUILLERMO</t>
  </si>
  <si>
    <t>SALAZAR SIERRA</t>
  </si>
  <si>
    <t>1311837882</t>
  </si>
  <si>
    <t>0963811174</t>
  </si>
  <si>
    <t>joseguille_123@hotmail.com</t>
  </si>
  <si>
    <t>KMPERY PTV 1739</t>
  </si>
  <si>
    <t>HUGO ADRIAN</t>
  </si>
  <si>
    <t>SANTOS VELIZ</t>
  </si>
  <si>
    <t>1310998933001</t>
  </si>
  <si>
    <t>0969083992</t>
  </si>
  <si>
    <t>hugosantosdj@hotmail.com</t>
  </si>
  <si>
    <t>KMPERY PTV 1740</t>
  </si>
  <si>
    <t>RAMON EDUARDO</t>
  </si>
  <si>
    <t>JAIMEZ ARELLANO</t>
  </si>
  <si>
    <t>0961161304001</t>
  </si>
  <si>
    <t>0996081803</t>
  </si>
  <si>
    <t>rjaimezarellano@gmail.com</t>
  </si>
  <si>
    <t>KMPERY CUE 1741</t>
  </si>
  <si>
    <t>ROSA MERCEDES</t>
  </si>
  <si>
    <t>PAUTA QUIZHPI</t>
  </si>
  <si>
    <t>0106452675</t>
  </si>
  <si>
    <t>0980627291</t>
  </si>
  <si>
    <t>rouus89@outlook.com</t>
  </si>
  <si>
    <t>300</t>
  </si>
  <si>
    <t>KMPERY CUE 1742</t>
  </si>
  <si>
    <t>MONTALEZA CARRERA</t>
  </si>
  <si>
    <t>0906856539</t>
  </si>
  <si>
    <t>0991420705</t>
  </si>
  <si>
    <t>maria.montaleza@hotmail.com</t>
  </si>
  <si>
    <t>KMPERY CUE 1743</t>
  </si>
  <si>
    <t>NORMA ELIZABETH</t>
  </si>
  <si>
    <t>TORRES ESPIN</t>
  </si>
  <si>
    <t>0503125262</t>
  </si>
  <si>
    <t>0995984908</t>
  </si>
  <si>
    <t>e.eliz.emy@hotmail.com</t>
  </si>
  <si>
    <t>600</t>
  </si>
  <si>
    <t>KMPERY CUE 1744</t>
  </si>
  <si>
    <t>FREDY TARQUINO</t>
  </si>
  <si>
    <t>0103943080</t>
  </si>
  <si>
    <t>0998851341</t>
  </si>
  <si>
    <t>freddymorocho.76@hotmail.com</t>
  </si>
  <si>
    <t>KMPERY CUE 1745</t>
  </si>
  <si>
    <t>LESLIE SOFIA</t>
  </si>
  <si>
    <t>TAPIA CURRILLO</t>
  </si>
  <si>
    <t>0102817020001</t>
  </si>
  <si>
    <t>0958883156</t>
  </si>
  <si>
    <t>lest26@hotmail.com</t>
  </si>
  <si>
    <t>KMPERY CUE 1746</t>
  </si>
  <si>
    <t>ZOILA DOLORES</t>
  </si>
  <si>
    <t>SINCHI SINCHI</t>
  </si>
  <si>
    <t>0107087447001</t>
  </si>
  <si>
    <t>0993876328</t>
  </si>
  <si>
    <t>zoilasinchi1981@gmail.com</t>
  </si>
  <si>
    <t>KMPERY CUE 1747</t>
  </si>
  <si>
    <t>FREDDY FERNANDO</t>
  </si>
  <si>
    <t>RIVERA ORTIZ</t>
  </si>
  <si>
    <t>0106142615</t>
  </si>
  <si>
    <t>0979343197</t>
  </si>
  <si>
    <t>frnandito1996123@gmail.com</t>
  </si>
  <si>
    <t>KMPERY CUE 1748</t>
  </si>
  <si>
    <t>MARITZA FERNANDA</t>
  </si>
  <si>
    <t>MONTENEGRO LOJA</t>
  </si>
  <si>
    <t>0302604830</t>
  </si>
  <si>
    <t>0979149700</t>
  </si>
  <si>
    <t>afers@live.com</t>
  </si>
  <si>
    <t>KMPERY CUE 1749</t>
  </si>
  <si>
    <t>PATRICIO OSWALDO</t>
  </si>
  <si>
    <t>CRIOLLO ZHINGRI</t>
  </si>
  <si>
    <t>0103897146</t>
  </si>
  <si>
    <t>0998320202</t>
  </si>
  <si>
    <t>patricio7146@gmail.com</t>
  </si>
  <si>
    <t>KMPERY CUE 1750</t>
  </si>
  <si>
    <t>PABLO ANDRES</t>
  </si>
  <si>
    <t>HEREDIA CRIOLLO</t>
  </si>
  <si>
    <t>0105950844</t>
  </si>
  <si>
    <t>0987794342</t>
  </si>
  <si>
    <t>herediaph7@gmail.com</t>
  </si>
  <si>
    <t>KMPERY CUE 1751</t>
  </si>
  <si>
    <t>KETTY SILVANA</t>
  </si>
  <si>
    <t>TAPPIA GUZMAN</t>
  </si>
  <si>
    <t>0106061054</t>
  </si>
  <si>
    <t>0987733534</t>
  </si>
  <si>
    <t>ketty1989@gmail.com</t>
  </si>
  <si>
    <t>KMPERY CUE 1752</t>
  </si>
  <si>
    <t>NEYSCER WILFRIDO</t>
  </si>
  <si>
    <t>RAMOS VASQUEZ</t>
  </si>
  <si>
    <t>0201608502</t>
  </si>
  <si>
    <t>0996544447</t>
  </si>
  <si>
    <t>chaconmirian2@gmail.com</t>
  </si>
  <si>
    <t>KMPERY CUE 1753</t>
  </si>
  <si>
    <t>VIVIANA LISBETH</t>
  </si>
  <si>
    <t>UREÑA RODRIGUEZ</t>
  </si>
  <si>
    <t>1400847487</t>
  </si>
  <si>
    <t>0992377857</t>
  </si>
  <si>
    <t>davidmunoz190890@gmail.com</t>
  </si>
  <si>
    <t>KMPERY CUE 1754</t>
  </si>
  <si>
    <t>JOSE MIGUEL</t>
  </si>
  <si>
    <t>TIGRE MEDINA</t>
  </si>
  <si>
    <t>0105391247</t>
  </si>
  <si>
    <t>0980074624</t>
  </si>
  <si>
    <t>leninpepito@hotmail.com</t>
  </si>
  <si>
    <t>KMPERY CUE 1755</t>
  </si>
  <si>
    <t>MAYRA ELISA</t>
  </si>
  <si>
    <t>MORA BRAVO</t>
  </si>
  <si>
    <t>0105959431</t>
  </si>
  <si>
    <t>0969196873</t>
  </si>
  <si>
    <t>elymb331@gmail.com</t>
  </si>
  <si>
    <t>KMPERY CUE 1756</t>
  </si>
  <si>
    <t>NANCY MATILDE</t>
  </si>
  <si>
    <t>QUITO TENESACA</t>
  </si>
  <si>
    <t>0102899457</t>
  </si>
  <si>
    <t>0992612248</t>
  </si>
  <si>
    <t>nquito1975@hotmail.com</t>
  </si>
  <si>
    <t>KMPERY CUE 1757</t>
  </si>
  <si>
    <t>FERNANDEZ LLIGUICOTA</t>
  </si>
  <si>
    <t>0101298818</t>
  </si>
  <si>
    <t>0994382505</t>
  </si>
  <si>
    <t>luchof1956@gmail.com</t>
  </si>
  <si>
    <t>KMPERY CUE 1758</t>
  </si>
  <si>
    <t>BENJAMIN OLMEDO</t>
  </si>
  <si>
    <t>SERRANO PALACIOS</t>
  </si>
  <si>
    <t>0701864647</t>
  </si>
  <si>
    <t>0999621497</t>
  </si>
  <si>
    <t>benjaminolmedoserranopalacios@gmail.com</t>
  </si>
  <si>
    <t>KMPERY CUE 1759</t>
  </si>
  <si>
    <t>CHRISTIAN GABRIEL</t>
  </si>
  <si>
    <t>YUQUI PEÑA</t>
  </si>
  <si>
    <t>0105922298</t>
  </si>
  <si>
    <t>0963104844</t>
  </si>
  <si>
    <t>christian_yuqui@live.com</t>
  </si>
  <si>
    <t>KMPERY CUE 1760</t>
  </si>
  <si>
    <t>JUAN PABLO</t>
  </si>
  <si>
    <t>JUMA LOJANO</t>
  </si>
  <si>
    <t>0106123227</t>
  </si>
  <si>
    <t>0968813269</t>
  </si>
  <si>
    <t>PANAMA</t>
  </si>
  <si>
    <t>pabloquano@gmail.com</t>
  </si>
  <si>
    <t>KMPERY MEC 1761</t>
  </si>
  <si>
    <t xml:space="preserve">ROBERTH STEVEN </t>
  </si>
  <si>
    <t>ACUÑA LUCAS</t>
  </si>
  <si>
    <t>1316815222</t>
  </si>
  <si>
    <t>0959412467</t>
  </si>
  <si>
    <t>roberth_96@outlook.com</t>
  </si>
  <si>
    <t>ADRIAN-LEO</t>
  </si>
  <si>
    <t>8000/700</t>
  </si>
  <si>
    <t>KMPERY MEC 1762</t>
  </si>
  <si>
    <t>ESPINOZA MANTUANO</t>
  </si>
  <si>
    <t>1306309459</t>
  </si>
  <si>
    <t>0990024399</t>
  </si>
  <si>
    <t xml:space="preserve">PUNTA CANA </t>
  </si>
  <si>
    <t>carmenelizabeth1913@hotmail.com</t>
  </si>
  <si>
    <t>KMPERY MEC 1763</t>
  </si>
  <si>
    <t>JAIME ARTURO</t>
  </si>
  <si>
    <t>GUTIERREZ RIVERA</t>
  </si>
  <si>
    <t>0929459220001</t>
  </si>
  <si>
    <t>0969522171</t>
  </si>
  <si>
    <t>jaimearturogutierrezrivera@gmail.com</t>
  </si>
  <si>
    <t>KMPERY MEC 1764</t>
  </si>
  <si>
    <t>LUZ CARIME</t>
  </si>
  <si>
    <t>GUTIERREZZ BEDOYA</t>
  </si>
  <si>
    <t>1750241851</t>
  </si>
  <si>
    <t>0995262221</t>
  </si>
  <si>
    <t>carimegutbed28@hotmail.com</t>
  </si>
  <si>
    <t>KMPERY MEC 1765</t>
  </si>
  <si>
    <t>JANETH ALEXANDRA</t>
  </si>
  <si>
    <t>CEDEÑO INTRIAGO</t>
  </si>
  <si>
    <t>1312283136</t>
  </si>
  <si>
    <t>0983134569</t>
  </si>
  <si>
    <t>janeth212008@hotmail.com</t>
  </si>
  <si>
    <t>A1103/600</t>
  </si>
  <si>
    <t>KMPERY MEC 1766</t>
  </si>
  <si>
    <t>DELGADO MACIAS</t>
  </si>
  <si>
    <t>1309378964</t>
  </si>
  <si>
    <t>0988793006</t>
  </si>
  <si>
    <t>jessydel25@hotmail.com</t>
  </si>
  <si>
    <t>KMPERY MEC 1767</t>
  </si>
  <si>
    <t>ALEXIS ANTONIO</t>
  </si>
  <si>
    <t>DELGADO BARCIA</t>
  </si>
  <si>
    <t>1312646464001</t>
  </si>
  <si>
    <t>0939703239</t>
  </si>
  <si>
    <t>alexisantoniodelgado8@gmail.com</t>
  </si>
  <si>
    <t>KMPERY MEC 1768</t>
  </si>
  <si>
    <t>BRYAN CESAR</t>
  </si>
  <si>
    <t>LOOR PALACIOS</t>
  </si>
  <si>
    <t>1315527943</t>
  </si>
  <si>
    <t>0960483577</t>
  </si>
  <si>
    <t>bryansocorer@gmail.com</t>
  </si>
  <si>
    <t>SIN CODIGO</t>
  </si>
  <si>
    <t>KMPERY MEC 1769</t>
  </si>
  <si>
    <t>JOSEPH FABIAN</t>
  </si>
  <si>
    <t>CAGUA ACOSTA</t>
  </si>
  <si>
    <t>1724283369</t>
  </si>
  <si>
    <t>0960578733</t>
  </si>
  <si>
    <t>joseph_1110acos@hotmail.com</t>
  </si>
  <si>
    <t>KMPERY MEC 1770</t>
  </si>
  <si>
    <t>FAVIO ALBERTO</t>
  </si>
  <si>
    <t>MERCADO QUINTERO</t>
  </si>
  <si>
    <t>0802765321</t>
  </si>
  <si>
    <t>0981784026</t>
  </si>
  <si>
    <t>cabezasdeganado.3@gmail.com</t>
  </si>
  <si>
    <t>KMPERY MEC 1771</t>
  </si>
  <si>
    <t>IVONNE STEFANIA</t>
  </si>
  <si>
    <t>FERRIN QUIJIJE</t>
  </si>
  <si>
    <t>1313592881001</t>
  </si>
  <si>
    <t>0986329609</t>
  </si>
  <si>
    <t>ivonne.ferrin.s@gmail.com</t>
  </si>
  <si>
    <t>KMPERY MEC 1772</t>
  </si>
  <si>
    <t>XAVIER MARCELO</t>
  </si>
  <si>
    <t>BAYAS SEMIGLIA</t>
  </si>
  <si>
    <t>0904250842</t>
  </si>
  <si>
    <t>0967465533</t>
  </si>
  <si>
    <t>xbayas55@hotmail.com</t>
  </si>
  <si>
    <t>KMPERY MEC 1773</t>
  </si>
  <si>
    <t>ROBERTH ANDRES</t>
  </si>
  <si>
    <t>CONSTANTE ZAMBRANO</t>
  </si>
  <si>
    <t>1312684713001</t>
  </si>
  <si>
    <t>0982401721</t>
  </si>
  <si>
    <t>roberthandres07@gmail.com</t>
  </si>
  <si>
    <t>KMPERY MEC 1774</t>
  </si>
  <si>
    <t>JANETH DEL CARMEN</t>
  </si>
  <si>
    <t>VERA GANCHOZO</t>
  </si>
  <si>
    <t>1203229891001</t>
  </si>
  <si>
    <t>0994051778</t>
  </si>
  <si>
    <t>janethheroux@hotmail.com</t>
  </si>
  <si>
    <t>KMPRY MEC 1775</t>
  </si>
  <si>
    <t>JAIME LEONARDO</t>
  </si>
  <si>
    <t>MENENDEZ ANCHUNDIA</t>
  </si>
  <si>
    <t>1312043209</t>
  </si>
  <si>
    <t>0992985462</t>
  </si>
  <si>
    <t>jaimemenendez345@gmail.com</t>
  </si>
  <si>
    <t>KMPRY MEC 1776</t>
  </si>
  <si>
    <t>MILBA SORAYDA</t>
  </si>
  <si>
    <t>CEDEÑO IBARRA</t>
  </si>
  <si>
    <t>1305000455</t>
  </si>
  <si>
    <t>0939543404</t>
  </si>
  <si>
    <t>milbacedeno@hotmail.com</t>
  </si>
  <si>
    <t>9060/A1103</t>
  </si>
  <si>
    <t>KMPRY MEC 1777</t>
  </si>
  <si>
    <t>DIONICIO NEPTALI</t>
  </si>
  <si>
    <t>RIVERA REYES</t>
  </si>
  <si>
    <t>1305895508</t>
  </si>
  <si>
    <t>0991892517</t>
  </si>
  <si>
    <t>neptalirivera05@gmail.com</t>
  </si>
  <si>
    <t>KMPRY MEC 1778</t>
  </si>
  <si>
    <t>JONATHAN CRISTIAN</t>
  </si>
  <si>
    <t>ALAY TOALA</t>
  </si>
  <si>
    <t>1313064592</t>
  </si>
  <si>
    <t>0969214789</t>
  </si>
  <si>
    <t>cristianalay10@gmail.com</t>
  </si>
  <si>
    <t>JORE</t>
  </si>
  <si>
    <t>KMPRY GLCO 1779</t>
  </si>
  <si>
    <t>FABIAN MAURICIO</t>
  </si>
  <si>
    <t>VEGA ARIAS</t>
  </si>
  <si>
    <t>1400670673</t>
  </si>
  <si>
    <t>0999173435</t>
  </si>
  <si>
    <t>tluega@hotmail.com</t>
  </si>
  <si>
    <t>KMPRY GLCO 1780</t>
  </si>
  <si>
    <t>RENE SANTIAGO</t>
  </si>
  <si>
    <t>LLIVICURA JUELA</t>
  </si>
  <si>
    <t>0103456315001</t>
  </si>
  <si>
    <t>0992655696</t>
  </si>
  <si>
    <t>rene.9732@icloud.com</t>
  </si>
  <si>
    <t>KMPRY GLCO 1781</t>
  </si>
  <si>
    <t>EDWIN MARCELO</t>
  </si>
  <si>
    <t>MATUTE ORELLANA</t>
  </si>
  <si>
    <t>0105988802001</t>
  </si>
  <si>
    <t>0984144084</t>
  </si>
  <si>
    <t>marcelomatute19@gmail.com</t>
  </si>
  <si>
    <t>KMPRY AZG 1782</t>
  </si>
  <si>
    <t>ERIKA VALERIA</t>
  </si>
  <si>
    <t>PINOS GUAMAN</t>
  </si>
  <si>
    <t>0301833968</t>
  </si>
  <si>
    <t>0958644571</t>
  </si>
  <si>
    <t>nada</t>
  </si>
  <si>
    <t>KMPRY AZG 1783</t>
  </si>
  <si>
    <t>CHRISTIAN JOSE</t>
  </si>
  <si>
    <t>SANCHEZ ABAD</t>
  </si>
  <si>
    <t>0104795646</t>
  </si>
  <si>
    <t>0998206412</t>
  </si>
  <si>
    <t>CARTAGENA</t>
  </si>
  <si>
    <t>christianjsa1996@gmail.com</t>
  </si>
  <si>
    <t>KMPRY AZG 1784</t>
  </si>
  <si>
    <t>CORDERO MATUTE</t>
  </si>
  <si>
    <t>0302300850001</t>
  </si>
  <si>
    <t>0984599042</t>
  </si>
  <si>
    <t>angelmat@gmail.com</t>
  </si>
  <si>
    <t>LEONARDO/EDUARDO</t>
  </si>
  <si>
    <t>KMPRY AZG 1785</t>
  </si>
  <si>
    <t>ANA AURELIA</t>
  </si>
  <si>
    <t>SIAVICHAY CALLE</t>
  </si>
  <si>
    <t>0301253969</t>
  </si>
  <si>
    <t>0984139361</t>
  </si>
  <si>
    <t>anasiavichay1975@gmail.com</t>
  </si>
  <si>
    <t>KMPRY AZG 1786</t>
  </si>
  <si>
    <t>WALTER VINICIO</t>
  </si>
  <si>
    <t>TENEZACA YAMASQUI</t>
  </si>
  <si>
    <t>0302282074</t>
  </si>
  <si>
    <t>0986060708</t>
  </si>
  <si>
    <t>vinicioci7@outlook.com</t>
  </si>
  <si>
    <t>KMPRY AZG 1787</t>
  </si>
  <si>
    <t>CRISTIAN FERNANDO</t>
  </si>
  <si>
    <t>GONZALEZ GONZALEZ</t>
  </si>
  <si>
    <t>0301213930</t>
  </si>
  <si>
    <t>0987217260</t>
  </si>
  <si>
    <t>angelinefgg@gmail.com</t>
  </si>
  <si>
    <t>KMPRY AZG 1788</t>
  </si>
  <si>
    <t>CALLE LLIGUIZACA</t>
  </si>
  <si>
    <t>0302560743</t>
  </si>
  <si>
    <t>0998627983</t>
  </si>
  <si>
    <t>alfred_kalle@hotmail.com</t>
  </si>
  <si>
    <t>KMPRY CUE 1789</t>
  </si>
  <si>
    <t>VERONICA MARGARITA</t>
  </si>
  <si>
    <t>MERCHAN HERRERA</t>
  </si>
  <si>
    <t>0104095351</t>
  </si>
  <si>
    <t>0987678413</t>
  </si>
  <si>
    <t>veromerchanh@gmail.com</t>
  </si>
  <si>
    <t>KMPRY CUE 1790</t>
  </si>
  <si>
    <t>VIVANCO CUEVA</t>
  </si>
  <si>
    <t>1104165046</t>
  </si>
  <si>
    <t>0987305502</t>
  </si>
  <si>
    <t>maevivanco@yahoo.es</t>
  </si>
  <si>
    <t>KMPRY CUE 1791</t>
  </si>
  <si>
    <t>BLANCA BEATRIZ</t>
  </si>
  <si>
    <t>LOJA COCHANCELA</t>
  </si>
  <si>
    <t>0103441473</t>
  </si>
  <si>
    <t>0981516634</t>
  </si>
  <si>
    <t>lojabts@gmail.com</t>
  </si>
  <si>
    <t>KMPRY CUE 1792</t>
  </si>
  <si>
    <t>PIEDAD JOSEFINA</t>
  </si>
  <si>
    <t>PULGARIN ALVAREZ</t>
  </si>
  <si>
    <t>0101396299</t>
  </si>
  <si>
    <t>0992238910</t>
  </si>
  <si>
    <t>piedadpulgarin@yahoo.com</t>
  </si>
  <si>
    <t>KMPRY GYE 1793</t>
  </si>
  <si>
    <t>JULIA JUDITH</t>
  </si>
  <si>
    <t>BERMEO LOPEZ</t>
  </si>
  <si>
    <t>0907720536</t>
  </si>
  <si>
    <t>0994769467</t>
  </si>
  <si>
    <t>juliajudithbermeo@gmail.com</t>
  </si>
  <si>
    <t>KMPRY GYE 1794</t>
  </si>
  <si>
    <t>JAVIER ALEXANDER</t>
  </si>
  <si>
    <t>MALDONADO SOLIS</t>
  </si>
  <si>
    <t>0924053564</t>
  </si>
  <si>
    <t>0985779597</t>
  </si>
  <si>
    <t>javieralexander91@hotmail.com</t>
  </si>
  <si>
    <t>KMPRY GYE 1795</t>
  </si>
  <si>
    <t>BORIS PATRICIO</t>
  </si>
  <si>
    <t>AGUIRRE ARAUJO</t>
  </si>
  <si>
    <t>0911031219</t>
  </si>
  <si>
    <t>0994490217</t>
  </si>
  <si>
    <t>sierrodejesus@hotmail.com</t>
  </si>
  <si>
    <t>KMPRY GYE 1796</t>
  </si>
  <si>
    <t>HECTOR JOSAFAT</t>
  </si>
  <si>
    <t>HURTADO GONZALEZ</t>
  </si>
  <si>
    <t>0958538316</t>
  </si>
  <si>
    <t>0998054090</t>
  </si>
  <si>
    <t>hectorjjm02@hotmail.com</t>
  </si>
  <si>
    <t>KMPRY GYE 1797</t>
  </si>
  <si>
    <t>JAVIER RODRIGO</t>
  </si>
  <si>
    <t>GAVILANEZ ORTEGA</t>
  </si>
  <si>
    <t>0917346942</t>
  </si>
  <si>
    <t>0997406586</t>
  </si>
  <si>
    <t>javier.gavilanez@outlook.com</t>
  </si>
  <si>
    <t>KMPRY GYE 1798</t>
  </si>
  <si>
    <t>JOSE VICENTE</t>
  </si>
  <si>
    <t>SANDOVAL CASTRO</t>
  </si>
  <si>
    <t>1600052862</t>
  </si>
  <si>
    <t>0989740913</t>
  </si>
  <si>
    <t>javisaca48@yahoo.com</t>
  </si>
  <si>
    <t>KMPRY GYE 1799</t>
  </si>
  <si>
    <t>JOEL ALEXANDER</t>
  </si>
  <si>
    <t>MOREIRA ESCOBAR</t>
  </si>
  <si>
    <t>0951759521</t>
  </si>
  <si>
    <t>0994178930</t>
  </si>
  <si>
    <t>joelmoreiraescoar@gmail.com</t>
  </si>
  <si>
    <t>KMPRY GYE 1800</t>
  </si>
  <si>
    <t>CARLOS ABUNDIO</t>
  </si>
  <si>
    <t>GUTIERREZ RODRIGUEZ</t>
  </si>
  <si>
    <t>1302003031</t>
  </si>
  <si>
    <t>0986393710</t>
  </si>
  <si>
    <t>ab.cgutierrezr@hotmail.com</t>
  </si>
  <si>
    <t>KMPRY GYE 1801</t>
  </si>
  <si>
    <t>ANGELA JESSENIA</t>
  </si>
  <si>
    <t>BORBOR NEIRA</t>
  </si>
  <si>
    <t>0919758409001</t>
  </si>
  <si>
    <t>0990080496</t>
  </si>
  <si>
    <t>anjenet_1@hotmail.com</t>
  </si>
  <si>
    <t>KMPRY GYE 1802</t>
  </si>
  <si>
    <t>MARIANA ESTELA</t>
  </si>
  <si>
    <t>SANTILLAN FRANCO</t>
  </si>
  <si>
    <t>1203725278</t>
  </si>
  <si>
    <t>0986857463</t>
  </si>
  <si>
    <t>estela.santi@gmail.com</t>
  </si>
  <si>
    <t>KMPRY GYE 1803</t>
  </si>
  <si>
    <t>GUSTAVO SEBASTIAN</t>
  </si>
  <si>
    <t>NUÑEZ PRADO</t>
  </si>
  <si>
    <t>0930947262</t>
  </si>
  <si>
    <t>0986986958</t>
  </si>
  <si>
    <t>gustavonunezprado@gmail.com</t>
  </si>
  <si>
    <t>KMPRY GYE 1804</t>
  </si>
  <si>
    <t>LISSETTE JAQUELINE</t>
  </si>
  <si>
    <t>MOREIRA GALARZA</t>
  </si>
  <si>
    <t>0952014504</t>
  </si>
  <si>
    <t>0969515114</t>
  </si>
  <si>
    <t>lissette_17_31@hotmail.com</t>
  </si>
  <si>
    <t>KMPRY GYE 1805</t>
  </si>
  <si>
    <t>JOSEFINA DEL ROCIO</t>
  </si>
  <si>
    <t>ARAUJO PRADO</t>
  </si>
  <si>
    <t>0906660113</t>
  </si>
  <si>
    <t>0968227777</t>
  </si>
  <si>
    <t>abogadojosefinaaraujo@gmail.com</t>
  </si>
  <si>
    <t>KMPRY GYE 1806</t>
  </si>
  <si>
    <t>MARCO AURELIO</t>
  </si>
  <si>
    <t>LOOR TRIVIÑO</t>
  </si>
  <si>
    <t>0902397801</t>
  </si>
  <si>
    <t>0999612604</t>
  </si>
  <si>
    <t>marcoloort@hotmail.com</t>
  </si>
  <si>
    <t>KMPRY GYE 1807</t>
  </si>
  <si>
    <t>JHONNY ALFREDO</t>
  </si>
  <si>
    <t>GARCIA CEDEÑO</t>
  </si>
  <si>
    <t>0911301281</t>
  </si>
  <si>
    <t>0990960776</t>
  </si>
  <si>
    <t>jhonnygarciac@outlook.com</t>
  </si>
  <si>
    <t>KMPRY GYE 1808</t>
  </si>
  <si>
    <t>MANUEL ANGEL</t>
  </si>
  <si>
    <t>CARRIEL MIELES</t>
  </si>
  <si>
    <t>0901353821</t>
  </si>
  <si>
    <t>0959228967</t>
  </si>
  <si>
    <t>datalink Odontologia</t>
  </si>
  <si>
    <t>erice_zamb@hotmail.com</t>
  </si>
  <si>
    <t>8000/A1103</t>
  </si>
  <si>
    <t>KMPRY GYE 1809</t>
  </si>
  <si>
    <t>AUGUSTO OMAR</t>
  </si>
  <si>
    <t>GONZABAY EUGENIO</t>
  </si>
  <si>
    <t>0921353835</t>
  </si>
  <si>
    <t>0993828269</t>
  </si>
  <si>
    <t>ogonzabay_e@hotmail.com</t>
  </si>
  <si>
    <t>KMPRY GYE 1810</t>
  </si>
  <si>
    <t>ERICK FERNANDO</t>
  </si>
  <si>
    <t>POSADA CASTRO</t>
  </si>
  <si>
    <t>0927353847</t>
  </si>
  <si>
    <t>0982936165</t>
  </si>
  <si>
    <t>efposcas_1811@hotmail.com</t>
  </si>
  <si>
    <t>KMPRY GYE 1811</t>
  </si>
  <si>
    <t>BERLY AVELIN</t>
  </si>
  <si>
    <t>VINCES BERMELLO</t>
  </si>
  <si>
    <t>0940699200</t>
  </si>
  <si>
    <t>0980910285</t>
  </si>
  <si>
    <t>berlyvinces_enr2500@hotmail.com</t>
  </si>
  <si>
    <t>KMPRY GYE 1812</t>
  </si>
  <si>
    <t xml:space="preserve">ANGEL GEOVANNI </t>
  </si>
  <si>
    <t>MARCA TIGRE</t>
  </si>
  <si>
    <t>1400818488</t>
  </si>
  <si>
    <t>0959734158</t>
  </si>
  <si>
    <t>angelmarcaangel@outlook.com</t>
  </si>
  <si>
    <t>KMPRY GYE 1813</t>
  </si>
  <si>
    <t>YOLANDA AGUSTINA</t>
  </si>
  <si>
    <t>HERNANDEZ CLAVIJO</t>
  </si>
  <si>
    <t>0912736873</t>
  </si>
  <si>
    <t>0981619096</t>
  </si>
  <si>
    <t>yoly-hernandez@hotmail.com</t>
  </si>
  <si>
    <t>KMPRY GYE 1814</t>
  </si>
  <si>
    <t>JONATHAN ALEJANDRO</t>
  </si>
  <si>
    <t>JARAMILLO VALAREZO</t>
  </si>
  <si>
    <t>0928759414</t>
  </si>
  <si>
    <t>0998600986</t>
  </si>
  <si>
    <t>jonathan_aljava@hotmail.com</t>
  </si>
  <si>
    <t>R0042</t>
  </si>
  <si>
    <t>KMPRY GYE 1815</t>
  </si>
  <si>
    <t>GABRIEL HERNAN</t>
  </si>
  <si>
    <t>ALVARADO ALVAREZ</t>
  </si>
  <si>
    <t>0919184770</t>
  </si>
  <si>
    <t>0985080947</t>
  </si>
  <si>
    <t>carloalvara@gmail.com</t>
  </si>
  <si>
    <t>KMPRY GYE 1816</t>
  </si>
  <si>
    <t>LEONOR EUGENIA</t>
  </si>
  <si>
    <t>TORRES BARBOTO</t>
  </si>
  <si>
    <t>0924574296</t>
  </si>
  <si>
    <t>0989826737</t>
  </si>
  <si>
    <t>leonotorres85@gmail.com</t>
  </si>
  <si>
    <t>KMPRY GYE 1817</t>
  </si>
  <si>
    <t>GILDA MILENA</t>
  </si>
  <si>
    <t>0950655639</t>
  </si>
  <si>
    <t>0993896052</t>
  </si>
  <si>
    <t>gilda.96@live.com.ar</t>
  </si>
  <si>
    <t>KMPRY GYE 1818</t>
  </si>
  <si>
    <t>GABRIELA ELIZABETH</t>
  </si>
  <si>
    <t>MOSQUERA TAFUR</t>
  </si>
  <si>
    <t>0941169112</t>
  </si>
  <si>
    <t>0968508833</t>
  </si>
  <si>
    <t>gabrlik1994@gmail.com</t>
  </si>
  <si>
    <t>KMPRY GYE 1819</t>
  </si>
  <si>
    <t>DARWIN ALEX</t>
  </si>
  <si>
    <t>MONTILLA ABAD</t>
  </si>
  <si>
    <t>0917638264</t>
  </si>
  <si>
    <t>0997723632</t>
  </si>
  <si>
    <t>darwinalex195@outlook.com</t>
  </si>
  <si>
    <t>KMPRY GYE 1820</t>
  </si>
  <si>
    <t>HERRERA MORAN</t>
  </si>
  <si>
    <t>0907880454</t>
  </si>
  <si>
    <t>0987855386</t>
  </si>
  <si>
    <t>j_herrera.1964@hotmail.com</t>
  </si>
  <si>
    <t>KMPRY GYE 1821</t>
  </si>
  <si>
    <t>JOSE EFRAIN</t>
  </si>
  <si>
    <t>CABRERA AREVALO</t>
  </si>
  <si>
    <t>0927399030</t>
  </si>
  <si>
    <t>0996125700</t>
  </si>
  <si>
    <t>jo_88arevalo@hotmail.com</t>
  </si>
  <si>
    <t>KMPRY GYE 1822</t>
  </si>
  <si>
    <t>RONALD GERARDO</t>
  </si>
  <si>
    <t>CABRERA MOSQUERA</t>
  </si>
  <si>
    <t>0923751200</t>
  </si>
  <si>
    <t>0962754093</t>
  </si>
  <si>
    <t>ronaldcabreram17@gmail.com</t>
  </si>
  <si>
    <t>KMPRY GYE 1823</t>
  </si>
  <si>
    <t>JACINTO BETO</t>
  </si>
  <si>
    <t>MENDOZA VELASQUEZ</t>
  </si>
  <si>
    <t>0915068134</t>
  </si>
  <si>
    <t>0988683204</t>
  </si>
  <si>
    <t>jmendoza20202@gmail.com</t>
  </si>
  <si>
    <t>C100</t>
  </si>
  <si>
    <t>KMPRY GYE 1824</t>
  </si>
  <si>
    <t>ELI ARMANDO</t>
  </si>
  <si>
    <t>LOPEZ CHAVEZ</t>
  </si>
  <si>
    <t>1202513600</t>
  </si>
  <si>
    <t>0980215059</t>
  </si>
  <si>
    <t>KMPRY GYE 1825</t>
  </si>
  <si>
    <t xml:space="preserve">RUTH ELIZABETH </t>
  </si>
  <si>
    <t>ALCIVAR BENITES</t>
  </si>
  <si>
    <t>0901090985</t>
  </si>
  <si>
    <t>0994557374</t>
  </si>
  <si>
    <t>ruthalcivar52@gmail.com</t>
  </si>
  <si>
    <t>KMPRY GYE 1826</t>
  </si>
  <si>
    <t>UBALDO VICENTE</t>
  </si>
  <si>
    <t>ESPINOZA ALEMAN</t>
  </si>
  <si>
    <t>0909371742</t>
  </si>
  <si>
    <t>0980103489</t>
  </si>
  <si>
    <t>uespinoza1@hotmail.com</t>
  </si>
  <si>
    <t>KMPRY GYE 1827</t>
  </si>
  <si>
    <t>LUISA ARACELY</t>
  </si>
  <si>
    <t>MONTERO LOPEZ</t>
  </si>
  <si>
    <t>0900642356</t>
  </si>
  <si>
    <t>0989608928</t>
  </si>
  <si>
    <t>KMPRY GYE 1828</t>
  </si>
  <si>
    <t>PARDO GRANDA</t>
  </si>
  <si>
    <t>1900179035</t>
  </si>
  <si>
    <t>0996616706</t>
  </si>
  <si>
    <t>malenapg1964@gmail.com</t>
  </si>
  <si>
    <t>KMPRY GYE 1829</t>
  </si>
  <si>
    <t>CRISTHIAN RICARDO</t>
  </si>
  <si>
    <t>CEDEÑO MEZA</t>
  </si>
  <si>
    <t>1314841303</t>
  </si>
  <si>
    <t>0960609324</t>
  </si>
  <si>
    <t>cedeñochristian1991@gmail.com</t>
  </si>
  <si>
    <t>KMPRY GYE 1830</t>
  </si>
  <si>
    <t>PAUL DIRCEU</t>
  </si>
  <si>
    <t>QUEVEDO MOREIRA</t>
  </si>
  <si>
    <t>0924757214001</t>
  </si>
  <si>
    <t>0996375171</t>
  </si>
  <si>
    <t>paulquevedo_94@hotmail.com</t>
  </si>
  <si>
    <t>KMPRY GYE 1831</t>
  </si>
  <si>
    <t>MARIETTA FATIMA</t>
  </si>
  <si>
    <t>SELLAN ALVARADO</t>
  </si>
  <si>
    <t>0992146559001</t>
  </si>
  <si>
    <t>0992146559</t>
  </si>
  <si>
    <t>marie_ronta3008@yahoo.es</t>
  </si>
  <si>
    <t>KMPRY GYE 1832</t>
  </si>
  <si>
    <t>PAUL GEOVANNY</t>
  </si>
  <si>
    <t>MIÑO OLAYA</t>
  </si>
  <si>
    <t>0919137950</t>
  </si>
  <si>
    <t>0997294230</t>
  </si>
  <si>
    <t>paulmiñoolaya@gmail.com</t>
  </si>
  <si>
    <t>KMPRY GYE 1833</t>
  </si>
  <si>
    <t>RODRIGUEZ CEDEÑO</t>
  </si>
  <si>
    <t>0955345590001</t>
  </si>
  <si>
    <t>0997802862</t>
  </si>
  <si>
    <t>karlostetrix@hotmail.com</t>
  </si>
  <si>
    <t>KMPRY GYE 1834</t>
  </si>
  <si>
    <t>MARIA BELEM</t>
  </si>
  <si>
    <t>LEON SIGUA</t>
  </si>
  <si>
    <t>0940689433</t>
  </si>
  <si>
    <t>0991203598</t>
  </si>
  <si>
    <t>belemleon96@hotmail.com</t>
  </si>
  <si>
    <t>R400</t>
  </si>
  <si>
    <t>KMPRY GYE 1835</t>
  </si>
  <si>
    <t>OSWALDO GASTON</t>
  </si>
  <si>
    <t>VERGARA BELLO</t>
  </si>
  <si>
    <t>0913976197</t>
  </si>
  <si>
    <t>0986057431</t>
  </si>
  <si>
    <t>gastonvergara7@yahoo.es</t>
  </si>
  <si>
    <t>KMPRY GYE 1836</t>
  </si>
  <si>
    <t>RICARDO VICENTE</t>
  </si>
  <si>
    <t>PANTA BAILON</t>
  </si>
  <si>
    <t>0924061195</t>
  </si>
  <si>
    <t>0961338985</t>
  </si>
  <si>
    <t>rocard-emelec@live.com.ar</t>
  </si>
  <si>
    <t>KMPRY GYE 1837</t>
  </si>
  <si>
    <t>JOSE RAMON</t>
  </si>
  <si>
    <t>MOREIRA GOMEZ</t>
  </si>
  <si>
    <t>0901564674</t>
  </si>
  <si>
    <t>0990183694</t>
  </si>
  <si>
    <t>jose_moreira1953@hotmail.com</t>
  </si>
  <si>
    <t>KMPRY GYE 1838</t>
  </si>
  <si>
    <t>VALLADARES LEON</t>
  </si>
  <si>
    <t>0101122372001</t>
  </si>
  <si>
    <t>0986583557</t>
  </si>
  <si>
    <t>miguelvalladares797@gmail.com</t>
  </si>
  <si>
    <t>LESLIE/DIEGO</t>
  </si>
  <si>
    <t>KMPRY GYE 1839</t>
  </si>
  <si>
    <t>ANGELITA ROSALIA</t>
  </si>
  <si>
    <t>AREVALO MONCADA</t>
  </si>
  <si>
    <t>0904326568</t>
  </si>
  <si>
    <t>0985113046</t>
  </si>
  <si>
    <t>nancuta7@hotmail.com</t>
  </si>
  <si>
    <t>KMPRY QVD 1840</t>
  </si>
  <si>
    <t>JESUS ELICENIO</t>
  </si>
  <si>
    <t xml:space="preserve">VELASQUEZ LUCAS </t>
  </si>
  <si>
    <t>1305034280</t>
  </si>
  <si>
    <t>0969973629</t>
  </si>
  <si>
    <t>velasquez.jesus2018@hotmail.com</t>
  </si>
  <si>
    <t>KMPRY QVD 1841</t>
  </si>
  <si>
    <t>TOASA GONZALEZ</t>
  </si>
  <si>
    <t>0940805179001</t>
  </si>
  <si>
    <t>0982676733</t>
  </si>
  <si>
    <t>marytoasa30@gmail.com</t>
  </si>
  <si>
    <t>KMPRY QVD 1842</t>
  </si>
  <si>
    <t>TERESA ISABEL</t>
  </si>
  <si>
    <t>FERNANDEZ PINCAY</t>
  </si>
  <si>
    <t>0914524509</t>
  </si>
  <si>
    <t>0999468233</t>
  </si>
  <si>
    <t>tisabel_10@hotmail.com</t>
  </si>
  <si>
    <t>KMPRY QVD 1843</t>
  </si>
  <si>
    <t>PEDRO ANDRES</t>
  </si>
  <si>
    <t>CEDEÑO REGINFO</t>
  </si>
  <si>
    <t>1205592379</t>
  </si>
  <si>
    <t>0967752423</t>
  </si>
  <si>
    <t>pedroandrescedenoreginfo@gmail.com</t>
  </si>
  <si>
    <t>KMPRY QVD 1844</t>
  </si>
  <si>
    <t>DARLIN ORLANDO</t>
  </si>
  <si>
    <t>VELEZ NARANJO</t>
  </si>
  <si>
    <t>0502817034</t>
  </si>
  <si>
    <t>0982541711</t>
  </si>
  <si>
    <t>darlinvelez82@gmail.com</t>
  </si>
  <si>
    <t>KMPRY QVD 1845</t>
  </si>
  <si>
    <t>LINDA ALEJANDRINA</t>
  </si>
  <si>
    <t>CHINCHANDE JIMENEZ</t>
  </si>
  <si>
    <t>1203143308</t>
  </si>
  <si>
    <t>0993190972</t>
  </si>
  <si>
    <t>lindachi970@gmail.com</t>
  </si>
  <si>
    <t>KMPRY QVD 1846</t>
  </si>
  <si>
    <t>ALEXANDRA DE LA PAZ</t>
  </si>
  <si>
    <t>VERGARA ARRIAGA</t>
  </si>
  <si>
    <t>1203452212</t>
  </si>
  <si>
    <t>0981647679</t>
  </si>
  <si>
    <t>alexandravergara2014@gmail.com</t>
  </si>
  <si>
    <t>YOSMAY</t>
  </si>
  <si>
    <t>KMPRY QVD 1847</t>
  </si>
  <si>
    <t>ROBERTO RAUL</t>
  </si>
  <si>
    <t>GUERRA PACHECO</t>
  </si>
  <si>
    <t>1203648058</t>
  </si>
  <si>
    <t>0981468114</t>
  </si>
  <si>
    <t>KMPRY QVD 1848</t>
  </si>
  <si>
    <t>MERY MERCEDES</t>
  </si>
  <si>
    <t>CUENCA ZAMBRANO</t>
  </si>
  <si>
    <t>1711821577</t>
  </si>
  <si>
    <t>0967134321</t>
  </si>
  <si>
    <t>merycuenca71@gmail.com</t>
  </si>
  <si>
    <t>9060/J54</t>
  </si>
  <si>
    <t>KMPRY QVD 1849</t>
  </si>
  <si>
    <t>CALERO SANCHEZ</t>
  </si>
  <si>
    <t>1204801896</t>
  </si>
  <si>
    <t>0987514916</t>
  </si>
  <si>
    <t>luis_ferchito@hotmail.com</t>
  </si>
  <si>
    <t>J54/9060</t>
  </si>
  <si>
    <t>KMPERY QVD 1850</t>
  </si>
  <si>
    <t xml:space="preserve">EDWIN GERMAN </t>
  </si>
  <si>
    <t>CEDEÑO FRANCO</t>
  </si>
  <si>
    <t>0914291703001</t>
  </si>
  <si>
    <t>0997646449</t>
  </si>
  <si>
    <t>edwin_cede_o@hotmail.com</t>
  </si>
  <si>
    <t>KMPERY QVD 1851</t>
  </si>
  <si>
    <t>AMANDA PAULINA</t>
  </si>
  <si>
    <t>CASTILLO SAMANIEGO</t>
  </si>
  <si>
    <t>1205826983</t>
  </si>
  <si>
    <t>0963272700</t>
  </si>
  <si>
    <t>AL CORRIENTE</t>
  </si>
  <si>
    <t>amandacastillosamaniego@hotmil.com</t>
  </si>
  <si>
    <t>KMPERY QVD 1852</t>
  </si>
  <si>
    <t>MELBA ELIZABETH</t>
  </si>
  <si>
    <t>NAVAS RAMOS</t>
  </si>
  <si>
    <t>1204797185</t>
  </si>
  <si>
    <t>0968817658</t>
  </si>
  <si>
    <t>mnavas2002@hotmail.com</t>
  </si>
  <si>
    <t>KMPERY QVD 1853</t>
  </si>
  <si>
    <t>GRACE EDILMA</t>
  </si>
  <si>
    <t>MAYORGA TRIVIÑO</t>
  </si>
  <si>
    <t>1201762273</t>
  </si>
  <si>
    <t>0985599693</t>
  </si>
  <si>
    <t>gracemayorga20@yahoo.com</t>
  </si>
  <si>
    <t>KMPERY QVD 1854</t>
  </si>
  <si>
    <t xml:space="preserve">MAGDALENA ADELA </t>
  </si>
  <si>
    <t>MANTUANO TUAREZ</t>
  </si>
  <si>
    <t>1203839095</t>
  </si>
  <si>
    <t>0957765122</t>
  </si>
  <si>
    <t>mantuanoadzla2016@gmail.com</t>
  </si>
  <si>
    <t>GIBELY</t>
  </si>
  <si>
    <t>KMPERY QVD 1855</t>
  </si>
  <si>
    <t xml:space="preserve">CRISTIAN ALFONSO </t>
  </si>
  <si>
    <t>ZAMORA CONTRERAS</t>
  </si>
  <si>
    <t>1204499337</t>
  </si>
  <si>
    <t>0980934177</t>
  </si>
  <si>
    <t>KMPERY QVD 1855B</t>
  </si>
  <si>
    <t>DONNY LUIS</t>
  </si>
  <si>
    <t>VALAREZO FRANCO</t>
  </si>
  <si>
    <t>1713083192</t>
  </si>
  <si>
    <t>0958860814</t>
  </si>
  <si>
    <t>doniluis17@gmail.com</t>
  </si>
  <si>
    <t>KMPRY MCH 1856</t>
  </si>
  <si>
    <t>PAUL ARMANDO</t>
  </si>
  <si>
    <t>GUAMAN GUAMAN</t>
  </si>
  <si>
    <t>0940594781001</t>
  </si>
  <si>
    <t>0993572483</t>
  </si>
  <si>
    <t>armandogp2011@yahoo.es</t>
  </si>
  <si>
    <t>KMPRY MCH 1857</t>
  </si>
  <si>
    <t>JAIME FLORENCIO</t>
  </si>
  <si>
    <t>ENCARNACION CHAMBA</t>
  </si>
  <si>
    <t>0703767822</t>
  </si>
  <si>
    <t>0995941014</t>
  </si>
  <si>
    <t>jaimeflorencio226@gmail.com</t>
  </si>
  <si>
    <t>KMPRY MCH 1858</t>
  </si>
  <si>
    <t>JESSICA ELIZABETH</t>
  </si>
  <si>
    <t>PACCHA CHAMBA</t>
  </si>
  <si>
    <t>0704326776</t>
  </si>
  <si>
    <t>0999337302</t>
  </si>
  <si>
    <t>jepaccha@hotmail.com</t>
  </si>
  <si>
    <t>KMPRY MCH 1859</t>
  </si>
  <si>
    <t>RIVAS TORRES</t>
  </si>
  <si>
    <t>0702361478001</t>
  </si>
  <si>
    <t>0998950922</t>
  </si>
  <si>
    <t>yuyafalvin@gmail.com</t>
  </si>
  <si>
    <t>KMPRY MCH 1860</t>
  </si>
  <si>
    <t>TATIANA IENE</t>
  </si>
  <si>
    <t>AGUILAR CORDOVA</t>
  </si>
  <si>
    <t>1102359435</t>
  </si>
  <si>
    <t>0999545403</t>
  </si>
  <si>
    <t>1000 EN SERVICIOS TURISTICOS</t>
  </si>
  <si>
    <t>tanta_aquilar_64@hotmail.com</t>
  </si>
  <si>
    <t>KMPRY MCH 1861</t>
  </si>
  <si>
    <t>PEDRO EDILBERTO</t>
  </si>
  <si>
    <t>ZAMBRANO VELEZ</t>
  </si>
  <si>
    <t>0702694506001</t>
  </si>
  <si>
    <t>0991750075</t>
  </si>
  <si>
    <t>pedrozambranov@outlook.com</t>
  </si>
  <si>
    <t>KMPRY MCH 1862</t>
  </si>
  <si>
    <t>TITO AQUILINO</t>
  </si>
  <si>
    <t>GABINO PAUCAR</t>
  </si>
  <si>
    <t>0700943533</t>
  </si>
  <si>
    <t>0963315307</t>
  </si>
  <si>
    <t>KMPRY MCH 1863</t>
  </si>
  <si>
    <t>BRITO MUÑOZ</t>
  </si>
  <si>
    <t>0707075032</t>
  </si>
  <si>
    <t>0990803337</t>
  </si>
  <si>
    <t>anmar_b96@hotmail.com</t>
  </si>
  <si>
    <t>KMPRY MCH 1864</t>
  </si>
  <si>
    <t>FRANCISCO MARCIAL</t>
  </si>
  <si>
    <t>SANCHEZ RIOFRIO</t>
  </si>
  <si>
    <t>0703184283</t>
  </si>
  <si>
    <t>0969712232</t>
  </si>
  <si>
    <t>franciscosanchez331977@hotmail.com</t>
  </si>
  <si>
    <t>KMPRY MCH 1865</t>
  </si>
  <si>
    <t>GENESIS MAYLIN</t>
  </si>
  <si>
    <t>ESPINOZA SUCO</t>
  </si>
  <si>
    <t>0705108900</t>
  </si>
  <si>
    <t>0991201403</t>
  </si>
  <si>
    <t>genesisep15@gmail.com</t>
  </si>
  <si>
    <t>700Z</t>
  </si>
  <si>
    <t>KMPRY MCH 1866</t>
  </si>
  <si>
    <t>DIANETH ELIZABETH</t>
  </si>
  <si>
    <t>QUEZADA TORRES</t>
  </si>
  <si>
    <t>0702568494</t>
  </si>
  <si>
    <t>0991555195</t>
  </si>
  <si>
    <t>lusricadoraromy@outlook.com</t>
  </si>
  <si>
    <t>KMPRY MCH 1867</t>
  </si>
  <si>
    <t>FELIX OCTAVIO</t>
  </si>
  <si>
    <t>CALLE MAYON</t>
  </si>
  <si>
    <t>0701391195</t>
  </si>
  <si>
    <t>0992383993</t>
  </si>
  <si>
    <t>b3n1dizadios@gmail.com</t>
  </si>
  <si>
    <t>KMPRY MCH 1868</t>
  </si>
  <si>
    <t>MARIA EDEL</t>
  </si>
  <si>
    <t>GRANDA RAMIREZ</t>
  </si>
  <si>
    <t>0702041906</t>
  </si>
  <si>
    <t>0998432012</t>
  </si>
  <si>
    <t>andymajo8@hotmail.com</t>
  </si>
  <si>
    <t>KMPRY MCH 1869</t>
  </si>
  <si>
    <t>MIRIAM TERESA</t>
  </si>
  <si>
    <t>FRIAS LOAYZA</t>
  </si>
  <si>
    <t>0701537664</t>
  </si>
  <si>
    <t>0996474359</t>
  </si>
  <si>
    <t>mitfrias1@hotmail.com</t>
  </si>
  <si>
    <t>KMPRY MCH 1870</t>
  </si>
  <si>
    <t>INGRIS DANIELA</t>
  </si>
  <si>
    <t>MARTINEZ ORAMA</t>
  </si>
  <si>
    <t>1206126375</t>
  </si>
  <si>
    <t>0981117409</t>
  </si>
  <si>
    <t>ingrids1986@hotmail.com</t>
  </si>
  <si>
    <t>KMPRY MCH 1871</t>
  </si>
  <si>
    <t>MARGARITA MONSERRATE</t>
  </si>
  <si>
    <t>MACIAS CATAGUA</t>
  </si>
  <si>
    <t>0705500155</t>
  </si>
  <si>
    <t>0978954228</t>
  </si>
  <si>
    <t>margaritamacias_96@hotmail.com</t>
  </si>
  <si>
    <t>KMPRY MCH 1872</t>
  </si>
  <si>
    <t>JONATHAN ANDRES</t>
  </si>
  <si>
    <t>ORDOÑEZ UZHO</t>
  </si>
  <si>
    <t>0750767337</t>
  </si>
  <si>
    <t>0994061706</t>
  </si>
  <si>
    <t>andres0979573760@gmail.com</t>
  </si>
  <si>
    <t>KMPRY MCH 1873</t>
  </si>
  <si>
    <t>LUZ  MERCEDES</t>
  </si>
  <si>
    <t>UZHO CHIMBO</t>
  </si>
  <si>
    <t>0103390829</t>
  </si>
  <si>
    <t>0988698826</t>
  </si>
  <si>
    <t>lizchimbo1973@gmail.com</t>
  </si>
  <si>
    <t>KMPRY MCH 1874</t>
  </si>
  <si>
    <t xml:space="preserve">SILVIO DE JESUS </t>
  </si>
  <si>
    <t>ORTEGA MORA</t>
  </si>
  <si>
    <t>0702240334</t>
  </si>
  <si>
    <t>0989095917</t>
  </si>
  <si>
    <t>sjom.ema@gmail.com</t>
  </si>
  <si>
    <t>KMPRY MCH 1875</t>
  </si>
  <si>
    <t>JOSUE ANDRE</t>
  </si>
  <si>
    <t>ROMERO ROMAN</t>
  </si>
  <si>
    <t>0704629872</t>
  </si>
  <si>
    <t>0994300650</t>
  </si>
  <si>
    <t>josueandsk8@gmail.com</t>
  </si>
  <si>
    <t>KMPRY MCH 1876</t>
  </si>
  <si>
    <t>FABRICIO AGUSTIN</t>
  </si>
  <si>
    <t>ARIZAGA IDRAVO</t>
  </si>
  <si>
    <t>0704459791</t>
  </si>
  <si>
    <t>0994456178</t>
  </si>
  <si>
    <t>fabricio_64_@hotmail.com</t>
  </si>
  <si>
    <t>KMPRY MCH 1877</t>
  </si>
  <si>
    <t>HELLEN MARICELA</t>
  </si>
  <si>
    <t>LANDETA GARCIA</t>
  </si>
  <si>
    <t>0706518909</t>
  </si>
  <si>
    <t>0987181158</t>
  </si>
  <si>
    <t>hellenlandaeta@gmail.com</t>
  </si>
  <si>
    <t>A1103/700</t>
  </si>
  <si>
    <t>KMPRY MCH 100</t>
  </si>
  <si>
    <t>PABLO EDINSON</t>
  </si>
  <si>
    <t>MERO PROAÑO</t>
  </si>
  <si>
    <t>0706582749</t>
  </si>
  <si>
    <t>0994744480</t>
  </si>
  <si>
    <t>DS DIF 12M</t>
  </si>
  <si>
    <t>pablomero@gmail.com</t>
  </si>
  <si>
    <t>LESLY</t>
  </si>
  <si>
    <t>KMPRY RBM 1878</t>
  </si>
  <si>
    <t>GERMANIA PATRICIA</t>
  </si>
  <si>
    <t>DAVALOS ENCALADA</t>
  </si>
  <si>
    <t>0603489246001</t>
  </si>
  <si>
    <t>0959000029</t>
  </si>
  <si>
    <t>patriciadvls@gmail.com</t>
  </si>
  <si>
    <t>KMPRY RBM 1879</t>
  </si>
  <si>
    <t>MANUEL VICTOR</t>
  </si>
  <si>
    <t>LLIGUILEMA BARBA</t>
  </si>
  <si>
    <t>0602199119</t>
  </si>
  <si>
    <t>0991116567</t>
  </si>
  <si>
    <t>victorlluilemabarba@gmail.com</t>
  </si>
  <si>
    <t>KMPRY RBM 1880</t>
  </si>
  <si>
    <t xml:space="preserve">MARIELA GUADALUPE </t>
  </si>
  <si>
    <t>GUAMAN HERNANDEZ</t>
  </si>
  <si>
    <t>0603845199</t>
  </si>
  <si>
    <t>0995234446</t>
  </si>
  <si>
    <t>mariguaman82@gmail.com</t>
  </si>
  <si>
    <t>KMPRY RBM 1881</t>
  </si>
  <si>
    <t>AMELIA BELEN</t>
  </si>
  <si>
    <t xml:space="preserve">YANGOL TENESACA </t>
  </si>
  <si>
    <t>0604592352001</t>
  </si>
  <si>
    <t>0990366351</t>
  </si>
  <si>
    <t>amelia2019@gmail.com</t>
  </si>
  <si>
    <t>KMPRY RBM 1882</t>
  </si>
  <si>
    <t>CRISTIAN ISRAEL</t>
  </si>
  <si>
    <t>GARCIA TELLO</t>
  </si>
  <si>
    <t>0603364423</t>
  </si>
  <si>
    <t>0995879323</t>
  </si>
  <si>
    <t>israelgt47@gmail.com</t>
  </si>
  <si>
    <t>KMPRY RBM 1883</t>
  </si>
  <si>
    <t>MIRIAM EUGENIA</t>
  </si>
  <si>
    <t>PEÑAFIEL TOALOMBO</t>
  </si>
  <si>
    <t>0602119596001</t>
  </si>
  <si>
    <t>0999205408</t>
  </si>
  <si>
    <t>eumirytabajo1974@hotmail.com</t>
  </si>
  <si>
    <t>KMPRY RBM 1884</t>
  </si>
  <si>
    <t>WILIAM RODOLFO</t>
  </si>
  <si>
    <t>GUIJARRO ZUMBA</t>
  </si>
  <si>
    <t>0603683319</t>
  </si>
  <si>
    <t>0967792319</t>
  </si>
  <si>
    <t>wili_guijarro@hotmail.com</t>
  </si>
  <si>
    <t>KMPRY RBM 1885</t>
  </si>
  <si>
    <t>JORGE EDUARDO</t>
  </si>
  <si>
    <t>AZANZA NAMICELA</t>
  </si>
  <si>
    <t>1102837000</t>
  </si>
  <si>
    <t>0980975299</t>
  </si>
  <si>
    <t>eduardoazanza049@gmail.com</t>
  </si>
  <si>
    <t>KMPRY RBM 1886</t>
  </si>
  <si>
    <t>JORGE VINICIO</t>
  </si>
  <si>
    <t>ALVAREZ LEON</t>
  </si>
  <si>
    <t>0603996315</t>
  </si>
  <si>
    <t>0986706610</t>
  </si>
  <si>
    <t>canottues@gmail.com</t>
  </si>
  <si>
    <t>PAOLA</t>
  </si>
  <si>
    <t>KMPRY RBM 1887</t>
  </si>
  <si>
    <t>VIVIANA MARGOT</t>
  </si>
  <si>
    <t>TRUJILLO CABRERA</t>
  </si>
  <si>
    <t>1103317648</t>
  </si>
  <si>
    <t>0984767553</t>
  </si>
  <si>
    <t>vivianata@live.com</t>
  </si>
  <si>
    <t>300RA</t>
  </si>
  <si>
    <t>KMPRY RBM 1888</t>
  </si>
  <si>
    <t>ANDY PATRICIO</t>
  </si>
  <si>
    <t>COLCHA RUCHICELA</t>
  </si>
  <si>
    <t>0604818343</t>
  </si>
  <si>
    <t>0959099163</t>
  </si>
  <si>
    <t>andycolcha09@gmail.com</t>
  </si>
  <si>
    <t>KMPRY RBM 1889</t>
  </si>
  <si>
    <t>MARIANA DE JESUS</t>
  </si>
  <si>
    <t>TENEMPAGUAY</t>
  </si>
  <si>
    <t>0604297556</t>
  </si>
  <si>
    <t>0980775361</t>
  </si>
  <si>
    <t>marianadejesus35@hotmail.com</t>
  </si>
  <si>
    <t>KMPRY RBM 1890</t>
  </si>
  <si>
    <t>ROSA CATALINA</t>
  </si>
  <si>
    <t>RUIZ CUJILEMA</t>
  </si>
  <si>
    <t>0603276593</t>
  </si>
  <si>
    <t>0969073602</t>
  </si>
  <si>
    <t>kattyruiz65@gmail.com</t>
  </si>
  <si>
    <t>KMPRY RBM 1891</t>
  </si>
  <si>
    <t>MAITE BELEN</t>
  </si>
  <si>
    <t>ROMERO PEREZ</t>
  </si>
  <si>
    <t>0605129204</t>
  </si>
  <si>
    <t>0981819276</t>
  </si>
  <si>
    <t>maitebromerop@gmail.com</t>
  </si>
  <si>
    <t>KMPRY RBM 1892</t>
  </si>
  <si>
    <t>NELSON ESTUARDO</t>
  </si>
  <si>
    <t>PAUCAR ESTRADA</t>
  </si>
  <si>
    <t>0602574089</t>
  </si>
  <si>
    <t>0994091567</t>
  </si>
  <si>
    <t>nespaes@gmail.com</t>
  </si>
  <si>
    <t>KMPRY RBM 1893</t>
  </si>
  <si>
    <t>SANDRO VINICIO</t>
  </si>
  <si>
    <t>VERDEZOTO ALTAMIRANO</t>
  </si>
  <si>
    <t>0603359910</t>
  </si>
  <si>
    <t>0987807473</t>
  </si>
  <si>
    <t>sandrokaren@yahoo.com</t>
  </si>
  <si>
    <t>KMPRY RBM 1894</t>
  </si>
  <si>
    <t>JHONY ALEXANDER</t>
  </si>
  <si>
    <t>CALDERON CARILLO</t>
  </si>
  <si>
    <t>0601803851</t>
  </si>
  <si>
    <t>0992704159</t>
  </si>
  <si>
    <t>VS DIF 03M</t>
  </si>
  <si>
    <t>calderonjac@gmail.com</t>
  </si>
  <si>
    <t>KMPRY RBM 1895</t>
  </si>
  <si>
    <t>BRYAN EDUARDO</t>
  </si>
  <si>
    <t>AMAGUAY LLERENA</t>
  </si>
  <si>
    <t>0603558743</t>
  </si>
  <si>
    <t>0958940642</t>
  </si>
  <si>
    <t>amaguayedu@gmail.com</t>
  </si>
  <si>
    <t>KMPRY RBM 1896</t>
  </si>
  <si>
    <t>MERCEDES DE JESUS</t>
  </si>
  <si>
    <t>MOLINA CARGUA</t>
  </si>
  <si>
    <t>0603416835</t>
  </si>
  <si>
    <t>0981703173</t>
  </si>
  <si>
    <t>meche84r@hotmail.com</t>
  </si>
  <si>
    <t>KMPRY AMB 1897</t>
  </si>
  <si>
    <t>MARTIN VLADIMIR</t>
  </si>
  <si>
    <t>ACUARIO MEDINA</t>
  </si>
  <si>
    <t>1803211729</t>
  </si>
  <si>
    <t>0984024567</t>
  </si>
  <si>
    <t>martin.acurio@gmail.com</t>
  </si>
  <si>
    <t>KMPRY AMB 1898</t>
  </si>
  <si>
    <t>LUIS GERMANICO</t>
  </si>
  <si>
    <t>GUTIERREZ ALBAN</t>
  </si>
  <si>
    <t>1801339167</t>
  </si>
  <si>
    <t>0984412474</t>
  </si>
  <si>
    <t>lgulial1957@gmail.com</t>
  </si>
  <si>
    <t>KMPRY AMB 1899</t>
  </si>
  <si>
    <t>JONATHAN EUGENIA</t>
  </si>
  <si>
    <t>FIALLOS JORDAN</t>
  </si>
  <si>
    <t>1804632139</t>
  </si>
  <si>
    <t>0979989908</t>
  </si>
  <si>
    <t>jonfiallos123@gmail.com</t>
  </si>
  <si>
    <t>KMPRY AMB 1900</t>
  </si>
  <si>
    <t>DIANA IRENE</t>
  </si>
  <si>
    <t>ROBALINO ARIAS</t>
  </si>
  <si>
    <t>1803690468</t>
  </si>
  <si>
    <t>0995572387</t>
  </si>
  <si>
    <t>irenerobalino@gmail.com</t>
  </si>
  <si>
    <t>KMPRY AMB 1901</t>
  </si>
  <si>
    <t>LELIA ALEXI</t>
  </si>
  <si>
    <t>RIVERA ZAMBRANO</t>
  </si>
  <si>
    <t>1801014216</t>
  </si>
  <si>
    <t>0993511656</t>
  </si>
  <si>
    <t>FIN DE SEMANA / PUNTA CANA</t>
  </si>
  <si>
    <t>alexizambrano1952@gmail.com</t>
  </si>
  <si>
    <t>KMPRY AMB 1902</t>
  </si>
  <si>
    <t>ACOSTA CAMINO</t>
  </si>
  <si>
    <t>1803914751</t>
  </si>
  <si>
    <t>0984593631</t>
  </si>
  <si>
    <t>dfacosta1988@hotmail.com</t>
  </si>
  <si>
    <t>KMPRY AMB 1903</t>
  </si>
  <si>
    <t>BELGICA JEANETTE</t>
  </si>
  <si>
    <t>CUJANO TIAGUARO</t>
  </si>
  <si>
    <t>1804130860</t>
  </si>
  <si>
    <t>0980232011</t>
  </si>
  <si>
    <t>belcujano@outlook.com</t>
  </si>
  <si>
    <t>KMPRY AMB 1904</t>
  </si>
  <si>
    <t>ANDREA JOHANNA</t>
  </si>
  <si>
    <t>SALAZAR BONILLA</t>
  </si>
  <si>
    <t>1804985222</t>
  </si>
  <si>
    <t>0998416877</t>
  </si>
  <si>
    <t>andreinasalazar1992@gmail.com</t>
  </si>
  <si>
    <t>KMPRY AMB 1905</t>
  </si>
  <si>
    <t>ROSA ERNESTINA</t>
  </si>
  <si>
    <t>CONDO SANCHEZ</t>
  </si>
  <si>
    <t>1803185667</t>
  </si>
  <si>
    <t>0987112736</t>
  </si>
  <si>
    <t>cristinacondo@gmail.com</t>
  </si>
  <si>
    <t>KMPRY AMB 1906</t>
  </si>
  <si>
    <t>JOHANNA KATHERINE</t>
  </si>
  <si>
    <t>ROBLES RAMOS</t>
  </si>
  <si>
    <t>1804849105001</t>
  </si>
  <si>
    <t>0999072507</t>
  </si>
  <si>
    <t>robleskatherine1997@gmail.com</t>
  </si>
  <si>
    <t>KMPRY AMB 1907</t>
  </si>
  <si>
    <t>EDISSON PATRICIO</t>
  </si>
  <si>
    <t>PAZMIÑO MAGRO</t>
  </si>
  <si>
    <t>1803641305</t>
  </si>
  <si>
    <t>0995277408</t>
  </si>
  <si>
    <t>edypaz2283@gmail.com</t>
  </si>
  <si>
    <t>KMPRY AMB 1908</t>
  </si>
  <si>
    <t>FERNANDA MICHELLE</t>
  </si>
  <si>
    <t>OCHOA MOLINA</t>
  </si>
  <si>
    <t>1804523809</t>
  </si>
  <si>
    <t>0983220113</t>
  </si>
  <si>
    <t>ochoamichelle97@gmail.com</t>
  </si>
  <si>
    <t>KMPRY AMB 1909</t>
  </si>
  <si>
    <t>ANTONIO BELISARIO</t>
  </si>
  <si>
    <t>PARRA VARGAS</t>
  </si>
  <si>
    <t>1801807841</t>
  </si>
  <si>
    <t>0999566374</t>
  </si>
  <si>
    <t>steviapalora@gmail.com</t>
  </si>
  <si>
    <t>KMPRY AMB 1910</t>
  </si>
  <si>
    <t>CLAUDIA PIEDAD</t>
  </si>
  <si>
    <t>VELEZ PONCE</t>
  </si>
  <si>
    <t>1804488813</t>
  </si>
  <si>
    <t>0963088778</t>
  </si>
  <si>
    <t>piedadvelez18@gmail.com</t>
  </si>
  <si>
    <t>KMPRY AMB 1911</t>
  </si>
  <si>
    <t>GEOVANNA DEL PILAR</t>
  </si>
  <si>
    <t>LOPEZ TORRES</t>
  </si>
  <si>
    <t>1803322138</t>
  </si>
  <si>
    <t>0992057255</t>
  </si>
  <si>
    <t>geitolopeztorres@gmail.com</t>
  </si>
  <si>
    <t>KMPRY AMB 1912</t>
  </si>
  <si>
    <t>CEPEDA FLORES</t>
  </si>
  <si>
    <t>0604978593</t>
  </si>
  <si>
    <t>0991726165</t>
  </si>
  <si>
    <t>maryelena_cepeda@hotmail.com</t>
  </si>
  <si>
    <t>KMPRY AMB 1913</t>
  </si>
  <si>
    <t>CRISTINA RAQUEL</t>
  </si>
  <si>
    <t>MEDINA CANSECO</t>
  </si>
  <si>
    <t>1804565131001</t>
  </si>
  <si>
    <t>0991003807</t>
  </si>
  <si>
    <t>cristinamedina27@gmail.com</t>
  </si>
  <si>
    <t>KMPRY AMB 1914</t>
  </si>
  <si>
    <t>DELIA PATRICIA</t>
  </si>
  <si>
    <t>CHICAIZA BAÑO</t>
  </si>
  <si>
    <t>0503793739</t>
  </si>
  <si>
    <t>0979148380</t>
  </si>
  <si>
    <t>pattychicaiza@gmail.com</t>
  </si>
  <si>
    <t>KMPRY AMB 1915</t>
  </si>
  <si>
    <t>MACIAS RODRIGUEZ</t>
  </si>
  <si>
    <t>1802635209001</t>
  </si>
  <si>
    <t>0984632796</t>
  </si>
  <si>
    <t>maciasmary733@gmail.com</t>
  </si>
  <si>
    <t>KMPRY AMB 1916</t>
  </si>
  <si>
    <t>CAROLINA ELIZABETH</t>
  </si>
  <si>
    <t>ANALUISA YANEZ</t>
  </si>
  <si>
    <t>1804013421</t>
  </si>
  <si>
    <t>0995591713</t>
  </si>
  <si>
    <t>chikitacaro1545@gmail.com</t>
  </si>
  <si>
    <t>KMPRY AMB 1917</t>
  </si>
  <si>
    <t>KMPRY UIO 1918</t>
  </si>
  <si>
    <t>HOLGER ENRIQUE</t>
  </si>
  <si>
    <t>ALCIVAR MENDOZA</t>
  </si>
  <si>
    <t>0804660603</t>
  </si>
  <si>
    <t>0992014611</t>
  </si>
  <si>
    <t>alcivarholger25@gmail.com</t>
  </si>
  <si>
    <t>KMPRY UIO 1919</t>
  </si>
  <si>
    <t>ROCIO DE LAS MERCEDES</t>
  </si>
  <si>
    <t>ESCOBAR YASUMA</t>
  </si>
  <si>
    <t>0201359668</t>
  </si>
  <si>
    <t>0999961345</t>
  </si>
  <si>
    <t>rocio.escobar15@hotmail.com</t>
  </si>
  <si>
    <t>555G</t>
  </si>
  <si>
    <t>KMPRY UIO 1920</t>
  </si>
  <si>
    <t>HERNAN SEGUNDO</t>
  </si>
  <si>
    <t>RIOFRIO BERMEO</t>
  </si>
  <si>
    <t>1103052039</t>
  </si>
  <si>
    <t>0997944561</t>
  </si>
  <si>
    <t>hsrb1972@hotmail.com</t>
  </si>
  <si>
    <t>KMPRY UIO 1921</t>
  </si>
  <si>
    <t>JACQUELINE ELIZABETH</t>
  </si>
  <si>
    <t>ALTAMIRANO QUISHPE</t>
  </si>
  <si>
    <t>1711166536</t>
  </si>
  <si>
    <t>0981741533</t>
  </si>
  <si>
    <t>jacqueal01@hotmail.com</t>
  </si>
  <si>
    <t>KMPRY LTG 1922</t>
  </si>
  <si>
    <t>VIVIANA PAOLA</t>
  </si>
  <si>
    <t>BAUTISTA VALLADARES</t>
  </si>
  <si>
    <t>0502203847</t>
  </si>
  <si>
    <t>0984313491</t>
  </si>
  <si>
    <t>vivianab1975@hotmail.com</t>
  </si>
  <si>
    <t>KMPRY LTG 1923</t>
  </si>
  <si>
    <t>MARTHA LUCRECIA</t>
  </si>
  <si>
    <t>MASAQUIZA CHOLOQUINGA</t>
  </si>
  <si>
    <t>0502533086</t>
  </si>
  <si>
    <t>0998452313</t>
  </si>
  <si>
    <t>martha1982lucrecia@gmail.com</t>
  </si>
  <si>
    <t>KMPRY LTG 1924</t>
  </si>
  <si>
    <t>LUIS ANIBAL</t>
  </si>
  <si>
    <t>ALVEAR SANDOVAL</t>
  </si>
  <si>
    <t>0503133308</t>
  </si>
  <si>
    <t>0992706286</t>
  </si>
  <si>
    <t>luis86alvear@gmail.com</t>
  </si>
  <si>
    <t>KMPRY LOH 1925</t>
  </si>
  <si>
    <t>MIRIAM ELIZABETH</t>
  </si>
  <si>
    <t>ESPINOSA VILLACRES</t>
  </si>
  <si>
    <t>1102809421</t>
  </si>
  <si>
    <t>0981384025</t>
  </si>
  <si>
    <t>miriamev33@hotmail.com</t>
  </si>
  <si>
    <t>KMPRY LOH 1926</t>
  </si>
  <si>
    <t>JENNIFER LISBETH</t>
  </si>
  <si>
    <t>TORRES UREÑA</t>
  </si>
  <si>
    <t>1900480136001</t>
  </si>
  <si>
    <t>0960135930</t>
  </si>
  <si>
    <t>lyssy_virgo15@hotmail.com</t>
  </si>
  <si>
    <t>KMPRY LOH 1927</t>
  </si>
  <si>
    <t>MARIA ANGELICA</t>
  </si>
  <si>
    <t>SAMANIEGO SANCHEZ</t>
  </si>
  <si>
    <t>1103446090</t>
  </si>
  <si>
    <t>0994681549</t>
  </si>
  <si>
    <t>angelicasamaniego81@gmail.com</t>
  </si>
  <si>
    <t>KMPRY LOH 1928</t>
  </si>
  <si>
    <t>ANGEL MANUEL</t>
  </si>
  <si>
    <t>PARDO CAJAS</t>
  </si>
  <si>
    <t>1100337995</t>
  </si>
  <si>
    <t>0997527694</t>
  </si>
  <si>
    <t>leoparangelmanuel@hotmail.com</t>
  </si>
  <si>
    <t>KMPRY LOH 1929</t>
  </si>
  <si>
    <t>LUZ MARINA</t>
  </si>
  <si>
    <t>CRUZ MALDONADO</t>
  </si>
  <si>
    <t>1104227564</t>
  </si>
  <si>
    <t>0994200777</t>
  </si>
  <si>
    <t>mary50300@hotmail.com</t>
  </si>
  <si>
    <t>KMPRY LOH 1930</t>
  </si>
  <si>
    <t>MARIA CONSUELO</t>
  </si>
  <si>
    <t>NARVAEZ JUMBO</t>
  </si>
  <si>
    <t>1104691892</t>
  </si>
  <si>
    <t>0969902912</t>
  </si>
  <si>
    <t>marianarvaez1993@gmail.com</t>
  </si>
  <si>
    <t>RICHARD/WLADIMIR</t>
  </si>
  <si>
    <t>KMPERY LOH 1931</t>
  </si>
  <si>
    <t>DENNIS RODRIGO</t>
  </si>
  <si>
    <t>RENTERIA FLORES</t>
  </si>
  <si>
    <t>1106012998001</t>
  </si>
  <si>
    <t>0968286812</t>
  </si>
  <si>
    <t>drrrenteria@gmail.com</t>
  </si>
  <si>
    <t>KMPERY LOH 1932</t>
  </si>
  <si>
    <t>AUGUSTO GREGORIO</t>
  </si>
  <si>
    <t>PINZON RIVAS</t>
  </si>
  <si>
    <t>1102187430</t>
  </si>
  <si>
    <t>0997003968</t>
  </si>
  <si>
    <t>apinzon69@yahoo.com</t>
  </si>
  <si>
    <t>KMPERY LOH 1933</t>
  </si>
  <si>
    <t>OLGA CESILIA</t>
  </si>
  <si>
    <t>TANDAZO DIAZ</t>
  </si>
  <si>
    <t>0703473561</t>
  </si>
  <si>
    <t>0986191221</t>
  </si>
  <si>
    <t>cecitandazo96@gmail.com</t>
  </si>
  <si>
    <t>KMPERY LOH 1934</t>
  </si>
  <si>
    <t>ELIAS EDUARDO</t>
  </si>
  <si>
    <t>GUAJALA TAPIA</t>
  </si>
  <si>
    <t>1100001435</t>
  </si>
  <si>
    <t>0982838996</t>
  </si>
  <si>
    <t>jennyvale2110@gmail.com</t>
  </si>
  <si>
    <t>KMPERY LOH 1935</t>
  </si>
  <si>
    <t>VICENTE SILVA</t>
  </si>
  <si>
    <t>1104319973</t>
  </si>
  <si>
    <t>0967600058</t>
  </si>
  <si>
    <t>carlosvicente1593@gmail.com</t>
  </si>
  <si>
    <t>KMPERY LOH 1936</t>
  </si>
  <si>
    <t>MERCEDES MARILU</t>
  </si>
  <si>
    <t>QUIZHPE SANCHEZ</t>
  </si>
  <si>
    <t>1900559202</t>
  </si>
  <si>
    <t>0983812109</t>
  </si>
  <si>
    <t>mariluloja26@gmail.com</t>
  </si>
  <si>
    <t>KMPERY LOH 1937</t>
  </si>
  <si>
    <t>IRMA BEATRIZ</t>
  </si>
  <si>
    <t>ARMIJOS CABRERA</t>
  </si>
  <si>
    <t>1103237275</t>
  </si>
  <si>
    <t>0991020486</t>
  </si>
  <si>
    <t>CARTAGENA/FIN DE SEMANA</t>
  </si>
  <si>
    <t>ibarmijos@utpl.edu.ec</t>
  </si>
  <si>
    <t>KMPERY LOH 1938</t>
  </si>
  <si>
    <t>KARINA ELIZABETH</t>
  </si>
  <si>
    <t>ZAMBRANO CHACON</t>
  </si>
  <si>
    <t>1103320428</t>
  </si>
  <si>
    <t>0992847123</t>
  </si>
  <si>
    <t>elizabeth222042@gmail.com</t>
  </si>
  <si>
    <t>KMPERY LOH 1939</t>
  </si>
  <si>
    <t>JORGE  RICARDO</t>
  </si>
  <si>
    <t>QUEZADA OJEDA</t>
  </si>
  <si>
    <t>1104152127001</t>
  </si>
  <si>
    <t>0990057758</t>
  </si>
  <si>
    <t>mdcuadrado85@gmail.com</t>
  </si>
  <si>
    <t>KMPERY LOH 1940</t>
  </si>
  <si>
    <t>MARJORIE KATIUSKA</t>
  </si>
  <si>
    <t>VALAREZO JIMENEZ</t>
  </si>
  <si>
    <t>1105944100</t>
  </si>
  <si>
    <t>0963796923</t>
  </si>
  <si>
    <t>marjorievj94@gmail.com</t>
  </si>
  <si>
    <t>KMPERY LOH 1941</t>
  </si>
  <si>
    <t>HERRERA ORTIZ</t>
  </si>
  <si>
    <t>1104059090</t>
  </si>
  <si>
    <t>0982601976</t>
  </si>
  <si>
    <t>dan_y1986@live.com</t>
  </si>
  <si>
    <t>KMPERY LOH 1942</t>
  </si>
  <si>
    <t>VERONICA ESTEFANIA</t>
  </si>
  <si>
    <t>GUTIERRES LUZON</t>
  </si>
  <si>
    <t>1105139909</t>
  </si>
  <si>
    <t>0986936423</t>
  </si>
  <si>
    <t>gutierresveronica098@gmail.com</t>
  </si>
  <si>
    <t>KMPERY LOH 1943</t>
  </si>
  <si>
    <t>ANGEL GILBERTO</t>
  </si>
  <si>
    <t>QUIZPHE ZHONDO</t>
  </si>
  <si>
    <t>1104431836</t>
  </si>
  <si>
    <t>0991600150</t>
  </si>
  <si>
    <t>quizhpeangel04@gmail.com</t>
  </si>
  <si>
    <t>KMPERY LOH 1944</t>
  </si>
  <si>
    <t>SARMIENTO QUEZADA</t>
  </si>
  <si>
    <t>1105653388</t>
  </si>
  <si>
    <t>0980487034</t>
  </si>
  <si>
    <t>19961998mayra@gmail.com</t>
  </si>
  <si>
    <t>KMPERY LOH 1945</t>
  </si>
  <si>
    <t>ANA CAROLINA</t>
  </si>
  <si>
    <t>CANGO SANCHEZ</t>
  </si>
  <si>
    <t>1150492138</t>
  </si>
  <si>
    <t>0995019466</t>
  </si>
  <si>
    <t>carolinacango320@gmail.com</t>
  </si>
  <si>
    <t>KMPERY LOH 1946</t>
  </si>
  <si>
    <t>ITALO ANTONIO</t>
  </si>
  <si>
    <t>LOPEZ CEVALLOS</t>
  </si>
  <si>
    <t>1302466766</t>
  </si>
  <si>
    <t>0993717271</t>
  </si>
  <si>
    <t>ialopezc@hotmail.com</t>
  </si>
  <si>
    <t>KMPERY LOH 1947</t>
  </si>
  <si>
    <t>LUISA NARCISA</t>
  </si>
  <si>
    <t>TAMBO MOROCHO</t>
  </si>
  <si>
    <t>1104461189</t>
  </si>
  <si>
    <t>0994751744</t>
  </si>
  <si>
    <t>luisanarcisa_25@hotmail.com</t>
  </si>
  <si>
    <t>KMPERY ESM 1948</t>
  </si>
  <si>
    <t>FELIPE ABENCIO</t>
  </si>
  <si>
    <t>1704316429</t>
  </si>
  <si>
    <t>0997035864</t>
  </si>
  <si>
    <t>felipemacias2014@gmail.com</t>
  </si>
  <si>
    <t>KMPERY ESM 1949</t>
  </si>
  <si>
    <t>ALICIA ELIZABETH</t>
  </si>
  <si>
    <t>PORTOCARRERO HURTADO</t>
  </si>
  <si>
    <t>0801265273</t>
  </si>
  <si>
    <t>0960009731</t>
  </si>
  <si>
    <t>aliciaportocarrero81@gmail.com</t>
  </si>
  <si>
    <t>KMPERY ESM 1950</t>
  </si>
  <si>
    <t>ELSY EDITH</t>
  </si>
  <si>
    <t>CUERO JAMA</t>
  </si>
  <si>
    <t>0800521395</t>
  </si>
  <si>
    <t>0986472768</t>
  </si>
  <si>
    <t>elsycuero@hotmail.com</t>
  </si>
  <si>
    <t>K400</t>
  </si>
  <si>
    <t>KMPERY ESM 1951</t>
  </si>
  <si>
    <t>SILVIA PATRICIA</t>
  </si>
  <si>
    <t>CEVALLOS MERCADO</t>
  </si>
  <si>
    <t>0803488154</t>
  </si>
  <si>
    <t>0999361413</t>
  </si>
  <si>
    <t>patri9014@gmail.com</t>
  </si>
  <si>
    <t>KMPERY ESM 1952</t>
  </si>
  <si>
    <t>SANTA CECILIA</t>
  </si>
  <si>
    <t>QUIÑONEZ BORJA</t>
  </si>
  <si>
    <t>0801674847</t>
  </si>
  <si>
    <t>0939828143</t>
  </si>
  <si>
    <t>ceciliaborja1@hotmail.com</t>
  </si>
  <si>
    <t>KMPERY ESM 1953</t>
  </si>
  <si>
    <t>FULLER VIVAS</t>
  </si>
  <si>
    <t>0803237056</t>
  </si>
  <si>
    <t>0961557128</t>
  </si>
  <si>
    <t>sandra.sf1988@gmail.com</t>
  </si>
  <si>
    <t>KMPERY ESM 1954</t>
  </si>
  <si>
    <t>JHONNY</t>
  </si>
  <si>
    <t>ARIZALA OLIVA</t>
  </si>
  <si>
    <t>0801530312</t>
  </si>
  <si>
    <t>0986282523</t>
  </si>
  <si>
    <t>qwerjhonny@gmail.com</t>
  </si>
  <si>
    <t>KMPERY ESM 1955</t>
  </si>
  <si>
    <t>EDDIE PATRICIO</t>
  </si>
  <si>
    <t>LUCAS DELGADO</t>
  </si>
  <si>
    <t>0800765208</t>
  </si>
  <si>
    <t>0997700801</t>
  </si>
  <si>
    <t>efwras08@gmail.com</t>
  </si>
  <si>
    <t>KMPERY ESM 1956</t>
  </si>
  <si>
    <t>GRASE MARY</t>
  </si>
  <si>
    <t>ORTIZ ECHEVERRIA</t>
  </si>
  <si>
    <t>0802872051</t>
  </si>
  <si>
    <t>0939750431</t>
  </si>
  <si>
    <t>graseortiz83@gmail.com</t>
  </si>
  <si>
    <t>KMPERY CUE 1957</t>
  </si>
  <si>
    <t>EDWIN ALEJANDRO</t>
  </si>
  <si>
    <t>TENESACA GOMEZ</t>
  </si>
  <si>
    <t>0104826250</t>
  </si>
  <si>
    <t>0992831754</t>
  </si>
  <si>
    <t>edtegomez@hotmail.com</t>
  </si>
  <si>
    <t>KMPERY CUE 1958</t>
  </si>
  <si>
    <t>INES GRACIELA</t>
  </si>
  <si>
    <t>BERMEO ALARCON</t>
  </si>
  <si>
    <t>0100952696001</t>
  </si>
  <si>
    <t>0995805391</t>
  </si>
  <si>
    <t>inesgracielab7@gmail.com</t>
  </si>
  <si>
    <t>KMPERY CUE 1959</t>
  </si>
  <si>
    <t>ALEXANDRA BEATRIZ</t>
  </si>
  <si>
    <t>MARQUEZ MARQUEZ</t>
  </si>
  <si>
    <t>0106167661</t>
  </si>
  <si>
    <t>0982697006</t>
  </si>
  <si>
    <t>alexandramarquez319@gmail.com</t>
  </si>
  <si>
    <t>KMPERY CUE 1960</t>
  </si>
  <si>
    <t>NANCY CECILIA</t>
  </si>
  <si>
    <t>ORTEGA QUINTUÑA</t>
  </si>
  <si>
    <t>0102522208001</t>
  </si>
  <si>
    <t>0995735243</t>
  </si>
  <si>
    <t>clinicalente@gmail.com</t>
  </si>
  <si>
    <t>KMPERY CUE 1961</t>
  </si>
  <si>
    <t>FERNANDO CAYETANO</t>
  </si>
  <si>
    <t>PEÑA MACHADO</t>
  </si>
  <si>
    <t>0101109908001</t>
  </si>
  <si>
    <t>0969335002</t>
  </si>
  <si>
    <t>tiopena747@gmail.com</t>
  </si>
  <si>
    <t>KMPERY CUE 1962</t>
  </si>
  <si>
    <t>JAMILTON ENRIQUE</t>
  </si>
  <si>
    <t>COLLAGUAZO LOPEZ</t>
  </si>
  <si>
    <t>1103543094</t>
  </si>
  <si>
    <t>0993011251</t>
  </si>
  <si>
    <t>ana_josue1@hotmail.com</t>
  </si>
  <si>
    <t>KMPERY CUE 1963</t>
  </si>
  <si>
    <t>WILLIAM OSWALDO</t>
  </si>
  <si>
    <t>MURILLO PEÑALOZA</t>
  </si>
  <si>
    <t>1900309277001</t>
  </si>
  <si>
    <t>0969692713</t>
  </si>
  <si>
    <t>williomuri@hotmail.com</t>
  </si>
  <si>
    <t>KMPERY CUE 1964</t>
  </si>
  <si>
    <t>ZOILA VICTORIA</t>
  </si>
  <si>
    <t>GOMEZ REINOSO</t>
  </si>
  <si>
    <t>0914678321</t>
  </si>
  <si>
    <t>0985895252</t>
  </si>
  <si>
    <t>vickygomez7@yahoo.com</t>
  </si>
  <si>
    <t>KMPERY CUE 1965</t>
  </si>
  <si>
    <t>JADIRA SUSANA</t>
  </si>
  <si>
    <t>AVILA RIVERA</t>
  </si>
  <si>
    <t>0107214074</t>
  </si>
  <si>
    <t>0993427695</t>
  </si>
  <si>
    <t>jadi_0908@hotmail.com</t>
  </si>
  <si>
    <t>KMPERY CUE 1966</t>
  </si>
  <si>
    <t>NANCY EULALIA</t>
  </si>
  <si>
    <t>0105245542</t>
  </si>
  <si>
    <t>0988286223</t>
  </si>
  <si>
    <t>SEMANA INTERNACIONAL</t>
  </si>
  <si>
    <t>cajamarcacarlos98@gmail.com</t>
  </si>
  <si>
    <t>KMPERY CUE 1967</t>
  </si>
  <si>
    <t>EDISSON ROMMEL</t>
  </si>
  <si>
    <t>CHIMBO CUMBE</t>
  </si>
  <si>
    <t>0106823743</t>
  </si>
  <si>
    <t>0995952414</t>
  </si>
  <si>
    <t>snipet=sp-@outlook.com</t>
  </si>
  <si>
    <t>C100/A11</t>
  </si>
  <si>
    <t>KMPERY CUE 1968</t>
  </si>
  <si>
    <t xml:space="preserve">FABIOLA LEONOR </t>
  </si>
  <si>
    <t>MORENO MARTINEZ</t>
  </si>
  <si>
    <t>0101330553001</t>
  </si>
  <si>
    <t>0989562775</t>
  </si>
  <si>
    <t>fmoreno1956@hotmail.com</t>
  </si>
  <si>
    <t>KMPERY CUE 1969</t>
  </si>
  <si>
    <t>MARCOANTONIO</t>
  </si>
  <si>
    <t>MERCHAN RODAS</t>
  </si>
  <si>
    <t>0101270510</t>
  </si>
  <si>
    <t>0992876144</t>
  </si>
  <si>
    <t>mmerchan56@hotmail.com</t>
  </si>
  <si>
    <t>KMPERY CUE 1970</t>
  </si>
  <si>
    <t>ELVIA ROSARIO</t>
  </si>
  <si>
    <t>PARRA GOMEZ</t>
  </si>
  <si>
    <t>0100871458</t>
  </si>
  <si>
    <t>0995886788</t>
  </si>
  <si>
    <t>silvinovillo1986@gmail.com</t>
  </si>
  <si>
    <t>KMPERY CUE 1971</t>
  </si>
  <si>
    <t>JENNY KARINA</t>
  </si>
  <si>
    <t>SIGUENCIA GUAMAN</t>
  </si>
  <si>
    <t>0105168405001</t>
  </si>
  <si>
    <t>0983995904</t>
  </si>
  <si>
    <t>karys-91@hotmail.com</t>
  </si>
  <si>
    <t>KMPERY CUE 1972</t>
  </si>
  <si>
    <t>EMMA BEATRIZ</t>
  </si>
  <si>
    <t>ORTEGA FAJARDO</t>
  </si>
  <si>
    <t>0103725024</t>
  </si>
  <si>
    <t>0983014336</t>
  </si>
  <si>
    <t>emmaortega648@gmail.com</t>
  </si>
  <si>
    <t>KMPERY CUE 1973</t>
  </si>
  <si>
    <t>IÑIQUEZ AMORES</t>
  </si>
  <si>
    <t>0103791356</t>
  </si>
  <si>
    <t>0958640286</t>
  </si>
  <si>
    <t>jpablo2682@hotmail.com</t>
  </si>
  <si>
    <t>KMPERY GYE 1974</t>
  </si>
  <si>
    <t>ARISTOBULO ALEX</t>
  </si>
  <si>
    <t>JIMENEZ MORALES</t>
  </si>
  <si>
    <t>0910969492</t>
  </si>
  <si>
    <t>jmalexjimenez68@gmail.com</t>
  </si>
  <si>
    <t>2904/A1103</t>
  </si>
  <si>
    <t>KMPERY GYE 1975</t>
  </si>
  <si>
    <t>LEMA CARPIO</t>
  </si>
  <si>
    <t>0920385200</t>
  </si>
  <si>
    <t>0958933071</t>
  </si>
  <si>
    <t>juan_joselema1979@hotmail.com</t>
  </si>
  <si>
    <t>KMPERY GYE 1976</t>
  </si>
  <si>
    <t>WILSON ABADI</t>
  </si>
  <si>
    <t>MINGA GUACHANAMA</t>
  </si>
  <si>
    <t>0702272279001</t>
  </si>
  <si>
    <t>0998462106</t>
  </si>
  <si>
    <t>wilsonamg1990@yahoo.com</t>
  </si>
  <si>
    <t>KMPERY GYE 1977</t>
  </si>
  <si>
    <t>ALDO GABRIEL</t>
  </si>
  <si>
    <t>ZAMBRANO MENDIETA</t>
  </si>
  <si>
    <t>1206247957</t>
  </si>
  <si>
    <t>0980677388</t>
  </si>
  <si>
    <t>zambriel87@gmail.com</t>
  </si>
  <si>
    <t>KMPERY GYE 1978</t>
  </si>
  <si>
    <t>ANGIE CATHERINE</t>
  </si>
  <si>
    <t>BARROS CARDENAS</t>
  </si>
  <si>
    <t>0930127618</t>
  </si>
  <si>
    <t>0987744237</t>
  </si>
  <si>
    <t>akbc_1990@hotmail.com</t>
  </si>
  <si>
    <t>KMPERY GYE 1979</t>
  </si>
  <si>
    <t>ANTONELLA DENISSE</t>
  </si>
  <si>
    <t>GAMBARROTTI MENDEZ</t>
  </si>
  <si>
    <t>1315824951001</t>
  </si>
  <si>
    <t>0996500215</t>
  </si>
  <si>
    <t>antonellgm17@hotmail.com</t>
  </si>
  <si>
    <t>KMPERY GYE 1980</t>
  </si>
  <si>
    <t>ENRIQUE ERACLIO</t>
  </si>
  <si>
    <t>ANCHUNDIA NIETO</t>
  </si>
  <si>
    <t>0917996019</t>
  </si>
  <si>
    <t>0986050714</t>
  </si>
  <si>
    <t>enrique_anchundia78@hotmail.com</t>
  </si>
  <si>
    <t>KMPERY GYE 1981</t>
  </si>
  <si>
    <t>CHRISTIAN JONATHAN</t>
  </si>
  <si>
    <t>ROCA CRUZ</t>
  </si>
  <si>
    <t>1206017350001</t>
  </si>
  <si>
    <t>0981605237</t>
  </si>
  <si>
    <t>cristhianyona@gmail.com</t>
  </si>
  <si>
    <t>KMPERY GYE 1982</t>
  </si>
  <si>
    <t>JOYCE BETHSABE</t>
  </si>
  <si>
    <t>ACOSTA SANTIESTEVAN</t>
  </si>
  <si>
    <t>0953693280</t>
  </si>
  <si>
    <t>0992934046</t>
  </si>
  <si>
    <t>bethsabeas_2000@hotmail.com</t>
  </si>
  <si>
    <t>KMPERY GYE 1983</t>
  </si>
  <si>
    <t>LILIAM</t>
  </si>
  <si>
    <t>FONSECA BODAÑO</t>
  </si>
  <si>
    <t>0960505410001</t>
  </si>
  <si>
    <t>0958855964</t>
  </si>
  <si>
    <t>KMPERY GYE 1984</t>
  </si>
  <si>
    <t>HECTOR GENARO</t>
  </si>
  <si>
    <t>MENDOZA GOMEZ</t>
  </si>
  <si>
    <t>0930418264</t>
  </si>
  <si>
    <t>0991229871</t>
  </si>
  <si>
    <t>hectordj772@gmail.com</t>
  </si>
  <si>
    <t>KMPERY GYE 1985</t>
  </si>
  <si>
    <t>EVELYN GABRIELA</t>
  </si>
  <si>
    <t>CANGA QUIÑONEZ</t>
  </si>
  <si>
    <t>0923779276</t>
  </si>
  <si>
    <t>0978967880</t>
  </si>
  <si>
    <t>evecanes85@gmail.com</t>
  </si>
  <si>
    <t>A1103/9060</t>
  </si>
  <si>
    <t>KMPERY GYE 1986</t>
  </si>
  <si>
    <t>LUCIANO ALBERTO</t>
  </si>
  <si>
    <t>CRUZ PINELA</t>
  </si>
  <si>
    <t>0915558761</t>
  </si>
  <si>
    <t>0996316435</t>
  </si>
  <si>
    <t>lucianocruzpinela@hotmail.com</t>
  </si>
  <si>
    <t>KMPERY GYE 1987</t>
  </si>
  <si>
    <t>GINA KATHERINE</t>
  </si>
  <si>
    <t>PALACIOS SCHULDT</t>
  </si>
  <si>
    <t>1206651604</t>
  </si>
  <si>
    <t>0987191833</t>
  </si>
  <si>
    <t>abginapalacios@hotmail.com</t>
  </si>
  <si>
    <t>KMPERY GYE 1988</t>
  </si>
  <si>
    <t>MARTHA ELIZABETH</t>
  </si>
  <si>
    <t>TUMBACO GONZALEZ</t>
  </si>
  <si>
    <t>0913425260</t>
  </si>
  <si>
    <t>0996926112</t>
  </si>
  <si>
    <t>eliza27life@hotmail.com</t>
  </si>
  <si>
    <t>KMPERY GYE 1989</t>
  </si>
  <si>
    <t>MERCEDEZ ESTHER</t>
  </si>
  <si>
    <t>VELASTEGUI TORRES</t>
  </si>
  <si>
    <t>0905661070</t>
  </si>
  <si>
    <t>0996878774</t>
  </si>
  <si>
    <t>fannyrosalesv15@gmail.</t>
  </si>
  <si>
    <t>KMPERY GYE 1990</t>
  </si>
  <si>
    <t>ANGIE ELIZABETH</t>
  </si>
  <si>
    <t>TORRES GONZALEZ</t>
  </si>
  <si>
    <t>0930701453</t>
  </si>
  <si>
    <t>0983605656</t>
  </si>
  <si>
    <t>angietorresio4@hotmail.com</t>
  </si>
  <si>
    <t>KMPERY GYE 1991</t>
  </si>
  <si>
    <t>HAROLD MIGUEL</t>
  </si>
  <si>
    <t>GUERRA RODRIGUEZ</t>
  </si>
  <si>
    <t>0924617137</t>
  </si>
  <si>
    <t>0967481813</t>
  </si>
  <si>
    <t>harolguerra15@hotmail.com</t>
  </si>
  <si>
    <t>KMPERY GYE 1992</t>
  </si>
  <si>
    <t>MAINGON ESCOBAR</t>
  </si>
  <si>
    <t>0923292064</t>
  </si>
  <si>
    <t>0986754699</t>
  </si>
  <si>
    <t>kahta_ma6@hotmail.com</t>
  </si>
  <si>
    <t>KMPERY TUL 1993</t>
  </si>
  <si>
    <t>EDISSON HUMBERTO</t>
  </si>
  <si>
    <t>QUILISMAL TAIMAL</t>
  </si>
  <si>
    <t>0401422332</t>
  </si>
  <si>
    <t>0967070804</t>
  </si>
  <si>
    <t>quilismaledisson6@gmail.com</t>
  </si>
  <si>
    <t>KMPERY TUL 1994</t>
  </si>
  <si>
    <t>LORENA MARIBEL</t>
  </si>
  <si>
    <t>LLANGANATE TONATO</t>
  </si>
  <si>
    <t>1724734965001</t>
  </si>
  <si>
    <t>0996186146</t>
  </si>
  <si>
    <t>maribeltonato@outlook.es</t>
  </si>
  <si>
    <t>KMPERY RBM 1995</t>
  </si>
  <si>
    <t>CLARA XIMENA</t>
  </si>
  <si>
    <t>MEJIA SALAZAR</t>
  </si>
  <si>
    <t>0602468456</t>
  </si>
  <si>
    <t>0995605082</t>
  </si>
  <si>
    <t>claraxmejiasalazar@gmail.com</t>
  </si>
  <si>
    <t>KMPERY RBM 1996</t>
  </si>
  <si>
    <t>ELIECER GUILLERMO</t>
  </si>
  <si>
    <t>VILLAFUERTE SHAIGUA</t>
  </si>
  <si>
    <t>0602558348</t>
  </si>
  <si>
    <t>0967405627</t>
  </si>
  <si>
    <t>guillermovillafuertes@gmail.com</t>
  </si>
  <si>
    <t>KMPERY RBM 1997</t>
  </si>
  <si>
    <t>MARIA GABRIELA</t>
  </si>
  <si>
    <t>YEPEZ GRANIZO</t>
  </si>
  <si>
    <t>0603505314001</t>
  </si>
  <si>
    <t>0996963079</t>
  </si>
  <si>
    <t>mgyg2201@gmail.com</t>
  </si>
  <si>
    <t>KMPERY RBM 1998</t>
  </si>
  <si>
    <t>ETHAN EMMANUEL</t>
  </si>
  <si>
    <t>SAGÑAY INCHIGLEMA</t>
  </si>
  <si>
    <t>0605039783</t>
  </si>
  <si>
    <t>0979692839</t>
  </si>
  <si>
    <t>ethanr1sg@gmail.com</t>
  </si>
  <si>
    <t>KMPERY RBM 1999</t>
  </si>
  <si>
    <t>SANTIAGO ELICEO</t>
  </si>
  <si>
    <t>LONDO AUQUILLA</t>
  </si>
  <si>
    <t>0604490946</t>
  </si>
  <si>
    <t>0984586039</t>
  </si>
  <si>
    <t>santiagolondo@yahoo.com</t>
  </si>
  <si>
    <t>KMPERY RBM 2000</t>
  </si>
  <si>
    <t>DENNYS MAURICIO</t>
  </si>
  <si>
    <t>PROAÑO FIALLOS</t>
  </si>
  <si>
    <t>0603783101</t>
  </si>
  <si>
    <t>0969698140</t>
  </si>
  <si>
    <t>maurodm11@gmail.com</t>
  </si>
  <si>
    <t>KMPERY RBM 2001</t>
  </si>
  <si>
    <t>FAUSTO BOLIVAR</t>
  </si>
  <si>
    <t>MARTINEZ GUERRERO</t>
  </si>
  <si>
    <t>0601170533001</t>
  </si>
  <si>
    <t>0994671456</t>
  </si>
  <si>
    <t>faut56martinez@gmail.com</t>
  </si>
  <si>
    <t>KMPERY RBM 2002</t>
  </si>
  <si>
    <t>LILIANA ISABEL</t>
  </si>
  <si>
    <t>ÑAMIÑA CAJILEMA</t>
  </si>
  <si>
    <t>0603782764</t>
  </si>
  <si>
    <t>0986152144</t>
  </si>
  <si>
    <t>lilyisabel2016@GMAIL.COM</t>
  </si>
  <si>
    <t>KMPERY RBM 2003</t>
  </si>
  <si>
    <t>REMACHE YUMI</t>
  </si>
  <si>
    <t>0602854168</t>
  </si>
  <si>
    <t>0959881122</t>
  </si>
  <si>
    <t>remacheana94@gmail.com</t>
  </si>
  <si>
    <t>KMPERY RBM 2004</t>
  </si>
  <si>
    <t>FRANCISCO JAVIER</t>
  </si>
  <si>
    <t>DAVALOS CORDOVEZ</t>
  </si>
  <si>
    <t>0601740996</t>
  </si>
  <si>
    <t>0988949093</t>
  </si>
  <si>
    <t>fdavalos14@hotmail.com</t>
  </si>
  <si>
    <t>KMPERY RBM 2005</t>
  </si>
  <si>
    <t>MARGOT CLARIZA</t>
  </si>
  <si>
    <t>GRANIZO PAZOS</t>
  </si>
  <si>
    <t>0200394807</t>
  </si>
  <si>
    <t>0967734555</t>
  </si>
  <si>
    <t>araguerrero1972@gmail.com</t>
  </si>
  <si>
    <t>KMPERY RBM 2006</t>
  </si>
  <si>
    <t xml:space="preserve">LUIS HUMBERTO </t>
  </si>
  <si>
    <t>FLORES LEMA</t>
  </si>
  <si>
    <t>1002635025</t>
  </si>
  <si>
    <t>0980297938</t>
  </si>
  <si>
    <t>if0772230@gmail.com</t>
  </si>
  <si>
    <t>KMPERY GYE 2007</t>
  </si>
  <si>
    <t>PALACIOS CEVALLOS</t>
  </si>
  <si>
    <t>0924081516</t>
  </si>
  <si>
    <t>0989307617</t>
  </si>
  <si>
    <t>malorena_@hotmail.com</t>
  </si>
  <si>
    <t>KMPERY GYE 2008</t>
  </si>
  <si>
    <t>JOHNNY GABRIEL</t>
  </si>
  <si>
    <t>GOMEZ SARANGO</t>
  </si>
  <si>
    <t>0926215328</t>
  </si>
  <si>
    <t>0959739944</t>
  </si>
  <si>
    <t>gabriel_sud2492@hotmail.com</t>
  </si>
  <si>
    <t>KMPERY GYE 2009</t>
  </si>
  <si>
    <t xml:space="preserve">LUIS RODOLFO </t>
  </si>
  <si>
    <t>ROBELLY RODRIGUEZ</t>
  </si>
  <si>
    <t>0940845647</t>
  </si>
  <si>
    <t>0987343858</t>
  </si>
  <si>
    <t>luisrobellyr1991@hotmail.com</t>
  </si>
  <si>
    <t>KMPERY GYE 2010</t>
  </si>
  <si>
    <t>KATHERINE MADERLEY</t>
  </si>
  <si>
    <t>MORILLO BARBERAN</t>
  </si>
  <si>
    <t>0952307072</t>
  </si>
  <si>
    <t>0994856928</t>
  </si>
  <si>
    <t>katherine_morrillo</t>
  </si>
  <si>
    <t>KMPERY GYE 2011</t>
  </si>
  <si>
    <t>CROSBY GONZALEZ</t>
  </si>
  <si>
    <t>0909798985001</t>
  </si>
  <si>
    <t>0998796017</t>
  </si>
  <si>
    <t>elicrosby@hotmail.com</t>
  </si>
  <si>
    <t>KMPERY GYE 2012</t>
  </si>
  <si>
    <t>JESUS ORLANDO</t>
  </si>
  <si>
    <t>NAVARRETE BAIDAL</t>
  </si>
  <si>
    <t>0926893090</t>
  </si>
  <si>
    <t>0961548442</t>
  </si>
  <si>
    <t>orlandojesus031291@gmail.com</t>
  </si>
  <si>
    <t>KMPERY GYE 2013</t>
  </si>
  <si>
    <t>BUSTAMANTE TIGUA</t>
  </si>
  <si>
    <t>0941493280</t>
  </si>
  <si>
    <t>0993463726</t>
  </si>
  <si>
    <t>luisfer1bustamante@gmail.com</t>
  </si>
  <si>
    <t>KMPERY GYE 2014</t>
  </si>
  <si>
    <t>ADAN FABRICIO</t>
  </si>
  <si>
    <t>CABANILLA ASTUDILLO</t>
  </si>
  <si>
    <t>0921598884</t>
  </si>
  <si>
    <t>0963160283</t>
  </si>
  <si>
    <t>adan_fabricio@htomail.com</t>
  </si>
  <si>
    <t>KMPERY GYE 2015</t>
  </si>
  <si>
    <t>KLEBER ALEXANDER</t>
  </si>
  <si>
    <t>VERDESOTO ARREAGA</t>
  </si>
  <si>
    <t>0920378494</t>
  </si>
  <si>
    <t>0962737237</t>
  </si>
  <si>
    <t>kleberverdesoto.a@outlook.com</t>
  </si>
  <si>
    <t>KMPERY GYE 2016</t>
  </si>
  <si>
    <t>CRUZ BRICEIDA</t>
  </si>
  <si>
    <t>LOOR AYALA</t>
  </si>
  <si>
    <t>0922659073</t>
  </si>
  <si>
    <t>0980822617</t>
  </si>
  <si>
    <t>elvicito01_@hotmail.com</t>
  </si>
  <si>
    <t>KMPERY GYE 2017</t>
  </si>
  <si>
    <t>KATTY MARIUXI</t>
  </si>
  <si>
    <t>ALVARADO MORAN</t>
  </si>
  <si>
    <t>0952484087</t>
  </si>
  <si>
    <t>0981458748</t>
  </si>
  <si>
    <t>katty.alvarado0695@gmail.com</t>
  </si>
  <si>
    <t>KMPERY GYE 2018</t>
  </si>
  <si>
    <t xml:space="preserve">BIHLA MARGOTH </t>
  </si>
  <si>
    <t>PEÑA VARGAS</t>
  </si>
  <si>
    <t>0958861122</t>
  </si>
  <si>
    <t>0988083435</t>
  </si>
  <si>
    <t>vanessavarga1997@gmail.com</t>
  </si>
  <si>
    <t>KMPERY GYE 2019</t>
  </si>
  <si>
    <t>NERGITA ISABEL</t>
  </si>
  <si>
    <t>SORNOZA CEVALLOS</t>
  </si>
  <si>
    <t>1308042827</t>
  </si>
  <si>
    <t>0991003400</t>
  </si>
  <si>
    <t>isabelsornoza77gmail.com</t>
  </si>
  <si>
    <t>VLADIMIR/RICHARD</t>
  </si>
  <si>
    <t>KMPERY GYE 2020</t>
  </si>
  <si>
    <t>KATHIA ROSARIO</t>
  </si>
  <si>
    <t>VINUEZA SOLORZANO</t>
  </si>
  <si>
    <t>0914030226</t>
  </si>
  <si>
    <t>0985728598</t>
  </si>
  <si>
    <t>kathiavinueza@hotmail.com</t>
  </si>
  <si>
    <t>KMPERY GYE 2021</t>
  </si>
  <si>
    <t xml:space="preserve">CARLA IVONNE </t>
  </si>
  <si>
    <t>CAMPOVERDE BENEVIDEZ</t>
  </si>
  <si>
    <t>0924973043</t>
  </si>
  <si>
    <t>0990973921</t>
  </si>
  <si>
    <t>carlacampoverde68@gmail.com</t>
  </si>
  <si>
    <t>KMPERY GYE 2022</t>
  </si>
  <si>
    <t>JUANA ROSA</t>
  </si>
  <si>
    <t>PIVAQUE ESPINOZA</t>
  </si>
  <si>
    <t>0923482038</t>
  </si>
  <si>
    <t>0988861347</t>
  </si>
  <si>
    <t>juanarosapivaque@gmail.com</t>
  </si>
  <si>
    <t>KMPERY GYE 2023</t>
  </si>
  <si>
    <t>JACKELINE LISSETTE</t>
  </si>
  <si>
    <t>FERNANDA AGUIRRE</t>
  </si>
  <si>
    <t>0705120012</t>
  </si>
  <si>
    <t>0998891477</t>
  </si>
  <si>
    <t>jackitafeis@outlook.com</t>
  </si>
  <si>
    <t>KMPERY MEC 2024</t>
  </si>
  <si>
    <t>BLANCA LUCCIOLA</t>
  </si>
  <si>
    <t>VERA PARRAGA</t>
  </si>
  <si>
    <t>1307647568</t>
  </si>
  <si>
    <t>0958931486</t>
  </si>
  <si>
    <t>blancaadrianvera@gmail.com</t>
  </si>
  <si>
    <t>KMPERY MEC 2025</t>
  </si>
  <si>
    <t>DANNY RAMON</t>
  </si>
  <si>
    <t>ALCIVAR PICO</t>
  </si>
  <si>
    <t>1314027762</t>
  </si>
  <si>
    <t>0960684127</t>
  </si>
  <si>
    <t>adannyramon@gmail.com</t>
  </si>
  <si>
    <t>KMPERY MEC 2026</t>
  </si>
  <si>
    <t>TONY BRYAN</t>
  </si>
  <si>
    <t>REYES ALAY</t>
  </si>
  <si>
    <t>1314741578001</t>
  </si>
  <si>
    <t>0992226902</t>
  </si>
  <si>
    <t>tbryan091994@gmail.com</t>
  </si>
  <si>
    <t>KMPERY MEC 2027</t>
  </si>
  <si>
    <t>STEFANY JOHANA</t>
  </si>
  <si>
    <t>MACIAS YOZA</t>
  </si>
  <si>
    <t>1315355097</t>
  </si>
  <si>
    <t>0939657473</t>
  </si>
  <si>
    <t>stefanymacias22@gmail.com</t>
  </si>
  <si>
    <t>KMPERY MEC 2028</t>
  </si>
  <si>
    <t>GUIDO GABRIEL</t>
  </si>
  <si>
    <t>CHILAN GONZALEZ</t>
  </si>
  <si>
    <t>1314834795</t>
  </si>
  <si>
    <t>0988928481</t>
  </si>
  <si>
    <t>gabo00info@gmail.com</t>
  </si>
  <si>
    <t>KMPERY MEC 2029</t>
  </si>
  <si>
    <t>PINARGOTE MOLINA</t>
  </si>
  <si>
    <t>1310061542</t>
  </si>
  <si>
    <t>0988155985</t>
  </si>
  <si>
    <t>pame.pinargotemedina@gmail.com</t>
  </si>
  <si>
    <t>KMPERY MEC 2030</t>
  </si>
  <si>
    <t>YELITZA DEL CARMEN</t>
  </si>
  <si>
    <t>MIRANDA MERO</t>
  </si>
  <si>
    <t>0962159570</t>
  </si>
  <si>
    <t>0999252568</t>
  </si>
  <si>
    <t>yelitzamiranda2013@hotmail.com</t>
  </si>
  <si>
    <t>KMPERY MEC 2031</t>
  </si>
  <si>
    <t>WILBER IVAN</t>
  </si>
  <si>
    <t>MACIAS PALACIO</t>
  </si>
  <si>
    <t>1304580556</t>
  </si>
  <si>
    <t>0993576133</t>
  </si>
  <si>
    <t>micha011064@gmail.com</t>
  </si>
  <si>
    <t>KMPERY MEC 2032</t>
  </si>
  <si>
    <t>ANGELA DAYANA</t>
  </si>
  <si>
    <t>MERO CEDEÑO</t>
  </si>
  <si>
    <t>1317071767</t>
  </si>
  <si>
    <t>0996241399</t>
  </si>
  <si>
    <t>dayanamero1996@gmail.com</t>
  </si>
  <si>
    <t>EDU/ZINDY</t>
  </si>
  <si>
    <t>KMPERY MEC 2033</t>
  </si>
  <si>
    <t>MENENDEZ TOALA</t>
  </si>
  <si>
    <t>1309461562</t>
  </si>
  <si>
    <t>0981299028</t>
  </si>
  <si>
    <t>rosamenendez3536@gmail.com</t>
  </si>
  <si>
    <t>KMPERY MEC 2034</t>
  </si>
  <si>
    <t>GENNY MAGDALENA</t>
  </si>
  <si>
    <t>LOPEZ PACHECO</t>
  </si>
  <si>
    <t>1304017856001</t>
  </si>
  <si>
    <t>0995054998</t>
  </si>
  <si>
    <t>g.2000_mag@hotmail.com</t>
  </si>
  <si>
    <t>KMPERY MEC 2035</t>
  </si>
  <si>
    <t>JHOAN PAUL</t>
  </si>
  <si>
    <t>CALDERON PINCAY</t>
  </si>
  <si>
    <t>2300310162001</t>
  </si>
  <si>
    <t>0982129641</t>
  </si>
  <si>
    <t>jhoan.calderon357@gmail.com</t>
  </si>
  <si>
    <t>KMPERY MEC 2036</t>
  </si>
  <si>
    <t>HENRRY JAVIER</t>
  </si>
  <si>
    <t>PACHAY PACHAY</t>
  </si>
  <si>
    <t>1312650334</t>
  </si>
  <si>
    <t>0987096881</t>
  </si>
  <si>
    <t>javier_pachay@hotmail.com</t>
  </si>
  <si>
    <t>KMPERY MEC 2037</t>
  </si>
  <si>
    <t>BELLA AMPARO</t>
  </si>
  <si>
    <t>RAMIREZ MOLINA</t>
  </si>
  <si>
    <t>1307314565</t>
  </si>
  <si>
    <t>0989982101</t>
  </si>
  <si>
    <t>bellaramirezmolina8@gmail.com</t>
  </si>
  <si>
    <t>KMPERY MEC 2038</t>
  </si>
  <si>
    <t>ZAIDA DOLORES</t>
  </si>
  <si>
    <t>ZAMBRANO CHICA</t>
  </si>
  <si>
    <t>1306357904</t>
  </si>
  <si>
    <t>0993874901</t>
  </si>
  <si>
    <t>zdzambrano69@hotmail.com</t>
  </si>
  <si>
    <t>KMPERY MEC 2039</t>
  </si>
  <si>
    <t>FREDY EDULFO</t>
  </si>
  <si>
    <t>ARAIZ SUAREZ</t>
  </si>
  <si>
    <t>1302306087</t>
  </si>
  <si>
    <t>0988237365</t>
  </si>
  <si>
    <t>eliano_1890@hotmail.com</t>
  </si>
  <si>
    <t>KMPERY MEC 2040</t>
  </si>
  <si>
    <t>ANDERSON DAMIAN</t>
  </si>
  <si>
    <t>PONCE MEJIA</t>
  </si>
  <si>
    <t>1315805976</t>
  </si>
  <si>
    <t>0958990617</t>
  </si>
  <si>
    <t>andersonponce828@gmail.com</t>
  </si>
  <si>
    <t>KMPERY MEC 2041</t>
  </si>
  <si>
    <t>JOHANA OTITA</t>
  </si>
  <si>
    <t>ZAMBRANO MUÑOZ</t>
  </si>
  <si>
    <t>1316475829</t>
  </si>
  <si>
    <t>0967555523</t>
  </si>
  <si>
    <t>joys1994zambrano@gmail.com</t>
  </si>
  <si>
    <t>KMPERY MEC 2042</t>
  </si>
  <si>
    <t>ANDREA PAOLA</t>
  </si>
  <si>
    <t>LUCAS CEDEÑO</t>
  </si>
  <si>
    <t>1316064755</t>
  </si>
  <si>
    <t>0985975839</t>
  </si>
  <si>
    <t>andreipao_95@hotmail.com</t>
  </si>
  <si>
    <t>KMPERY MEC 2043</t>
  </si>
  <si>
    <t>JANETH MARICELA</t>
  </si>
  <si>
    <t>CHALUISA QUISHPE</t>
  </si>
  <si>
    <t>0502943731</t>
  </si>
  <si>
    <t>0959914545</t>
  </si>
  <si>
    <t>janethchai9@gmail.com</t>
  </si>
  <si>
    <t>KMPERY AMB 2044</t>
  </si>
  <si>
    <t>ANGEL TRAJANO</t>
  </si>
  <si>
    <t>PROAÑO FREIRE</t>
  </si>
  <si>
    <t>1800726646</t>
  </si>
  <si>
    <t>0988737231</t>
  </si>
  <si>
    <t>DATALINK</t>
  </si>
  <si>
    <t>angelproano1@gmail.com</t>
  </si>
  <si>
    <t>KMPERY AMB 2045</t>
  </si>
  <si>
    <t>GUSTAVO ENRIQUE</t>
  </si>
  <si>
    <t>ANALUISA PEREZ</t>
  </si>
  <si>
    <t>1804331203</t>
  </si>
  <si>
    <t>0983057284</t>
  </si>
  <si>
    <t>condemaitamary@gmail.com</t>
  </si>
  <si>
    <t>KMPERY STD 2046</t>
  </si>
  <si>
    <t>DARWIN LEONIDAS</t>
  </si>
  <si>
    <t>LEON PEREZ</t>
  </si>
  <si>
    <t>0605340884</t>
  </si>
  <si>
    <t>0997746869</t>
  </si>
  <si>
    <t>leoncitodarwin@gmail.com</t>
  </si>
  <si>
    <t>KMPERY AMB 2047</t>
  </si>
  <si>
    <t>MAYRA ESTEFANIA</t>
  </si>
  <si>
    <t>PAREDES CHAVEZ</t>
  </si>
  <si>
    <t>1804721387</t>
  </si>
  <si>
    <t>0995050049</t>
  </si>
  <si>
    <t>mayraparedes35@gmail.com</t>
  </si>
  <si>
    <t>EDU/RICH</t>
  </si>
  <si>
    <t>KMPERY STD 2048</t>
  </si>
  <si>
    <t>ROSA ESTHELA</t>
  </si>
  <si>
    <t>ACOSTA ORTIZ</t>
  </si>
  <si>
    <t>1709088924</t>
  </si>
  <si>
    <t>0961410702</t>
  </si>
  <si>
    <t>acostaesthela230@gmail.com</t>
  </si>
  <si>
    <t>KMPERY STD 2049</t>
  </si>
  <si>
    <t>PAOLA ELIZABETH</t>
  </si>
  <si>
    <t>PARDO MAZA</t>
  </si>
  <si>
    <t>2300438823</t>
  </si>
  <si>
    <t>0999582930</t>
  </si>
  <si>
    <t>paola.pardomaza@hotmail.com</t>
  </si>
  <si>
    <t>KMPERY STD 2050</t>
  </si>
  <si>
    <t>OLGA DEL ROCIO</t>
  </si>
  <si>
    <t>MORA OLMEDO</t>
  </si>
  <si>
    <t>1712555711</t>
  </si>
  <si>
    <t>0985909375</t>
  </si>
  <si>
    <t>olracio_@hotmail.com</t>
  </si>
  <si>
    <t>KMPERY STD 2051</t>
  </si>
  <si>
    <t>LUIS PATRICIO</t>
  </si>
  <si>
    <t>RODRIGUEZ CARRION</t>
  </si>
  <si>
    <t>1709948044</t>
  </si>
  <si>
    <t>0992200830</t>
  </si>
  <si>
    <t>rodriguezcarrion1968@gmail.com</t>
  </si>
  <si>
    <t>KMPERY STD 2052</t>
  </si>
  <si>
    <t>HOLGUER EMILIANO</t>
  </si>
  <si>
    <t>TORO BARRERA</t>
  </si>
  <si>
    <t>1803088853</t>
  </si>
  <si>
    <t>0998441827</t>
  </si>
  <si>
    <t>20</t>
  </si>
  <si>
    <t>holgertb@gmail.com</t>
  </si>
  <si>
    <t>KMPERY STD 2053</t>
  </si>
  <si>
    <t>LIGIA ELENA</t>
  </si>
  <si>
    <t>SOLORZANO LOOR</t>
  </si>
  <si>
    <t>0850277179</t>
  </si>
  <si>
    <t>0991081789</t>
  </si>
  <si>
    <t>ligiasolorzano27@gmail.com</t>
  </si>
  <si>
    <t>KMPERY STD 2054</t>
  </si>
  <si>
    <t>MIDAR GUALBERTO</t>
  </si>
  <si>
    <t>CUZCO IBARRA</t>
  </si>
  <si>
    <t>1710304427</t>
  </si>
  <si>
    <t>0990426284</t>
  </si>
  <si>
    <t>midarcuzco@gmail.com</t>
  </si>
  <si>
    <t>KMPERY STD 2055</t>
  </si>
  <si>
    <t>WILSON JEOVANNY</t>
  </si>
  <si>
    <t>ANDRADE VERA</t>
  </si>
  <si>
    <t>1711561835001</t>
  </si>
  <si>
    <t>0967598219</t>
  </si>
  <si>
    <t>wilsonandrade1612@gmail.com</t>
  </si>
  <si>
    <t>KMPERY STD 2056</t>
  </si>
  <si>
    <t>JOSE JAVIER</t>
  </si>
  <si>
    <t>GARCIA ARMERO</t>
  </si>
  <si>
    <t>1724419138</t>
  </si>
  <si>
    <t>0988498504</t>
  </si>
  <si>
    <t>yadirapuma46@gmail.com</t>
  </si>
  <si>
    <t>KMPERY STD 2057</t>
  </si>
  <si>
    <t>MARCIA MARGARITA</t>
  </si>
  <si>
    <t>VALLADARES SANDOVAL</t>
  </si>
  <si>
    <t>1720597101</t>
  </si>
  <si>
    <t>0958887433</t>
  </si>
  <si>
    <t>valladaresmarcia823@gmail.com</t>
  </si>
  <si>
    <t>KMPERY STD 2058</t>
  </si>
  <si>
    <t>DIMAS VICENTE</t>
  </si>
  <si>
    <t>MENDIETA CEDEÑO</t>
  </si>
  <si>
    <t>1708818669001</t>
  </si>
  <si>
    <t>0991963266</t>
  </si>
  <si>
    <t>mendietadimas@hotmail.com</t>
  </si>
  <si>
    <t>A1103/2904</t>
  </si>
  <si>
    <t>KMPERY STD 2059</t>
  </si>
  <si>
    <t>ANGEL FERNANDO</t>
  </si>
  <si>
    <t>YAGUANA DIAZ</t>
  </si>
  <si>
    <t>1722420039</t>
  </si>
  <si>
    <t>0985688902</t>
  </si>
  <si>
    <t>angelyaguana1988@hotmail.com</t>
  </si>
  <si>
    <t>KMPERY STD 2060</t>
  </si>
  <si>
    <t>MAZA DELGADO</t>
  </si>
  <si>
    <t>0702375015</t>
  </si>
  <si>
    <t>0968165609</t>
  </si>
  <si>
    <t>juliocesarmd1965@gmail.com</t>
  </si>
  <si>
    <t>DL001</t>
  </si>
  <si>
    <t>KMPERY STD 2061</t>
  </si>
  <si>
    <t>JENNY MARIBEL</t>
  </si>
  <si>
    <t>GUERRERO ZARI</t>
  </si>
  <si>
    <t>1713515086001</t>
  </si>
  <si>
    <t>0980463948</t>
  </si>
  <si>
    <t>jennyguerrero7828@gmail.com</t>
  </si>
  <si>
    <t>ANAHI</t>
  </si>
  <si>
    <t>KMPERY STD 2062</t>
  </si>
  <si>
    <t>JOSSELYN NAYELI</t>
  </si>
  <si>
    <t>JARAMILLO MENDIETA</t>
  </si>
  <si>
    <t>2350543555001</t>
  </si>
  <si>
    <t>0962127501</t>
  </si>
  <si>
    <t>josse.jaramillo@hotmail.com</t>
  </si>
  <si>
    <t>KMPERY STD 2063</t>
  </si>
  <si>
    <t>LOURDES XIMENA</t>
  </si>
  <si>
    <t>MESIAS SALVARRIA</t>
  </si>
  <si>
    <t>1206273623</t>
  </si>
  <si>
    <t>0991263036</t>
  </si>
  <si>
    <t>ximenamesias80@gmail.com</t>
  </si>
  <si>
    <t>EDU/ADRIAN</t>
  </si>
  <si>
    <t>JAIME EDUARDO</t>
  </si>
  <si>
    <t>PEREZ GUEVARA</t>
  </si>
  <si>
    <t>0201529294</t>
  </si>
  <si>
    <t>0983733405</t>
  </si>
  <si>
    <t>EXTENSION DE AÑOS CONTRATO 1206 FECHA 2023</t>
  </si>
  <si>
    <t>KMPERY GRN 2064</t>
  </si>
  <si>
    <t>EDISON FERNANDO</t>
  </si>
  <si>
    <t>RODRIGUEZ RODRIGUEZ</t>
  </si>
  <si>
    <t>0201409331</t>
  </si>
  <si>
    <t>0985327924</t>
  </si>
  <si>
    <t>edirodriguez2978@hotmail.com</t>
  </si>
  <si>
    <t>KMPERY RBM 2065</t>
  </si>
  <si>
    <t>RUBEN EDUARDO</t>
  </si>
  <si>
    <t>OÑATE HARO</t>
  </si>
  <si>
    <t>0602092413</t>
  </si>
  <si>
    <t>0998458426</t>
  </si>
  <si>
    <t>PAYPHONE CARLOS</t>
  </si>
  <si>
    <t>roh7-7@hotmail.com</t>
  </si>
  <si>
    <t>KMPERY RBM 2066</t>
  </si>
  <si>
    <t>DOLORES AMELIA</t>
  </si>
  <si>
    <t>VITERI SALAZAR</t>
  </si>
  <si>
    <t>0600821151</t>
  </si>
  <si>
    <t>0992669657</t>
  </si>
  <si>
    <t>lolaviteri671@gmail.com</t>
  </si>
  <si>
    <t>KMPERY RBM 2067</t>
  </si>
  <si>
    <t>ROSALINA IVONNE</t>
  </si>
  <si>
    <t>BALANZATEGUI GARCIA</t>
  </si>
  <si>
    <t>0602030009</t>
  </si>
  <si>
    <t>0989361719</t>
  </si>
  <si>
    <t>GN/PAYPHO CARLOS</t>
  </si>
  <si>
    <t>tribalanzategui@gmail.com</t>
  </si>
  <si>
    <t>KMPERY RBM 2068</t>
  </si>
  <si>
    <t>BRENDA LUCIA</t>
  </si>
  <si>
    <t>CARRILLO BAYAS</t>
  </si>
  <si>
    <t>0201729472</t>
  </si>
  <si>
    <t>0968950998</t>
  </si>
  <si>
    <t>annyca170911@yahoo.es</t>
  </si>
  <si>
    <t>KMPERY RBM 2069</t>
  </si>
  <si>
    <t>GEOCONDA FERNANDA</t>
  </si>
  <si>
    <t>PILAMUNGA GRANIZO</t>
  </si>
  <si>
    <t>0603869116</t>
  </si>
  <si>
    <t>0984046746</t>
  </si>
  <si>
    <t>ferchispilamunga@hotmail.com</t>
  </si>
  <si>
    <t>KMPERY RBM 2070</t>
  </si>
  <si>
    <t>TIUPUL CARRILLO</t>
  </si>
  <si>
    <t>0604499905</t>
  </si>
  <si>
    <t>0990503642</t>
  </si>
  <si>
    <t>rositatc_b2@yahoo.es</t>
  </si>
  <si>
    <t>KMPERY RBM 2071</t>
  </si>
  <si>
    <t>GUEVARA GONZALEZ</t>
  </si>
  <si>
    <t>0604488296</t>
  </si>
  <si>
    <t>0995787584</t>
  </si>
  <si>
    <t>mafer.guevara654@gmail.com</t>
  </si>
  <si>
    <t>KMPERY RBM 2072</t>
  </si>
  <si>
    <t>WALTER ALBERTO</t>
  </si>
  <si>
    <t>MACAS GUAÑUNA</t>
  </si>
  <si>
    <t>0603769159</t>
  </si>
  <si>
    <t>0991955129</t>
  </si>
  <si>
    <t>waltermacas321@gmail.com</t>
  </si>
  <si>
    <t>KMPERY LOH 2073</t>
  </si>
  <si>
    <t>JORGE ENRIQUE</t>
  </si>
  <si>
    <t>ZUMBA CABRERA</t>
  </si>
  <si>
    <t>1705249728</t>
  </si>
  <si>
    <t>0988699212</t>
  </si>
  <si>
    <t>PAYPHONE EDUARDO</t>
  </si>
  <si>
    <t>jorgezumba@gmail.com</t>
  </si>
  <si>
    <t>KMPERY LOH 2074</t>
  </si>
  <si>
    <t>DIANA CRISTINA</t>
  </si>
  <si>
    <t>OVIEDO VERA</t>
  </si>
  <si>
    <t>1105858441</t>
  </si>
  <si>
    <t>0987939103</t>
  </si>
  <si>
    <t>diana.oviedo@unl.ud.es</t>
  </si>
  <si>
    <t>KMPERY LOH 2075</t>
  </si>
  <si>
    <t>ROSA AURORA</t>
  </si>
  <si>
    <t>GONZAGA LIMA</t>
  </si>
  <si>
    <t>1101447355</t>
  </si>
  <si>
    <t>0980738034</t>
  </si>
  <si>
    <t>rosagonzaga1954@gmail.com</t>
  </si>
  <si>
    <t>KMPERY LOH 2076</t>
  </si>
  <si>
    <t>DIGAR JONATHAN</t>
  </si>
  <si>
    <t>BENITEZ CONTENTO</t>
  </si>
  <si>
    <t>1104886492</t>
  </si>
  <si>
    <t>0969564318</t>
  </si>
  <si>
    <t>vetdogtor@gmail.com</t>
  </si>
  <si>
    <t>KMPERY LOH 2077</t>
  </si>
  <si>
    <t>DELIA ALVARITA</t>
  </si>
  <si>
    <t>LAMAR JIMENEZ</t>
  </si>
  <si>
    <t>1105031965</t>
  </si>
  <si>
    <t>0978685431</t>
  </si>
  <si>
    <t>PAYPHONE LEO</t>
  </si>
  <si>
    <t>delialamor4@gmail.com</t>
  </si>
  <si>
    <t>KMPERY LOH 2078</t>
  </si>
  <si>
    <t>CEVALLOS VERA</t>
  </si>
  <si>
    <t>1103147763001</t>
  </si>
  <si>
    <t>0984129546</t>
  </si>
  <si>
    <t>luiscevallos910@gmail.com</t>
  </si>
  <si>
    <t>KMPERY LOH 2079</t>
  </si>
  <si>
    <t>MARIA AUGUSTA</t>
  </si>
  <si>
    <t>MONTAÑO GALARZA</t>
  </si>
  <si>
    <t>1102852298</t>
  </si>
  <si>
    <t>0994455166</t>
  </si>
  <si>
    <t>maugumy@hotmail.com</t>
  </si>
  <si>
    <t>KMPERY LOH 2080</t>
  </si>
  <si>
    <t>1101578290</t>
  </si>
  <si>
    <t>0983601606</t>
  </si>
  <si>
    <t>jtambomorocho@gmail.com</t>
  </si>
  <si>
    <t>KMPERY GYE 2081</t>
  </si>
  <si>
    <t>MELBA DOMENICA</t>
  </si>
  <si>
    <t>MONSERRATE AMAYA</t>
  </si>
  <si>
    <t>0918369364001</t>
  </si>
  <si>
    <t>0995708090</t>
  </si>
  <si>
    <t>melbamonserrate12@gmail.com</t>
  </si>
  <si>
    <t>KMPERY GYE 2082</t>
  </si>
  <si>
    <t>JUAN BLANDIN</t>
  </si>
  <si>
    <t>SARUMA MARTINEZ</t>
  </si>
  <si>
    <t>0101720696001</t>
  </si>
  <si>
    <t>0967296456</t>
  </si>
  <si>
    <t>juanblandinsaruma20@gmail.com</t>
  </si>
  <si>
    <t>KMPERY GYE 2083</t>
  </si>
  <si>
    <t>PEDRO PABLO</t>
  </si>
  <si>
    <t>MENDOZA ZAMBRANO</t>
  </si>
  <si>
    <t>1718661661</t>
  </si>
  <si>
    <t>0981747072</t>
  </si>
  <si>
    <t>ericksnaidermendoza08@gmail.com</t>
  </si>
  <si>
    <t>KMPERY GYE 2084</t>
  </si>
  <si>
    <t>FRANKLIN RICARDO</t>
  </si>
  <si>
    <t>SOLORZANO MACIAS</t>
  </si>
  <si>
    <t>0912103066</t>
  </si>
  <si>
    <t>0999394312</t>
  </si>
  <si>
    <t>GN/LINK DE PAGO</t>
  </si>
  <si>
    <t>f.ricardo_62@hotmail.com</t>
  </si>
  <si>
    <t>KMPERY GYE 2085</t>
  </si>
  <si>
    <t>HELLEN VALERIA</t>
  </si>
  <si>
    <t>HUMANANTE GARCIA</t>
  </si>
  <si>
    <t>0942617051</t>
  </si>
  <si>
    <t>0939893223</t>
  </si>
  <si>
    <t>valeriahumanante@hotmail.com</t>
  </si>
  <si>
    <t>KMPERY GYE 2086</t>
  </si>
  <si>
    <t>MARTHA ALEXANDRA</t>
  </si>
  <si>
    <t>PERALTA GUERRERO</t>
  </si>
  <si>
    <t>0910652551001</t>
  </si>
  <si>
    <t>0997121305</t>
  </si>
  <si>
    <t>alexitoperalta@hotmail.com</t>
  </si>
  <si>
    <t>KMPERY GYE 2087</t>
  </si>
  <si>
    <t>RONALD XAVIER</t>
  </si>
  <si>
    <t>PINEDA ZAMBRANO</t>
  </si>
  <si>
    <t>0922460514</t>
  </si>
  <si>
    <t>0985084849</t>
  </si>
  <si>
    <t>xanalaxavier29@hotmail.com</t>
  </si>
  <si>
    <t>KMPERY GYE 2088</t>
  </si>
  <si>
    <t>ERICK JONATHAN</t>
  </si>
  <si>
    <t>CEDEÑO MATUTE</t>
  </si>
  <si>
    <t>0984975778</t>
  </si>
  <si>
    <t>erimatute@gmail.com</t>
  </si>
  <si>
    <t>KMPERY PTV 2089</t>
  </si>
  <si>
    <t>DELGADO ALAY</t>
  </si>
  <si>
    <t>1308590072</t>
  </si>
  <si>
    <t>0993997732</t>
  </si>
  <si>
    <t>antoniodelgado67@outlook.com</t>
  </si>
  <si>
    <t>KMPERY PTV 2090</t>
  </si>
  <si>
    <t>ELSA ROSARIO</t>
  </si>
  <si>
    <t>SANCHEZ LOOR</t>
  </si>
  <si>
    <t>1313349522</t>
  </si>
  <si>
    <t>0985150905</t>
  </si>
  <si>
    <t>rosariosanchezmoyo8@gmail.com</t>
  </si>
  <si>
    <t>KMPERY PTV 2091</t>
  </si>
  <si>
    <t>GUALE TUBAY</t>
  </si>
  <si>
    <t>1315117315</t>
  </si>
  <si>
    <t>0982717718</t>
  </si>
  <si>
    <t>PAYPHONE LEO/EDU</t>
  </si>
  <si>
    <t>anagualetubay@gmail.com</t>
  </si>
  <si>
    <t>KMPERY PTV 2092</t>
  </si>
  <si>
    <t>JIPSON ANTONIO</t>
  </si>
  <si>
    <t>SOLORZANO VELEZ</t>
  </si>
  <si>
    <t>1310683725</t>
  </si>
  <si>
    <t>0961142698</t>
  </si>
  <si>
    <t>GN/PAYPHO</t>
  </si>
  <si>
    <t>jipsonsolorzano@hotmail.com</t>
  </si>
  <si>
    <t>KMPERY PTV 2093</t>
  </si>
  <si>
    <t>ELIZABETH BEATRIZ</t>
  </si>
  <si>
    <t>TEJENA MOREIRA</t>
  </si>
  <si>
    <t>1309733242</t>
  </si>
  <si>
    <t>0986327189</t>
  </si>
  <si>
    <t>bachi81@hotmail.com</t>
  </si>
  <si>
    <t>KMPERY PTV 2094</t>
  </si>
  <si>
    <t>ANGELA MONCERRATE</t>
  </si>
  <si>
    <t>CEDEÑO BRIONES</t>
  </si>
  <si>
    <t>1304660523</t>
  </si>
  <si>
    <t>0986051314</t>
  </si>
  <si>
    <t>michilacruel@gmail.com</t>
  </si>
  <si>
    <t>KMPERY PTV 2095</t>
  </si>
  <si>
    <t>GEMA MICHELLE</t>
  </si>
  <si>
    <t>MENENDEZ GARCIA</t>
  </si>
  <si>
    <t>1313997510</t>
  </si>
  <si>
    <t>0980432688</t>
  </si>
  <si>
    <t>gmenendez7510@gmail.com</t>
  </si>
  <si>
    <t>KMPERY PTV 2096</t>
  </si>
  <si>
    <t>LITARDO CEDEÑO</t>
  </si>
  <si>
    <t>1312061961</t>
  </si>
  <si>
    <t>0991866672</t>
  </si>
  <si>
    <t>mlitardo@outlook.es</t>
  </si>
  <si>
    <t>KMPERY PTV 2097</t>
  </si>
  <si>
    <t>ERIKA VIVIANA</t>
  </si>
  <si>
    <t>MENDOZA OCHOA</t>
  </si>
  <si>
    <t>2300705692</t>
  </si>
  <si>
    <t>0969080295</t>
  </si>
  <si>
    <t>erikamendes@hotmail.com</t>
  </si>
  <si>
    <t>KMPERY PTV 2098</t>
  </si>
  <si>
    <t>JHONNY FABRICIO</t>
  </si>
  <si>
    <t>LOOR ZAMBRANO</t>
  </si>
  <si>
    <t>0803149996</t>
  </si>
  <si>
    <t>0961182960</t>
  </si>
  <si>
    <t>jhonnyloor1992@outlook.com</t>
  </si>
  <si>
    <t>KMPERY PTV 2099</t>
  </si>
  <si>
    <t>GLORIA MONSERRATE</t>
  </si>
  <si>
    <t>MACIAS SANTANA</t>
  </si>
  <si>
    <t>1310140881</t>
  </si>
  <si>
    <t>0990162781</t>
  </si>
  <si>
    <t>gloriamacias069@gmail.com</t>
  </si>
  <si>
    <t>KMPERY PTV 2100</t>
  </si>
  <si>
    <t>GUARNIZO VERDESOTO</t>
  </si>
  <si>
    <t>1709738395</t>
  </si>
  <si>
    <t>0991127774</t>
  </si>
  <si>
    <t>victorg49@hotmail.com</t>
  </si>
  <si>
    <t>LEO/RICH</t>
  </si>
  <si>
    <t>KMPERY PTV 2101</t>
  </si>
  <si>
    <t>JENIFFER STEFANIA</t>
  </si>
  <si>
    <t>PINARGOTE SANTANA</t>
  </si>
  <si>
    <t>1310339641</t>
  </si>
  <si>
    <t>0968931046</t>
  </si>
  <si>
    <t>jeniips@hotmail.com</t>
  </si>
  <si>
    <t>KMPERY PTV 2102</t>
  </si>
  <si>
    <t>EWER ANTONIO</t>
  </si>
  <si>
    <t>LOOR MACIAS</t>
  </si>
  <si>
    <t>1307507903</t>
  </si>
  <si>
    <t>0967563681</t>
  </si>
  <si>
    <t>ewerantonio@yahoo.com</t>
  </si>
  <si>
    <t>KMPERY PTV 2103</t>
  </si>
  <si>
    <t>DANNY TATIANA</t>
  </si>
  <si>
    <t>CEDEÑO LOOR</t>
  </si>
  <si>
    <t>1310753254</t>
  </si>
  <si>
    <t>0963327057</t>
  </si>
  <si>
    <t>tatyadri1987@gmail.com</t>
  </si>
  <si>
    <t>KMPERY PTV 2104</t>
  </si>
  <si>
    <t>EDGAR EURIPIDES</t>
  </si>
  <si>
    <t>GARCIA MERA</t>
  </si>
  <si>
    <t>1306777689</t>
  </si>
  <si>
    <t>0983326716</t>
  </si>
  <si>
    <t>edgargarciam@outlook.com</t>
  </si>
  <si>
    <t>KMPERY PTV 2105</t>
  </si>
  <si>
    <t>MORALES CUENCA</t>
  </si>
  <si>
    <t>1314874551</t>
  </si>
  <si>
    <t>0989807525</t>
  </si>
  <si>
    <t>angelmora171995@gmail.com</t>
  </si>
  <si>
    <t>KMPERY PTV 2106</t>
  </si>
  <si>
    <t>ELVIS ALEXANDER</t>
  </si>
  <si>
    <t>BRAVO MOREIRA</t>
  </si>
  <si>
    <t>1316488749</t>
  </si>
  <si>
    <t>0962323887</t>
  </si>
  <si>
    <t>elvisbramore2021@gmail.com</t>
  </si>
  <si>
    <t>KMPERY PTV 2107</t>
  </si>
  <si>
    <t>JUNIOR DARIO</t>
  </si>
  <si>
    <t>ALCIVAR FALCONES</t>
  </si>
  <si>
    <t>1310791353001</t>
  </si>
  <si>
    <t>0991990612</t>
  </si>
  <si>
    <t>junioralcivar04@hotmail.com</t>
  </si>
  <si>
    <t>KMPERY PTV 2108</t>
  </si>
  <si>
    <t>MEJIA MONTES</t>
  </si>
  <si>
    <t>1307689610</t>
  </si>
  <si>
    <t>0985364135</t>
  </si>
  <si>
    <t>mariamejia7210@gmail.com</t>
  </si>
  <si>
    <t>KMPERY PTV 2109</t>
  </si>
  <si>
    <t>JOHNNY EDUARDO</t>
  </si>
  <si>
    <t>GARCIA ZAMBRANO</t>
  </si>
  <si>
    <t>1312369711</t>
  </si>
  <si>
    <t>0981562027</t>
  </si>
  <si>
    <t>DATA LINK/PAYPHONE</t>
  </si>
  <si>
    <t>LINK/PAYPHONE</t>
  </si>
  <si>
    <t>johnnygarcia1919@hotmail.com</t>
  </si>
  <si>
    <t>KMPERY PTV 2110</t>
  </si>
  <si>
    <t>CANDY KAINA</t>
  </si>
  <si>
    <t>SALTOS RODRIGUEZ</t>
  </si>
  <si>
    <t>1312324021</t>
  </si>
  <si>
    <t>0964021627</t>
  </si>
  <si>
    <t>GN/PAYPHONE EDU</t>
  </si>
  <si>
    <t>kainahurtado10@gmail.com</t>
  </si>
  <si>
    <t>KMPERY PTV 2111</t>
  </si>
  <si>
    <t>JEAN PIERRE</t>
  </si>
  <si>
    <t>BRAVO ZAMBRANO</t>
  </si>
  <si>
    <t>1315066363</t>
  </si>
  <si>
    <t>0939428999</t>
  </si>
  <si>
    <t>jpierreb@gmail.com</t>
  </si>
  <si>
    <t>800/700Z</t>
  </si>
  <si>
    <t>KMPERY PTV 2112</t>
  </si>
  <si>
    <t>JOSE FROILAN</t>
  </si>
  <si>
    <t>PAEZ BERRONES</t>
  </si>
  <si>
    <t>0501264394001</t>
  </si>
  <si>
    <t>0959184148</t>
  </si>
  <si>
    <t>josepaezb@hotmail.com</t>
  </si>
  <si>
    <t>KMPERY PTV 2113</t>
  </si>
  <si>
    <t>GALVIN RENAN</t>
  </si>
  <si>
    <t>ROLDAN PINARGOTE</t>
  </si>
  <si>
    <t>1308353455</t>
  </si>
  <si>
    <t>0998498092</t>
  </si>
  <si>
    <t>galvinrenanroldanpinargote@gmail.com</t>
  </si>
  <si>
    <t>KMPERY PTV 2114</t>
  </si>
  <si>
    <t>NORMA RUTH</t>
  </si>
  <si>
    <t>PLUA MOREIRA</t>
  </si>
  <si>
    <t>1313206524</t>
  </si>
  <si>
    <t>0996919463</t>
  </si>
  <si>
    <t>pluanorma16@gmail.com</t>
  </si>
  <si>
    <t>KMPERY PTV 2115</t>
  </si>
  <si>
    <t>DANIEL ALEJANDRO</t>
  </si>
  <si>
    <t>PONCE PICO</t>
  </si>
  <si>
    <t>1312019134</t>
  </si>
  <si>
    <t>0996542628</t>
  </si>
  <si>
    <t>daniel.ponce93@live.com</t>
  </si>
  <si>
    <t>KMPERY PTV 2116</t>
  </si>
  <si>
    <t>CARMEN ANDREINA</t>
  </si>
  <si>
    <t>LINO VERA</t>
  </si>
  <si>
    <t>2300598238</t>
  </si>
  <si>
    <t>0996284528</t>
  </si>
  <si>
    <t>carmitalino@gmail.com</t>
  </si>
  <si>
    <t>KMPERY PTV 2117</t>
  </si>
  <si>
    <t>FRANCISCO MARTIN</t>
  </si>
  <si>
    <t>POSLIGUA MOREIRA</t>
  </si>
  <si>
    <t>1310077407</t>
  </si>
  <si>
    <t>0994305803</t>
  </si>
  <si>
    <t>franciscoposligua1982@gmail.com</t>
  </si>
  <si>
    <t>KMPERY PTV 2118</t>
  </si>
  <si>
    <t>VICTOR HOMERO</t>
  </si>
  <si>
    <t>CORDOVA ZAMBRANO</t>
  </si>
  <si>
    <t>1304019464</t>
  </si>
  <si>
    <t>0983143724</t>
  </si>
  <si>
    <t>victorho669@hotmail.com</t>
  </si>
  <si>
    <t>KMPERY PTV 2119</t>
  </si>
  <si>
    <t>ANGEL RAFAEL</t>
  </si>
  <si>
    <t>ZAMBRANO MACIAS</t>
  </si>
  <si>
    <t>1305498758</t>
  </si>
  <si>
    <t>0999512812</t>
  </si>
  <si>
    <t>angel_10zambrano@hotmail.com</t>
  </si>
  <si>
    <t>KMPERY QVD 2120</t>
  </si>
  <si>
    <t>EDITH ELIZABETH</t>
  </si>
  <si>
    <t>ZUÑIGA MACIAS</t>
  </si>
  <si>
    <t>1707055289001</t>
  </si>
  <si>
    <t>0990050977</t>
  </si>
  <si>
    <t>doc.edith-sanluis@hotmail.com</t>
  </si>
  <si>
    <t>KMPERY QVD 2121</t>
  </si>
  <si>
    <t>JOSE ROBERTO</t>
  </si>
  <si>
    <t>ZAMORA CORDOVA</t>
  </si>
  <si>
    <t>1204364473001</t>
  </si>
  <si>
    <t>0989729158</t>
  </si>
  <si>
    <t>PAYPHONE EDU/JULIO</t>
  </si>
  <si>
    <t>joserobertozamoracordova@gmail.com</t>
  </si>
  <si>
    <t>KMPERY QVD 2122</t>
  </si>
  <si>
    <t>KEVIN MICHAEL</t>
  </si>
  <si>
    <t>MURILLO RAMON</t>
  </si>
  <si>
    <t>0941626376</t>
  </si>
  <si>
    <t>0995200123</t>
  </si>
  <si>
    <t>kevinmurill880@gmail.com</t>
  </si>
  <si>
    <t>KMPERY QVD 2123</t>
  </si>
  <si>
    <t>RAMOS PALACIOS</t>
  </si>
  <si>
    <t>0801372715</t>
  </si>
  <si>
    <t>0981004860</t>
  </si>
  <si>
    <t>isabelramos484@gmail.com</t>
  </si>
  <si>
    <t>KMPERY QVD 2124</t>
  </si>
  <si>
    <t>CRUZ MARISOL</t>
  </si>
  <si>
    <t>BURGOS VERA</t>
  </si>
  <si>
    <t>1712374030</t>
  </si>
  <si>
    <t>0991955185</t>
  </si>
  <si>
    <t>hillarydazaz@gmail.com</t>
  </si>
  <si>
    <t>KMPERY QVD 2125</t>
  </si>
  <si>
    <t>BRYAN ARTURO</t>
  </si>
  <si>
    <t>GOMEZ AVILES</t>
  </si>
  <si>
    <t>1206203687001</t>
  </si>
  <si>
    <t>0980606954</t>
  </si>
  <si>
    <t>bryangomez_93j6@hotmail.com</t>
  </si>
  <si>
    <t>KMPERY CUE 2126</t>
  </si>
  <si>
    <t>DINA MARGARITA</t>
  </si>
  <si>
    <t>AREVALO CUENCA</t>
  </si>
  <si>
    <t>0101334803</t>
  </si>
  <si>
    <t>0995878474</t>
  </si>
  <si>
    <t>arevalodina5@gmail.com</t>
  </si>
  <si>
    <t>KMPERY CUE 2127</t>
  </si>
  <si>
    <t>JAKELINE MARISOL</t>
  </si>
  <si>
    <t>SEMINARIO CARRERA</t>
  </si>
  <si>
    <t>0102141462</t>
  </si>
  <si>
    <t>0986773540</t>
  </si>
  <si>
    <t>majoseminario@gmail.com</t>
  </si>
  <si>
    <t>KMPERY CUE 2128</t>
  </si>
  <si>
    <t>VERONICA MERCEDES</t>
  </si>
  <si>
    <t>PONCE ARCE</t>
  </si>
  <si>
    <t>1723252985</t>
  </si>
  <si>
    <t>0987181612</t>
  </si>
  <si>
    <t>mercedes-09876@hotmail.com</t>
  </si>
  <si>
    <t>KMPERY CUE 2129</t>
  </si>
  <si>
    <t>DIEGO XAVIER</t>
  </si>
  <si>
    <t>ERRAEZ MORA</t>
  </si>
  <si>
    <t>0105104681</t>
  </si>
  <si>
    <t>0984758862</t>
  </si>
  <si>
    <t>diegoerraez@hotmail.com</t>
  </si>
  <si>
    <t>YOSMARY/HUGO</t>
  </si>
  <si>
    <t>KMPERY CUE 2130</t>
  </si>
  <si>
    <t>JADIRA MICHELLE</t>
  </si>
  <si>
    <t>ALVARADO TOPON</t>
  </si>
  <si>
    <t>0105358642</t>
  </si>
  <si>
    <t>0967875408</t>
  </si>
  <si>
    <t>jadiramichu96@gmail.com</t>
  </si>
  <si>
    <t>KMPERY CUE 2131</t>
  </si>
  <si>
    <t>DANNIA ELIZABETH</t>
  </si>
  <si>
    <t>ORELLANA YUMBLA</t>
  </si>
  <si>
    <t>0705462034</t>
  </si>
  <si>
    <t>0968480510</t>
  </si>
  <si>
    <t>dannia2015.o@gmail.com</t>
  </si>
  <si>
    <t>KMPERY CUE 2132</t>
  </si>
  <si>
    <t>JENNY ELISSABETH</t>
  </si>
  <si>
    <t>BONILLA ANGOS</t>
  </si>
  <si>
    <t>1400647952</t>
  </si>
  <si>
    <t>0968114826</t>
  </si>
  <si>
    <t>elissabeth29@gmail.com</t>
  </si>
  <si>
    <t>KMPERY ZMR 2133</t>
  </si>
  <si>
    <t>WILMER MICHAEL</t>
  </si>
  <si>
    <t>CALDERON PIZARRO</t>
  </si>
  <si>
    <t>1900853688</t>
  </si>
  <si>
    <t>0986127949</t>
  </si>
  <si>
    <t>cawilmer669@gmail.com</t>
  </si>
  <si>
    <t>KMPERY ZMR 2134</t>
  </si>
  <si>
    <t>SILVIA IRENE</t>
  </si>
  <si>
    <t>CHUQUIRIMA AJILA</t>
  </si>
  <si>
    <t>1900311893001</t>
  </si>
  <si>
    <t>0991601017</t>
  </si>
  <si>
    <t>schuquirima28@gmail.com</t>
  </si>
  <si>
    <t>KMPERY ZMR 2135</t>
  </si>
  <si>
    <t>LEANDRO EDULFO</t>
  </si>
  <si>
    <t>REYES AGUIRRE</t>
  </si>
  <si>
    <t>0907857155</t>
  </si>
  <si>
    <t>0989081725</t>
  </si>
  <si>
    <t>leandro.reyes@79.com</t>
  </si>
  <si>
    <t>KMPERY ZMR 2136</t>
  </si>
  <si>
    <t>MONICA CECILIA</t>
  </si>
  <si>
    <t>CUENCA CHAMBA</t>
  </si>
  <si>
    <t>1900400076</t>
  </si>
  <si>
    <t>0983565153</t>
  </si>
  <si>
    <t>ceciliacuenca1980@gmail.com</t>
  </si>
  <si>
    <t>KMPERY LOH 2137</t>
  </si>
  <si>
    <t>WILMER DE JESUS</t>
  </si>
  <si>
    <t>CONDOY CURIMILMA</t>
  </si>
  <si>
    <t>1103546998</t>
  </si>
  <si>
    <t>0994136518</t>
  </si>
  <si>
    <t>wilmercondoy496@gmail.com</t>
  </si>
  <si>
    <t>KMPERY LOH 2138</t>
  </si>
  <si>
    <t>SILVIA KATERINE</t>
  </si>
  <si>
    <t>MARIN ENCALADA</t>
  </si>
  <si>
    <t>1103147409</t>
  </si>
  <si>
    <t>0981990021</t>
  </si>
  <si>
    <t>kmar_842@hotmail.com</t>
  </si>
  <si>
    <t>KMPERY AMB 2139</t>
  </si>
  <si>
    <t>JESSICA LIZBETH</t>
  </si>
  <si>
    <t>BAYAS IZURIETA</t>
  </si>
  <si>
    <t>1805112180</t>
  </si>
  <si>
    <t>0999228792</t>
  </si>
  <si>
    <t>jessicabayas_14@hotmail.com</t>
  </si>
  <si>
    <t>KMPERY AMB 2140</t>
  </si>
  <si>
    <t>LOPEZ TOAPANTA</t>
  </si>
  <si>
    <t>1803965837</t>
  </si>
  <si>
    <t>0982645562</t>
  </si>
  <si>
    <t>DATA/PAYPHONE JUL</t>
  </si>
  <si>
    <t>toamarco1983@gmail.com</t>
  </si>
  <si>
    <t>KMPERY AMB 2141</t>
  </si>
  <si>
    <t>KLEVER SANTIAGO</t>
  </si>
  <si>
    <t>ASTUDILLO LLASHAG</t>
  </si>
  <si>
    <t>1804999694</t>
  </si>
  <si>
    <t>0984528940</t>
  </si>
  <si>
    <t>kle_sant@hotmail.com</t>
  </si>
  <si>
    <t>KMPERY AMB 2142</t>
  </si>
  <si>
    <t>CARLOS RODRIGO</t>
  </si>
  <si>
    <t>AMAN CURAY</t>
  </si>
  <si>
    <t>1803721255</t>
  </si>
  <si>
    <t>0959519450</t>
  </si>
  <si>
    <t>carlo_aman@hotmail.com</t>
  </si>
  <si>
    <t>KMPERY AMB 2143</t>
  </si>
  <si>
    <t>LUDWIN PATRICIO</t>
  </si>
  <si>
    <t>MORALES REMACHE</t>
  </si>
  <si>
    <t>1802911956</t>
  </si>
  <si>
    <t>0979048833</t>
  </si>
  <si>
    <t>ludwinpmorales@hotmail.com</t>
  </si>
  <si>
    <t>KMPERY AMB 2144</t>
  </si>
  <si>
    <t>LUCIA MARCELA</t>
  </si>
  <si>
    <t>BARRAGAN RIVERA</t>
  </si>
  <si>
    <t>1754981361</t>
  </si>
  <si>
    <t>0958641530</t>
  </si>
  <si>
    <t>mabr_2@hotmail.com</t>
  </si>
  <si>
    <t>KMPERY AMB 2145</t>
  </si>
  <si>
    <t>ALEXANDER VINICIO</t>
  </si>
  <si>
    <t>QUINATOA CUYAN</t>
  </si>
  <si>
    <t>1804752606</t>
  </si>
  <si>
    <t>0987698671</t>
  </si>
  <si>
    <t>alexquinatoa26@hotmail.com</t>
  </si>
  <si>
    <t>HUGO/ZINDY</t>
  </si>
  <si>
    <t>KMPERY AMB 2146</t>
  </si>
  <si>
    <t>CRISTINA VERONICA</t>
  </si>
  <si>
    <t>SUAREZ MIRANDA</t>
  </si>
  <si>
    <t>1804226007</t>
  </si>
  <si>
    <t>0990226094</t>
  </si>
  <si>
    <t>PAYPHONE ADRI/JUL</t>
  </si>
  <si>
    <t>suarezcristina643@gmail.com</t>
  </si>
  <si>
    <t>500G</t>
  </si>
  <si>
    <t>KMPERY AMB 2147</t>
  </si>
  <si>
    <t>AMPARITO LOURDES</t>
  </si>
  <si>
    <t>LANDAZURI AVILES</t>
  </si>
  <si>
    <t>1708727019</t>
  </si>
  <si>
    <t>0998774513</t>
  </si>
  <si>
    <t>ampalanda@hotmail.com</t>
  </si>
  <si>
    <t>KMPERY AMB 2148</t>
  </si>
  <si>
    <t>DANILO ENRIQUE</t>
  </si>
  <si>
    <t>CARRASCO LLERENA</t>
  </si>
  <si>
    <t>1802178317</t>
  </si>
  <si>
    <t>0991129931</t>
  </si>
  <si>
    <t>danilocarrasco288@gmail.com</t>
  </si>
  <si>
    <t>KMPERY AMB 2149</t>
  </si>
  <si>
    <t>WILBER</t>
  </si>
  <si>
    <t>ZAMBRANO MEDINA</t>
  </si>
  <si>
    <t>1600209264</t>
  </si>
  <si>
    <t>0979359771</t>
  </si>
  <si>
    <t>zambranow@gmail.com</t>
  </si>
  <si>
    <t>KMPERY AMB 2150</t>
  </si>
  <si>
    <t>DARWIN LEONARDO</t>
  </si>
  <si>
    <t>LASLUISA CHATO</t>
  </si>
  <si>
    <t>1804693024</t>
  </si>
  <si>
    <t>0987821961</t>
  </si>
  <si>
    <t>lasleo999@yahoo.es</t>
  </si>
  <si>
    <t>KMPERY AMB 2151</t>
  </si>
  <si>
    <t>GLADIS ROCIO</t>
  </si>
  <si>
    <t>MOPOSITA SIZA</t>
  </si>
  <si>
    <t>0997267112</t>
  </si>
  <si>
    <t>g-rocioms@gmail.com</t>
  </si>
  <si>
    <t>KMPERY AMB 2152</t>
  </si>
  <si>
    <t>NATALY FERNANDA</t>
  </si>
  <si>
    <t>LASCANO LOPEZ</t>
  </si>
  <si>
    <t>1803854007</t>
  </si>
  <si>
    <t>0992532345</t>
  </si>
  <si>
    <t>natyferla@hotmail.com</t>
  </si>
  <si>
    <t>KMPERY AMB 2153</t>
  </si>
  <si>
    <t>DORIS IRENE</t>
  </si>
  <si>
    <t>VALDIVIEZO CHAVEZ</t>
  </si>
  <si>
    <t>06049432293001</t>
  </si>
  <si>
    <t>0983294233</t>
  </si>
  <si>
    <t>dorisvaldiviezo89@gmail.com</t>
  </si>
  <si>
    <t>KMPERY AMB 2154</t>
  </si>
  <si>
    <t>ELSA VELARMINA</t>
  </si>
  <si>
    <t>VASCONEZ ALVARADO</t>
  </si>
  <si>
    <t>0501548135</t>
  </si>
  <si>
    <t>0998223533</t>
  </si>
  <si>
    <t>elsitavasconez@gmail.com</t>
  </si>
  <si>
    <t>KMPERY AMB 2155</t>
  </si>
  <si>
    <t>ROSA ELENA</t>
  </si>
  <si>
    <t>QUINATOA MASABANDA</t>
  </si>
  <si>
    <t>1805026687</t>
  </si>
  <si>
    <t>0969802102</t>
  </si>
  <si>
    <t>PAYPHONE ADRI/EDU</t>
  </si>
  <si>
    <t>estrellitafugaz1995@hotmail.com</t>
  </si>
  <si>
    <t>KMPERY ESM 2156</t>
  </si>
  <si>
    <t>FERNANDA MARIA</t>
  </si>
  <si>
    <t>CABEZA LANDAZURI</t>
  </si>
  <si>
    <t>0803052604</t>
  </si>
  <si>
    <t>0960520890</t>
  </si>
  <si>
    <t>fernandacabeza34@gmail.com</t>
  </si>
  <si>
    <t>KMPERY ESM 2157</t>
  </si>
  <si>
    <t>SOLANGE PAOLA</t>
  </si>
  <si>
    <t>LOPEZ IBARRA</t>
  </si>
  <si>
    <t>0803457332</t>
  </si>
  <si>
    <t>0981068850</t>
  </si>
  <si>
    <t>DATA LINK/GN</t>
  </si>
  <si>
    <t>s_lopez_30@hotmail.com</t>
  </si>
  <si>
    <t>KMPERY ESM 2158</t>
  </si>
  <si>
    <t>GILLERMO VICENTE</t>
  </si>
  <si>
    <t>LANDIVAR ESTUPIÑAN</t>
  </si>
  <si>
    <t>0800616930</t>
  </si>
  <si>
    <t>0993882644</t>
  </si>
  <si>
    <t>yayiangela@hotmail.com</t>
  </si>
  <si>
    <t>KMPERY ESM 2159</t>
  </si>
  <si>
    <t>LEONARDO ENRIQUE</t>
  </si>
  <si>
    <t>FREIRE MACHADO</t>
  </si>
  <si>
    <t>1803015575</t>
  </si>
  <si>
    <t>0968490534</t>
  </si>
  <si>
    <t>freireleonardo161@gmail.com</t>
  </si>
  <si>
    <t>KMPERY ESM 2160</t>
  </si>
  <si>
    <t>BETTY ANUNCIACION</t>
  </si>
  <si>
    <t>QUIÑONEZ QUIÑONEZ</t>
  </si>
  <si>
    <t>0801288804</t>
  </si>
  <si>
    <t>0994260289</t>
  </si>
  <si>
    <t>anunbel19amor@gmail.com</t>
  </si>
  <si>
    <t>KMPERY ESM 2161</t>
  </si>
  <si>
    <t>GORQUI PETER</t>
  </si>
  <si>
    <t>ANGULO CHILA</t>
  </si>
  <si>
    <t>0701429011</t>
  </si>
  <si>
    <t>0983282794</t>
  </si>
  <si>
    <t>peterangulo@hotmail.com</t>
  </si>
  <si>
    <t>KMPERY ESM 2162</t>
  </si>
  <si>
    <t>JOHNNY DAVID</t>
  </si>
  <si>
    <t>VALVERDE BECERRA</t>
  </si>
  <si>
    <t>0803121573</t>
  </si>
  <si>
    <t>0999647638</t>
  </si>
  <si>
    <t>jhonnyvalverde2315@hotmail.com</t>
  </si>
  <si>
    <t>KMPERY ESM 2163</t>
  </si>
  <si>
    <t>OSCAR AUGUSTO</t>
  </si>
  <si>
    <t>MURILLO ZAMBRANO</t>
  </si>
  <si>
    <t>0802097121</t>
  </si>
  <si>
    <t>0988152681</t>
  </si>
  <si>
    <t>oscarmurillozambrano@hotmail.com</t>
  </si>
  <si>
    <t>KMPERY ESM 2164</t>
  </si>
  <si>
    <t>LILY YANINE</t>
  </si>
  <si>
    <t>AGUILAR MATAMOROS</t>
  </si>
  <si>
    <t>0801578493</t>
  </si>
  <si>
    <t>0959031102</t>
  </si>
  <si>
    <t>imatajanny37@hotmail.com</t>
  </si>
  <si>
    <t>KMPERY ESM 2165</t>
  </si>
  <si>
    <t>FREIDI JOHAN</t>
  </si>
  <si>
    <t>SALAZAR ESPANTOSO</t>
  </si>
  <si>
    <t>0802163972</t>
  </si>
  <si>
    <t>0939135572</t>
  </si>
  <si>
    <t>johansalazar1984@gmail.com</t>
  </si>
  <si>
    <t>KMPERY ESM 2166</t>
  </si>
  <si>
    <t>GLAMI</t>
  </si>
  <si>
    <t>MONTAÑO QUIÑONEZ</t>
  </si>
  <si>
    <t>0801147752</t>
  </si>
  <si>
    <t>0991656210</t>
  </si>
  <si>
    <t>0991656210az@gmail.com</t>
  </si>
  <si>
    <t>KMPERY ESM 2167</t>
  </si>
  <si>
    <t>VILLAMARIN TORRES</t>
  </si>
  <si>
    <t>0800439507001</t>
  </si>
  <si>
    <t>0968148438</t>
  </si>
  <si>
    <t>maria1950villamarin@hotmail.com</t>
  </si>
  <si>
    <t>KMPERY ESM 2168</t>
  </si>
  <si>
    <t>SALDARRIAGA VITE</t>
  </si>
  <si>
    <t>0803570290001</t>
  </si>
  <si>
    <t>0988696812</t>
  </si>
  <si>
    <t>PAYPHONE/DATA LINK</t>
  </si>
  <si>
    <t>ms7729943@gmail.com</t>
  </si>
  <si>
    <t>KMPERY ESM 2169</t>
  </si>
  <si>
    <t>JESSENIA ELIZABETH</t>
  </si>
  <si>
    <t>CASTILLO BARREZUETA</t>
  </si>
  <si>
    <t>1312072695</t>
  </si>
  <si>
    <t>0988023948</t>
  </si>
  <si>
    <t>elizacb21@hotmail.com</t>
  </si>
  <si>
    <t>KMPERY STD 2170</t>
  </si>
  <si>
    <t xml:space="preserve">DANNY ALFREDO  </t>
  </si>
  <si>
    <t>RODRIGUEZ MERO</t>
  </si>
  <si>
    <t>1715442800</t>
  </si>
  <si>
    <t>0985785103</t>
  </si>
  <si>
    <t>PAYPHONE CARLOS/LEO</t>
  </si>
  <si>
    <t>darmo7101981@gmail.com</t>
  </si>
  <si>
    <t>KMPERY STD 2171</t>
  </si>
  <si>
    <t xml:space="preserve">CARMITA GERMANIA </t>
  </si>
  <si>
    <t>TRUJILLO MEJIA</t>
  </si>
  <si>
    <t>0802024703</t>
  </si>
  <si>
    <t>0988550517</t>
  </si>
  <si>
    <t>carmitagermania@gmail.com</t>
  </si>
  <si>
    <t>KMPERY STD 2172</t>
  </si>
  <si>
    <t>WENDY SABINA</t>
  </si>
  <si>
    <t>YUGCHA ACUÑA</t>
  </si>
  <si>
    <t>2300522022</t>
  </si>
  <si>
    <t>0959716302</t>
  </si>
  <si>
    <t>saby.yugcha15@gmail.com</t>
  </si>
  <si>
    <t>KMPERY STD 2173</t>
  </si>
  <si>
    <t xml:space="preserve">ZOILA VANESSA  </t>
  </si>
  <si>
    <t>ZAMBRANO GILER</t>
  </si>
  <si>
    <t>1718847039</t>
  </si>
  <si>
    <t>0997487485</t>
  </si>
  <si>
    <t>vanessazambrano586@gmail.com</t>
  </si>
  <si>
    <t>JOGELIS</t>
  </si>
  <si>
    <t>ZINDY/EDUARDO</t>
  </si>
  <si>
    <t>KMPERY STD 2174</t>
  </si>
  <si>
    <t>MARTHA CECILIA</t>
  </si>
  <si>
    <t>AYALA MONTENEGRO</t>
  </si>
  <si>
    <t>1712113875</t>
  </si>
  <si>
    <t>0992168688</t>
  </si>
  <si>
    <t>PAYPHONE EDGAR / CARLOS</t>
  </si>
  <si>
    <t>marthaceciliaa115@gmail.com</t>
  </si>
  <si>
    <t>KMPERY STD 2175</t>
  </si>
  <si>
    <t xml:space="preserve">EDGAR FERNANDO </t>
  </si>
  <si>
    <t>VARGAS GUZHÑAY</t>
  </si>
  <si>
    <t>1718206897</t>
  </si>
  <si>
    <t>0968573506</t>
  </si>
  <si>
    <t>dedgarfernando1982@hotmail.com</t>
  </si>
  <si>
    <t>KMPERY STD 2176</t>
  </si>
  <si>
    <t xml:space="preserve">JUANA ANTONIA </t>
  </si>
  <si>
    <t>ALBERRA TACURY</t>
  </si>
  <si>
    <t>1102820527</t>
  </si>
  <si>
    <t>0988055817</t>
  </si>
  <si>
    <t>juanita19011@hotmail.com</t>
  </si>
  <si>
    <t>KMPERY STD 2177</t>
  </si>
  <si>
    <t>FANNY YECENIA</t>
  </si>
  <si>
    <t xml:space="preserve">CUENCA ZAMBRANO </t>
  </si>
  <si>
    <t>1717770364</t>
  </si>
  <si>
    <t>0999158500</t>
  </si>
  <si>
    <t>fannycuenca1980@gmail.com</t>
  </si>
  <si>
    <t>KMPERY STD 2178</t>
  </si>
  <si>
    <t xml:space="preserve">ALEJANDRINA </t>
  </si>
  <si>
    <t>MORENO ACARO</t>
  </si>
  <si>
    <t>1705748166</t>
  </si>
  <si>
    <t>0969225124</t>
  </si>
  <si>
    <t>alejandra1959moreno@gmail.com</t>
  </si>
  <si>
    <t>KMPERY STD 2179</t>
  </si>
  <si>
    <t>ROQUE IDUARTE</t>
  </si>
  <si>
    <t>NAVARRETE ZAMBRANO</t>
  </si>
  <si>
    <t>1305572669001</t>
  </si>
  <si>
    <t>0991358113</t>
  </si>
  <si>
    <t>roque_navarrete@hotmail.com</t>
  </si>
  <si>
    <t>KMPERY STD 2180</t>
  </si>
  <si>
    <t>SAIDA ALBA</t>
  </si>
  <si>
    <t>RAMOS ORDOÑEZ</t>
  </si>
  <si>
    <t>2300199243001</t>
  </si>
  <si>
    <t>0993693905</t>
  </si>
  <si>
    <t>albaaramos3@gmail.com</t>
  </si>
  <si>
    <t>KMPERY STD 2181</t>
  </si>
  <si>
    <t xml:space="preserve">ANGEL GABRIEL </t>
  </si>
  <si>
    <t>LOPEZ ZAPATA</t>
  </si>
  <si>
    <t>1707103279</t>
  </si>
  <si>
    <t>0996782908</t>
  </si>
  <si>
    <t>PAYPHONE ADRIAN CARLOS JULIO</t>
  </si>
  <si>
    <t>1962angel.lopez@gmail.com</t>
  </si>
  <si>
    <t>KMPERY STD 2182</t>
  </si>
  <si>
    <t>OSCAR WLADIMIR</t>
  </si>
  <si>
    <t>YANES COBEÑA</t>
  </si>
  <si>
    <t>1720837267</t>
  </si>
  <si>
    <t>0994445135</t>
  </si>
  <si>
    <t xml:space="preserve">PAYPHONE ADRIAN  </t>
  </si>
  <si>
    <t>oscar1991yanez@hormail.com</t>
  </si>
  <si>
    <t>KMPERY STD 2183</t>
  </si>
  <si>
    <t xml:space="preserve">JACINTO ENRIQUE </t>
  </si>
  <si>
    <t>MENDOZA GARCIA</t>
  </si>
  <si>
    <t>1308279023</t>
  </si>
  <si>
    <t>0989385369</t>
  </si>
  <si>
    <t>jacinto_mendoza@hotmail.com</t>
  </si>
  <si>
    <t>KMPERY STD 2184</t>
  </si>
  <si>
    <t>ENRIQUE XAVIER</t>
  </si>
  <si>
    <t>OLIVO PAREDES</t>
  </si>
  <si>
    <t>0801425000001</t>
  </si>
  <si>
    <t>0999576339</t>
  </si>
  <si>
    <t>enri.olivo@gmail.com</t>
  </si>
  <si>
    <t>KMPERY RBM 2185</t>
  </si>
  <si>
    <t>GUAMAN PEÑA</t>
  </si>
  <si>
    <t>0603865833001</t>
  </si>
  <si>
    <t>0989987687</t>
  </si>
  <si>
    <t>jorge2583@outlook.com</t>
  </si>
  <si>
    <t>KMPERY RBM 2186</t>
  </si>
  <si>
    <t xml:space="preserve">JAIME FERNANDO </t>
  </si>
  <si>
    <t>PARRA CANDO</t>
  </si>
  <si>
    <t>0601688013</t>
  </si>
  <si>
    <t>0992747671</t>
  </si>
  <si>
    <t>parrafernando2019@gmail.com</t>
  </si>
  <si>
    <t>KMPERY RBM 2187</t>
  </si>
  <si>
    <t>DANIELA MARGARITA</t>
  </si>
  <si>
    <t>VILLAGOMEZ MUYOLEMA</t>
  </si>
  <si>
    <t>0604218560</t>
  </si>
  <si>
    <t>0991237425</t>
  </si>
  <si>
    <t>danimuyo31@gmail.com</t>
  </si>
  <si>
    <t>KMPERY RBM 2188</t>
  </si>
  <si>
    <t xml:space="preserve">MARIA FABIOLA </t>
  </si>
  <si>
    <t>GARCES PALA</t>
  </si>
  <si>
    <t>0605215763</t>
  </si>
  <si>
    <t>0999877789</t>
  </si>
  <si>
    <t>fabiolagarces735@gmail.com</t>
  </si>
  <si>
    <t>KMPERY RBM 2189</t>
  </si>
  <si>
    <t>TRUJILLO VILLA</t>
  </si>
  <si>
    <t>0603558073</t>
  </si>
  <si>
    <t>0987594676</t>
  </si>
  <si>
    <t>anylutu@hotmail.com</t>
  </si>
  <si>
    <t>KMPERY RBM 2190</t>
  </si>
  <si>
    <t xml:space="preserve">ALFONSO </t>
  </si>
  <si>
    <t>SILVA TAIPE</t>
  </si>
  <si>
    <t>0501120547</t>
  </si>
  <si>
    <t>0999275145</t>
  </si>
  <si>
    <t>margaritacs0759@gmail.com</t>
  </si>
  <si>
    <t>KMPERY RBM 2191</t>
  </si>
  <si>
    <t>ADRIAN GEOVANI</t>
  </si>
  <si>
    <t>MORENO COSTALES</t>
  </si>
  <si>
    <t>0601814486</t>
  </si>
  <si>
    <t>0998339010</t>
  </si>
  <si>
    <t>GN/PAYPHONE EDUARDO/ADRIAN</t>
  </si>
  <si>
    <t>adrianmoreno30@hotmail.com</t>
  </si>
  <si>
    <t>KMPERY LTG 2192</t>
  </si>
  <si>
    <t xml:space="preserve">EDUARDO PATRICIO </t>
  </si>
  <si>
    <t>CHANATASIG PILATASIG</t>
  </si>
  <si>
    <t>0501151435</t>
  </si>
  <si>
    <t>0995339105</t>
  </si>
  <si>
    <t>chanopato67@hotmail.es</t>
  </si>
  <si>
    <t>KMPERY LTG 2193</t>
  </si>
  <si>
    <t>DIAZ SANTACRUZ</t>
  </si>
  <si>
    <t>0503541401001</t>
  </si>
  <si>
    <t>0979030612</t>
  </si>
  <si>
    <t>PAYPHONE EDUARDO / CARLOS</t>
  </si>
  <si>
    <t>jc2876967@gmail.com</t>
  </si>
  <si>
    <t>KMPERY LTG 2194</t>
  </si>
  <si>
    <t>DIEGO FLAVIO</t>
  </si>
  <si>
    <t>JIMENEZ ARMAS</t>
  </si>
  <si>
    <t>0502168172</t>
  </si>
  <si>
    <t>0995078038</t>
  </si>
  <si>
    <t>f-en-ix75@hotmail.com</t>
  </si>
  <si>
    <t>KMPERY LTG 2195</t>
  </si>
  <si>
    <t xml:space="preserve">HUGO FABIAN </t>
  </si>
  <si>
    <t>HERRERA TERAN</t>
  </si>
  <si>
    <t>0994737266</t>
  </si>
  <si>
    <t>hugo_hteran@yahoo.com</t>
  </si>
  <si>
    <t>KMPERY LTG 2196</t>
  </si>
  <si>
    <t xml:space="preserve">BYRON RODRIGO </t>
  </si>
  <si>
    <t>PILATUÑA BASTIDAS</t>
  </si>
  <si>
    <t>0501889109</t>
  </si>
  <si>
    <t>0995659282</t>
  </si>
  <si>
    <t>byronpilatuna1972@gmail.com</t>
  </si>
  <si>
    <t>KMPERY LTG 2197</t>
  </si>
  <si>
    <t>MARIA KATHERINE</t>
  </si>
  <si>
    <t>AGUILAR ULLOA</t>
  </si>
  <si>
    <t>0704957901001</t>
  </si>
  <si>
    <t>0995175846</t>
  </si>
  <si>
    <t>kathy1.aguilar1970@gmail.com</t>
  </si>
  <si>
    <t>KMPERY LTG 2198</t>
  </si>
  <si>
    <t>MELIDA ELOISA</t>
  </si>
  <si>
    <t>CHICAIZA CHICAIZA</t>
  </si>
  <si>
    <t>0502977937</t>
  </si>
  <si>
    <t>0987378370</t>
  </si>
  <si>
    <t>TERRAZA RESTOBAR</t>
  </si>
  <si>
    <t>DEBITO</t>
  </si>
  <si>
    <t>melidachicaiza2014@gmail.com</t>
  </si>
  <si>
    <t>KMPERY GYE 2199</t>
  </si>
  <si>
    <t>MARIA DOLORES</t>
  </si>
  <si>
    <t>ZAMORA PEREZ</t>
  </si>
  <si>
    <t>1307590982001</t>
  </si>
  <si>
    <t>0981322721</t>
  </si>
  <si>
    <t xml:space="preserve">mdzamorap344@gmail.com </t>
  </si>
  <si>
    <t>KMPERY GYE 2200</t>
  </si>
  <si>
    <t>ALVARADO MARCILLO</t>
  </si>
  <si>
    <t>0914940952</t>
  </si>
  <si>
    <t>0994735536</t>
  </si>
  <si>
    <t>DATA LINK/PAYPHONE JULIO</t>
  </si>
  <si>
    <t>eduardoalvarado5018@gmail.com</t>
  </si>
  <si>
    <t>KMPERY GYE 2201</t>
  </si>
  <si>
    <t>GLADYS YOLANDA</t>
  </si>
  <si>
    <t>PAREDES QUINTEROS</t>
  </si>
  <si>
    <t>1200480729001</t>
  </si>
  <si>
    <t>0989839988</t>
  </si>
  <si>
    <t>GN/PAYPHONE EDGAR</t>
  </si>
  <si>
    <t>guerrerovalentino1948@gmial.com</t>
  </si>
  <si>
    <t>KMPERY GYE 2202</t>
  </si>
  <si>
    <t>CARLOS ANTONIO</t>
  </si>
  <si>
    <t>TENEZACA ANDRADE</t>
  </si>
  <si>
    <t>0301028981001</t>
  </si>
  <si>
    <t>0985794950</t>
  </si>
  <si>
    <t>PAYPHONE OSCAR</t>
  </si>
  <si>
    <t>ctenezacaa@hotmail.com</t>
  </si>
  <si>
    <t>KMPERY GYE 2203</t>
  </si>
  <si>
    <t xml:space="preserve">PRIMITIVO </t>
  </si>
  <si>
    <t>ZAMBRANO SABANDO</t>
  </si>
  <si>
    <t>0905587374</t>
  </si>
  <si>
    <t>0961300842</t>
  </si>
  <si>
    <t>PAYPHONE LEO/ OSCAR</t>
  </si>
  <si>
    <t>KMPERY GYE 2204</t>
  </si>
  <si>
    <t>TOAPANTA PERALTA</t>
  </si>
  <si>
    <t>1801186428</t>
  </si>
  <si>
    <t>0962782875</t>
  </si>
  <si>
    <t>PAYPHONE LEO/OSCAR</t>
  </si>
  <si>
    <t>manuelmesias1955@hotmail.com</t>
  </si>
  <si>
    <t>KMPERY GYE 2205</t>
  </si>
  <si>
    <t>VILLALBA ZAMBRANO</t>
  </si>
  <si>
    <t>0903504017</t>
  </si>
  <si>
    <t>0994001232</t>
  </si>
  <si>
    <t>carvillalbaz@hotmail.com</t>
  </si>
  <si>
    <t>KMPERY GYE 2206</t>
  </si>
  <si>
    <t>RAUL GERMAN</t>
  </si>
  <si>
    <t>ESPINOZA QUINTO</t>
  </si>
  <si>
    <t>0905709481</t>
  </si>
  <si>
    <t>0985488710</t>
  </si>
  <si>
    <t>PAYPHONE OSCAR/ LEO</t>
  </si>
  <si>
    <t>raulito.58@hotmail.com</t>
  </si>
  <si>
    <t>KMPERY LTG 2207</t>
  </si>
  <si>
    <t>CHASI YANEZ</t>
  </si>
  <si>
    <t>0503866105</t>
  </si>
  <si>
    <t>0995047495</t>
  </si>
  <si>
    <t>mafer.chaye5@gmail.com</t>
  </si>
  <si>
    <t>KMPERY LTG 2208</t>
  </si>
  <si>
    <t>DANNY FABIAN</t>
  </si>
  <si>
    <t>ALVAREZ VEINTIMILLA</t>
  </si>
  <si>
    <t>0503824526</t>
  </si>
  <si>
    <t>0969060350</t>
  </si>
  <si>
    <t>dannyalvarez827@gmail.com</t>
  </si>
  <si>
    <t>KMPERY LTG 2209</t>
  </si>
  <si>
    <t>MASABANDA MUÑOZ</t>
  </si>
  <si>
    <t>1804260717001</t>
  </si>
  <si>
    <t>0958931158</t>
  </si>
  <si>
    <t>dariomasabanda@hotmail.com</t>
  </si>
  <si>
    <t>KMPERY LTG 2210</t>
  </si>
  <si>
    <t>LORENA DEL PILAR</t>
  </si>
  <si>
    <t>FAUTA VILLARROEL</t>
  </si>
  <si>
    <t>0503201972001</t>
  </si>
  <si>
    <t>0984199991</t>
  </si>
  <si>
    <t>PAYPHONE PAOLA</t>
  </si>
  <si>
    <t>ldtfv88@gmail.com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</si>
</sst>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(&quot;$&quot;\ * #,##0.00_);_(&quot;$&quot;\ * \(#,##0.00\);_(&quot;$&quot;\ * &quot;-&quot;??_);_(@_)"/>
    <numFmt numFmtId="165" formatCode="_ [$$-300A]* #,##0.00_ ;_ [$$-300A]* \-#,##0.00_ ;_ [$$-300A]* &quot;-&quot;??_ ;_ @_ "/>
    <numFmt numFmtId="166" formatCode="_-[$$-80A]* #,##0.00_-;\-[$$-80A]* #,##0.00_-;_-[$$-80A]* &quot;-&quot;??_-;_-@_-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EE0000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rgb="FFEE0000"/>
      <name val="Aptos Narrow"/>
      <family val="2"/>
      <scheme val="minor"/>
    </font>
    <font>
      <u/>
      <sz val="10"/>
      <color theme="10"/>
      <name val="Aptos Narrow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4" tint="-0.24997711111789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1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44" fontId="3" fillId="2" borderId="1" xfId="1" applyFont="1" applyFill="1" applyBorder="1" applyAlignment="1">
      <alignment horizontal="center" vertical="center"/>
    </xf>
    <xf numFmtId="14" fontId="0" fillId="3" borderId="1" xfId="0" applyNumberFormat="1" applyFill="1" applyBorder="1"/>
    <xf numFmtId="0" fontId="0" fillId="3" borderId="1" xfId="0" applyFill="1" applyBorder="1"/>
    <xf numFmtId="14" fontId="0" fillId="4" borderId="1" xfId="0" applyNumberFormat="1" applyFill="1" applyBorder="1"/>
    <xf numFmtId="0" fontId="0" fillId="4" borderId="1" xfId="0" applyFill="1" applyBorder="1"/>
    <xf numFmtId="164" fontId="0" fillId="3" borderId="1" xfId="1" applyNumberFormat="1" applyFont="1" applyFill="1" applyBorder="1"/>
    <xf numFmtId="164" fontId="0" fillId="4" borderId="1" xfId="1" applyNumberFormat="1" applyFont="1" applyFill="1" applyBorder="1"/>
    <xf numFmtId="0" fontId="0" fillId="3" borderId="0" xfId="1" applyNumberFormat="1" applyFont="1" applyFill="1" applyBorder="1"/>
    <xf numFmtId="14" fontId="0" fillId="5" borderId="1" xfId="0" applyNumberFormat="1" applyFill="1" applyBorder="1"/>
    <xf numFmtId="0" fontId="0" fillId="5" borderId="1" xfId="0" applyFill="1" applyBorder="1"/>
    <xf numFmtId="14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4" fontId="0" fillId="6" borderId="1" xfId="0" applyNumberFormat="1" applyFill="1" applyBorder="1"/>
    <xf numFmtId="0" fontId="0" fillId="6" borderId="1" xfId="0" applyFill="1" applyBorder="1"/>
    <xf numFmtId="14" fontId="0" fillId="7" borderId="1" xfId="0" applyNumberFormat="1" applyFill="1" applyBorder="1"/>
    <xf numFmtId="0" fontId="0" fillId="7" borderId="1" xfId="0" applyFill="1" applyBorder="1"/>
    <xf numFmtId="14" fontId="0" fillId="0" borderId="1" xfId="0" applyNumberFormat="1" applyBorder="1"/>
    <xf numFmtId="44" fontId="0" fillId="5" borderId="1" xfId="1" applyFont="1" applyFill="1" applyBorder="1"/>
    <xf numFmtId="44" fontId="0" fillId="5" borderId="1" xfId="1" applyFont="1" applyFill="1" applyBorder="1" applyAlignment="1">
      <alignment horizontal="center" vertical="center"/>
    </xf>
    <xf numFmtId="44" fontId="0" fillId="6" borderId="1" xfId="1" applyFont="1" applyFill="1" applyBorder="1"/>
    <xf numFmtId="0" fontId="0" fillId="8" borderId="1" xfId="0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1" xfId="2" applyBorder="1"/>
    <xf numFmtId="49" fontId="0" fillId="0" borderId="1" xfId="0" applyNumberFormat="1" applyBorder="1"/>
    <xf numFmtId="0" fontId="0" fillId="0" borderId="1" xfId="0" applyBorder="1" applyAlignment="1">
      <alignment horizontal="center" vertical="center"/>
    </xf>
    <xf numFmtId="44" fontId="0" fillId="0" borderId="1" xfId="1" applyFont="1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4" fontId="0" fillId="0" borderId="1" xfId="0" applyNumberFormat="1" applyBorder="1" applyAlignment="1">
      <alignment horizontal="right"/>
    </xf>
    <xf numFmtId="49" fontId="0" fillId="0" borderId="1" xfId="0" applyNumberFormat="1" applyBorder="1" applyAlignment="1">
      <alignment horizontal="left" vertical="center"/>
    </xf>
    <xf numFmtId="44" fontId="0" fillId="9" borderId="1" xfId="1" applyFont="1" applyFill="1" applyBorder="1"/>
    <xf numFmtId="44" fontId="0" fillId="9" borderId="1" xfId="1" applyFont="1" applyFill="1" applyBorder="1" applyAlignment="1">
      <alignment vertical="top"/>
    </xf>
    <xf numFmtId="44" fontId="4" fillId="9" borderId="1" xfId="1" applyFont="1" applyFill="1" applyBorder="1"/>
    <xf numFmtId="49" fontId="0" fillId="0" borderId="1" xfId="0" applyNumberFormat="1" applyBorder="1" applyAlignment="1">
      <alignment horizontal="left"/>
    </xf>
    <xf numFmtId="44" fontId="0" fillId="9" borderId="1" xfId="1" applyFont="1" applyFill="1" applyBorder="1" applyAlignment="1">
      <alignment horizontal="left"/>
    </xf>
    <xf numFmtId="0" fontId="0" fillId="9" borderId="1" xfId="0" applyFill="1" applyBorder="1"/>
    <xf numFmtId="49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1" xfId="0" applyNumberFormat="1" applyBorder="1" applyAlignment="1">
      <alignment horizontal="right"/>
    </xf>
    <xf numFmtId="0" fontId="0" fillId="9" borderId="1" xfId="1" applyNumberFormat="1" applyFont="1" applyFill="1" applyBorder="1" applyAlignment="1">
      <alignment horizontal="center" vertical="center"/>
    </xf>
    <xf numFmtId="44" fontId="4" fillId="0" borderId="1" xfId="1" applyFont="1" applyBorder="1"/>
    <xf numFmtId="0" fontId="4" fillId="0" borderId="1" xfId="2" applyBorder="1" applyAlignment="1">
      <alignment horizontal="left" vertical="top"/>
    </xf>
    <xf numFmtId="14" fontId="0" fillId="9" borderId="1" xfId="0" applyNumberFormat="1" applyFill="1" applyBorder="1"/>
    <xf numFmtId="49" fontId="0" fillId="9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4" fillId="9" borderId="1" xfId="2" applyFill="1" applyBorder="1"/>
    <xf numFmtId="0" fontId="0" fillId="0" borderId="1" xfId="0" applyBorder="1" applyAlignment="1">
      <alignment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9" borderId="1" xfId="1" applyNumberFormat="1" applyFont="1" applyFill="1" applyBorder="1"/>
    <xf numFmtId="14" fontId="0" fillId="0" borderId="1" xfId="0" applyNumberFormat="1" applyBorder="1" applyAlignment="1">
      <alignment horizontal="center" vertical="center"/>
    </xf>
    <xf numFmtId="44" fontId="0" fillId="6" borderId="1" xfId="1" applyFont="1" applyFill="1" applyBorder="1" applyAlignment="1">
      <alignment horizontal="center" vertical="center"/>
    </xf>
    <xf numFmtId="0" fontId="4" fillId="0" borderId="1" xfId="2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49" fontId="4" fillId="0" borderId="1" xfId="2" applyNumberFormat="1" applyBorder="1" applyAlignment="1">
      <alignment horizontal="center" vertical="center"/>
    </xf>
    <xf numFmtId="44" fontId="0" fillId="9" borderId="1" xfId="1" applyFont="1" applyFill="1" applyBorder="1" applyAlignment="1">
      <alignment horizontal="center" vertical="center"/>
    </xf>
    <xf numFmtId="44" fontId="4" fillId="0" borderId="1" xfId="1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49" fontId="0" fillId="0" borderId="5" xfId="0" applyNumberFormat="1" applyBorder="1" applyAlignment="1">
      <alignment horizontal="center" vertical="center"/>
    </xf>
    <xf numFmtId="0" fontId="0" fillId="9" borderId="1" xfId="0" applyFill="1" applyBorder="1" applyAlignment="1">
      <alignment horizontal="left" vertical="center"/>
    </xf>
    <xf numFmtId="0" fontId="4" fillId="9" borderId="1" xfId="2" applyFill="1" applyBorder="1" applyAlignment="1">
      <alignment horizontal="center" vertical="center"/>
    </xf>
    <xf numFmtId="49" fontId="0" fillId="0" borderId="1" xfId="0" applyNumberFormat="1" applyBorder="1" applyAlignment="1">
      <alignment vertical="center"/>
    </xf>
    <xf numFmtId="14" fontId="0" fillId="10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left"/>
    </xf>
    <xf numFmtId="0" fontId="0" fillId="10" borderId="1" xfId="0" applyFill="1" applyBorder="1" applyAlignment="1">
      <alignment horizontal="left" vertical="center"/>
    </xf>
    <xf numFmtId="49" fontId="0" fillId="10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44" fontId="0" fillId="10" borderId="1" xfId="1" applyFont="1" applyFill="1" applyBorder="1"/>
    <xf numFmtId="44" fontId="0" fillId="10" borderId="1" xfId="1" applyFont="1" applyFill="1" applyBorder="1" applyAlignment="1">
      <alignment horizontal="center" vertical="center"/>
    </xf>
    <xf numFmtId="0" fontId="4" fillId="10" borderId="1" xfId="2" applyFill="1" applyBorder="1" applyAlignment="1">
      <alignment horizontal="center" vertical="center"/>
    </xf>
    <xf numFmtId="14" fontId="0" fillId="11" borderId="1" xfId="0" applyNumberFormat="1" applyFill="1" applyBorder="1" applyAlignment="1">
      <alignment horizontal="center" vertical="center"/>
    </xf>
    <xf numFmtId="0" fontId="0" fillId="11" borderId="1" xfId="0" applyFill="1" applyBorder="1" applyAlignment="1">
      <alignment horizontal="left"/>
    </xf>
    <xf numFmtId="0" fontId="0" fillId="11" borderId="1" xfId="0" applyFill="1" applyBorder="1" applyAlignment="1">
      <alignment horizontal="left" vertical="center"/>
    </xf>
    <xf numFmtId="49" fontId="0" fillId="11" borderId="1" xfId="0" applyNumberForma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44" fontId="0" fillId="11" borderId="1" xfId="1" applyFont="1" applyFill="1" applyBorder="1"/>
    <xf numFmtId="44" fontId="0" fillId="11" borderId="1" xfId="1" applyFont="1" applyFill="1" applyBorder="1" applyAlignment="1">
      <alignment horizontal="center" vertical="center"/>
    </xf>
    <xf numFmtId="0" fontId="4" fillId="11" borderId="1" xfId="2" applyFill="1" applyBorder="1" applyAlignment="1">
      <alignment horizontal="center" vertical="center"/>
    </xf>
    <xf numFmtId="14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left"/>
    </xf>
    <xf numFmtId="0" fontId="0" fillId="8" borderId="1" xfId="0" applyFill="1" applyBorder="1" applyAlignment="1">
      <alignment horizontal="left" vertical="center"/>
    </xf>
    <xf numFmtId="49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44" fontId="0" fillId="8" borderId="1" xfId="1" applyFont="1" applyFill="1" applyBorder="1"/>
    <xf numFmtId="44" fontId="0" fillId="8" borderId="1" xfId="1" applyFont="1" applyFill="1" applyBorder="1" applyAlignment="1">
      <alignment horizontal="center" vertical="center"/>
    </xf>
    <xf numFmtId="0" fontId="4" fillId="8" borderId="1" xfId="2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44" fontId="0" fillId="8" borderId="3" xfId="1" applyFont="1" applyFill="1" applyBorder="1"/>
    <xf numFmtId="0" fontId="0" fillId="8" borderId="1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4" fillId="0" borderId="1" xfId="2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/>
    </xf>
    <xf numFmtId="164" fontId="4" fillId="9" borderId="1" xfId="2" applyNumberFormat="1" applyFill="1" applyBorder="1" applyAlignment="1">
      <alignment horizontal="left" vertical="center"/>
    </xf>
    <xf numFmtId="49" fontId="0" fillId="9" borderId="1" xfId="0" applyNumberFormat="1" applyFill="1" applyBorder="1"/>
    <xf numFmtId="164" fontId="4" fillId="9" borderId="1" xfId="2" applyNumberFormat="1" applyFill="1" applyBorder="1" applyAlignment="1">
      <alignment horizontal="center" vertical="center"/>
    </xf>
    <xf numFmtId="14" fontId="0" fillId="9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left"/>
    </xf>
    <xf numFmtId="0" fontId="10" fillId="9" borderId="1" xfId="2" applyFont="1" applyFill="1" applyBorder="1" applyAlignment="1">
      <alignment horizontal="center" vertical="center"/>
    </xf>
    <xf numFmtId="49" fontId="10" fillId="9" borderId="1" xfId="1" applyNumberFormat="1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0" fillId="0" borderId="1" xfId="2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4" fontId="0" fillId="12" borderId="1" xfId="1" applyFont="1" applyFill="1" applyBorder="1"/>
    <xf numFmtId="44" fontId="0" fillId="12" borderId="1" xfId="1" applyFont="1" applyFill="1" applyBorder="1" applyAlignment="1">
      <alignment horizontal="center" vertical="center"/>
    </xf>
    <xf numFmtId="164" fontId="4" fillId="0" borderId="1" xfId="2" applyNumberForma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14" fontId="0" fillId="13" borderId="1" xfId="0" applyNumberFormat="1" applyFill="1" applyBorder="1"/>
    <xf numFmtId="0" fontId="0" fillId="13" borderId="1" xfId="0" applyFill="1" applyBorder="1" applyAlignment="1">
      <alignment horizontal="left"/>
    </xf>
    <xf numFmtId="0" fontId="0" fillId="13" borderId="1" xfId="0" applyFill="1" applyBorder="1"/>
    <xf numFmtId="49" fontId="0" fillId="13" borderId="1" xfId="0" applyNumberFormat="1" applyFill="1" applyBorder="1" applyAlignment="1">
      <alignment horizontal="center" vertical="center"/>
    </xf>
    <xf numFmtId="49" fontId="0" fillId="13" borderId="1" xfId="0" applyNumberFormat="1" applyFill="1" applyBorder="1"/>
    <xf numFmtId="0" fontId="0" fillId="13" borderId="1" xfId="0" applyFill="1" applyBorder="1" applyAlignment="1">
      <alignment horizontal="center" vertical="center"/>
    </xf>
    <xf numFmtId="44" fontId="0" fillId="13" borderId="1" xfId="1" applyFont="1" applyFill="1" applyBorder="1"/>
    <xf numFmtId="44" fontId="0" fillId="13" borderId="1" xfId="1" applyFont="1" applyFill="1" applyBorder="1" applyAlignment="1">
      <alignment horizontal="center" vertical="center"/>
    </xf>
    <xf numFmtId="164" fontId="4" fillId="13" borderId="1" xfId="2" applyNumberFormat="1" applyFill="1" applyBorder="1" applyAlignment="1">
      <alignment horizontal="center" vertical="center"/>
    </xf>
    <xf numFmtId="0" fontId="4" fillId="0" borderId="0" xfId="2"/>
    <xf numFmtId="0" fontId="0" fillId="9" borderId="1" xfId="0" applyFill="1" applyBorder="1" applyAlignment="1">
      <alignment horizontal="center" vertical="center" wrapText="1"/>
    </xf>
    <xf numFmtId="44" fontId="0" fillId="14" borderId="1" xfId="1" applyFont="1" applyFill="1" applyBorder="1" applyAlignment="1">
      <alignment horizontal="center" vertical="center"/>
    </xf>
    <xf numFmtId="0" fontId="10" fillId="9" borderId="1" xfId="2" applyFont="1" applyFill="1" applyBorder="1" applyAlignment="1">
      <alignment vertical="center"/>
    </xf>
    <xf numFmtId="49" fontId="0" fillId="0" borderId="1" xfId="0" applyNumberFormat="1" applyBorder="1" applyAlignment="1">
      <alignment horizontal="center"/>
    </xf>
    <xf numFmtId="44" fontId="0" fillId="15" borderId="1" xfId="1" applyFont="1" applyFill="1" applyBorder="1" applyAlignment="1">
      <alignment horizontal="center" vertical="center"/>
    </xf>
    <xf numFmtId="49" fontId="0" fillId="9" borderId="1" xfId="0" applyNumberFormat="1" applyFill="1" applyBorder="1" applyAlignment="1">
      <alignment horizontal="center"/>
    </xf>
    <xf numFmtId="14" fontId="0" fillId="16" borderId="1" xfId="0" applyNumberFormat="1" applyFill="1" applyBorder="1"/>
    <xf numFmtId="0" fontId="0" fillId="16" borderId="1" xfId="0" applyFill="1" applyBorder="1" applyAlignment="1">
      <alignment horizontal="left"/>
    </xf>
    <xf numFmtId="0" fontId="0" fillId="16" borderId="1" xfId="0" applyFill="1" applyBorder="1"/>
    <xf numFmtId="49" fontId="0" fillId="16" borderId="1" xfId="0" applyNumberFormat="1" applyFill="1" applyBorder="1" applyAlignment="1">
      <alignment horizontal="center"/>
    </xf>
    <xf numFmtId="0" fontId="0" fillId="16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/>
    </xf>
    <xf numFmtId="44" fontId="0" fillId="16" borderId="1" xfId="1" applyFont="1" applyFill="1" applyBorder="1"/>
    <xf numFmtId="44" fontId="0" fillId="16" borderId="1" xfId="1" applyFont="1" applyFill="1" applyBorder="1" applyAlignment="1">
      <alignment horizontal="center" vertical="center"/>
    </xf>
    <xf numFmtId="0" fontId="4" fillId="16" borderId="1" xfId="2" applyFill="1" applyBorder="1"/>
    <xf numFmtId="0" fontId="0" fillId="9" borderId="1" xfId="0" applyFill="1" applyBorder="1" applyAlignment="1">
      <alignment horizontal="center"/>
    </xf>
    <xf numFmtId="44" fontId="0" fillId="17" borderId="1" xfId="1" applyFont="1" applyFill="1" applyBorder="1"/>
    <xf numFmtId="14" fontId="0" fillId="18" borderId="1" xfId="0" applyNumberFormat="1" applyFill="1" applyBorder="1"/>
    <xf numFmtId="0" fontId="0" fillId="18" borderId="1" xfId="0" applyFill="1" applyBorder="1" applyAlignment="1">
      <alignment horizontal="left"/>
    </xf>
    <xf numFmtId="0" fontId="0" fillId="18" borderId="1" xfId="0" applyFill="1" applyBorder="1"/>
    <xf numFmtId="49" fontId="0" fillId="18" borderId="1" xfId="0" applyNumberFormat="1" applyFill="1" applyBorder="1"/>
    <xf numFmtId="0" fontId="0" fillId="18" borderId="1" xfId="0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49" fontId="0" fillId="5" borderId="1" xfId="0" applyNumberFormat="1" applyFill="1" applyBorder="1"/>
    <xf numFmtId="0" fontId="0" fillId="5" borderId="1" xfId="0" applyFill="1" applyBorder="1" applyAlignment="1">
      <alignment horizontal="center"/>
    </xf>
    <xf numFmtId="49" fontId="0" fillId="5" borderId="1" xfId="0" applyNumberFormat="1" applyFill="1" applyBorder="1" applyAlignment="1">
      <alignment horizontal="center"/>
    </xf>
    <xf numFmtId="14" fontId="0" fillId="19" borderId="1" xfId="0" applyNumberFormat="1" applyFill="1" applyBorder="1" applyAlignment="1">
      <alignment horizontal="left"/>
    </xf>
    <xf numFmtId="0" fontId="0" fillId="19" borderId="1" xfId="0" applyFill="1" applyBorder="1" applyAlignment="1">
      <alignment horizontal="left"/>
    </xf>
    <xf numFmtId="0" fontId="0" fillId="19" borderId="1" xfId="0" applyFill="1" applyBorder="1"/>
    <xf numFmtId="49" fontId="0" fillId="19" borderId="1" xfId="0" applyNumberFormat="1" applyFill="1" applyBorder="1"/>
    <xf numFmtId="0" fontId="0" fillId="19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49" fontId="0" fillId="4" borderId="1" xfId="0" applyNumberFormat="1" applyFill="1" applyBorder="1"/>
    <xf numFmtId="0" fontId="0" fillId="4" borderId="1" xfId="0" applyFill="1" applyBorder="1" applyAlignment="1">
      <alignment horizontal="center"/>
    </xf>
    <xf numFmtId="165" fontId="0" fillId="12" borderId="1" xfId="1" applyNumberFormat="1" applyFont="1" applyFill="1" applyBorder="1"/>
    <xf numFmtId="0" fontId="0" fillId="0" borderId="9" xfId="0" applyBorder="1"/>
    <xf numFmtId="49" fontId="8" fillId="0" borderId="1" xfId="0" applyNumberFormat="1" applyFont="1" applyBorder="1"/>
    <xf numFmtId="14" fontId="2" fillId="0" borderId="1" xfId="0" applyNumberFormat="1" applyFont="1" applyBorder="1"/>
    <xf numFmtId="0" fontId="2" fillId="0" borderId="1" xfId="0" applyFont="1" applyBorder="1"/>
    <xf numFmtId="49" fontId="2" fillId="0" borderId="1" xfId="0" applyNumberFormat="1" applyFont="1" applyBorder="1"/>
    <xf numFmtId="165" fontId="2" fillId="12" borderId="1" xfId="1" applyNumberFormat="1" applyFont="1" applyFill="1" applyBorder="1"/>
    <xf numFmtId="14" fontId="9" fillId="0" borderId="1" xfId="0" applyNumberFormat="1" applyFont="1" applyBorder="1"/>
    <xf numFmtId="0" fontId="9" fillId="0" borderId="1" xfId="0" applyFont="1" applyBorder="1"/>
    <xf numFmtId="49" fontId="9" fillId="0" borderId="1" xfId="0" applyNumberFormat="1" applyFont="1" applyBorder="1"/>
    <xf numFmtId="165" fontId="9" fillId="12" borderId="1" xfId="1" applyNumberFormat="1" applyFont="1" applyFill="1" applyBorder="1"/>
    <xf numFmtId="0" fontId="11" fillId="0" borderId="1" xfId="2" applyFont="1" applyBorder="1"/>
    <xf numFmtId="0" fontId="9" fillId="0" borderId="1" xfId="0" applyFont="1" applyBorder="1" applyAlignment="1">
      <alignment horizontal="center" vertical="center"/>
    </xf>
    <xf numFmtId="0" fontId="0" fillId="20" borderId="1" xfId="0" applyFill="1" applyBorder="1"/>
    <xf numFmtId="0" fontId="0" fillId="17" borderId="1" xfId="0" applyFill="1" applyBorder="1"/>
    <xf numFmtId="0" fontId="10" fillId="9" borderId="1" xfId="0" applyFont="1" applyFill="1" applyBorder="1"/>
    <xf numFmtId="14" fontId="0" fillId="20" borderId="1" xfId="0" applyNumberFormat="1" applyFill="1" applyBorder="1"/>
    <xf numFmtId="0" fontId="0" fillId="20" borderId="1" xfId="0" applyFill="1" applyBorder="1" applyAlignment="1">
      <alignment horizontal="left" vertical="center"/>
    </xf>
    <xf numFmtId="0" fontId="0" fillId="20" borderId="2" xfId="0" applyFill="1" applyBorder="1"/>
    <xf numFmtId="49" fontId="0" fillId="20" borderId="1" xfId="0" applyNumberFormat="1" applyFill="1" applyBorder="1" applyAlignment="1">
      <alignment horizontal="center"/>
    </xf>
    <xf numFmtId="49" fontId="0" fillId="20" borderId="1" xfId="0" applyNumberFormat="1" applyFill="1" applyBorder="1"/>
    <xf numFmtId="0" fontId="0" fillId="20" borderId="3" xfId="0" applyFill="1" applyBorder="1"/>
    <xf numFmtId="165" fontId="0" fillId="20" borderId="1" xfId="1" applyNumberFormat="1" applyFont="1" applyFill="1" applyBorder="1"/>
    <xf numFmtId="0" fontId="4" fillId="20" borderId="1" xfId="2" applyFill="1" applyBorder="1"/>
    <xf numFmtId="0" fontId="0" fillId="0" borderId="3" xfId="0" applyBorder="1"/>
    <xf numFmtId="165" fontId="0" fillId="9" borderId="1" xfId="1" applyNumberFormat="1" applyFont="1" applyFill="1" applyBorder="1"/>
    <xf numFmtId="0" fontId="0" fillId="9" borderId="1" xfId="1" applyNumberFormat="1" applyFont="1" applyFill="1" applyBorder="1" applyAlignment="1">
      <alignment vertical="top"/>
    </xf>
    <xf numFmtId="0" fontId="0" fillId="9" borderId="1" xfId="1" applyNumberFormat="1" applyFont="1" applyFill="1" applyBorder="1" applyAlignment="1">
      <alignment horizontal="left"/>
    </xf>
    <xf numFmtId="14" fontId="8" fillId="0" borderId="1" xfId="0" applyNumberFormat="1" applyFont="1" applyBorder="1"/>
    <xf numFmtId="0" fontId="8" fillId="0" borderId="1" xfId="0" applyFont="1" applyBorder="1"/>
    <xf numFmtId="49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165" fontId="8" fillId="12" borderId="1" xfId="1" applyNumberFormat="1" applyFont="1" applyFill="1" applyBorder="1"/>
    <xf numFmtId="0" fontId="12" fillId="0" borderId="1" xfId="2" applyFont="1" applyBorder="1"/>
    <xf numFmtId="44" fontId="8" fillId="6" borderId="1" xfId="1" applyFont="1" applyFill="1" applyBorder="1"/>
    <xf numFmtId="0" fontId="8" fillId="0" borderId="1" xfId="0" applyFont="1" applyBorder="1" applyAlignment="1">
      <alignment vertical="center"/>
    </xf>
    <xf numFmtId="0" fontId="8" fillId="13" borderId="1" xfId="0" applyFont="1" applyFill="1" applyBorder="1"/>
    <xf numFmtId="0" fontId="8" fillId="17" borderId="1" xfId="0" applyFont="1" applyFill="1" applyBorder="1"/>
    <xf numFmtId="0" fontId="8" fillId="0" borderId="2" xfId="0" applyFont="1" applyBorder="1"/>
    <xf numFmtId="0" fontId="8" fillId="0" borderId="1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20" borderId="1" xfId="0" applyFont="1" applyFill="1" applyBorder="1"/>
    <xf numFmtId="14" fontId="8" fillId="17" borderId="1" xfId="0" applyNumberFormat="1" applyFont="1" applyFill="1" applyBorder="1"/>
    <xf numFmtId="0" fontId="8" fillId="17" borderId="1" xfId="0" applyFont="1" applyFill="1" applyBorder="1" applyAlignment="1">
      <alignment horizontal="left" vertical="center"/>
    </xf>
    <xf numFmtId="49" fontId="8" fillId="17" borderId="1" xfId="0" applyNumberFormat="1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center" vertical="center"/>
    </xf>
    <xf numFmtId="165" fontId="8" fillId="17" borderId="1" xfId="1" applyNumberFormat="1" applyFont="1" applyFill="1" applyBorder="1"/>
    <xf numFmtId="44" fontId="8" fillId="17" borderId="1" xfId="1" applyFont="1" applyFill="1" applyBorder="1"/>
    <xf numFmtId="0" fontId="12" fillId="17" borderId="1" xfId="2" applyFont="1" applyFill="1" applyBorder="1"/>
    <xf numFmtId="0" fontId="8" fillId="17" borderId="1" xfId="0" applyFont="1" applyFill="1" applyBorder="1" applyAlignment="1">
      <alignment wrapText="1"/>
    </xf>
    <xf numFmtId="44" fontId="8" fillId="12" borderId="1" xfId="1" applyFont="1" applyFill="1" applyBorder="1"/>
    <xf numFmtId="0" fontId="12" fillId="0" borderId="1" xfId="2" applyFont="1" applyFill="1" applyBorder="1"/>
    <xf numFmtId="0" fontId="8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/>
    <xf numFmtId="0" fontId="8" fillId="9" borderId="1" xfId="1" applyNumberFormat="1" applyFont="1" applyFill="1" applyBorder="1" applyAlignment="1">
      <alignment horizontal="center" vertical="center"/>
    </xf>
    <xf numFmtId="0" fontId="8" fillId="9" borderId="1" xfId="1" applyNumberFormat="1" applyFont="1" applyFill="1" applyBorder="1"/>
    <xf numFmtId="0" fontId="8" fillId="9" borderId="1" xfId="1" applyNumberFormat="1" applyFont="1" applyFill="1" applyBorder="1" applyAlignment="1">
      <alignment vertical="top"/>
    </xf>
    <xf numFmtId="0" fontId="8" fillId="0" borderId="1" xfId="0" applyFont="1" applyBorder="1" applyAlignment="1">
      <alignment horizontal="left" vertical="top"/>
    </xf>
    <xf numFmtId="0" fontId="8" fillId="0" borderId="1" xfId="0" applyFont="1" applyBorder="1" applyAlignment="1"/>
    <xf numFmtId="0" fontId="0" fillId="0" borderId="2" xfId="0" applyBorder="1" applyAlignment="1">
      <alignment horizontal="center" vertical="center"/>
    </xf>
    <xf numFmtId="0" fontId="8" fillId="9" borderId="1" xfId="1" applyNumberFormat="1" applyFont="1" applyFill="1" applyBorder="1" applyAlignment="1">
      <alignment horizontal="left"/>
    </xf>
    <xf numFmtId="0" fontId="8" fillId="9" borderId="1" xfId="1" applyNumberFormat="1" applyFont="1" applyFill="1" applyBorder="1" applyAlignment="1"/>
    <xf numFmtId="0" fontId="4" fillId="0" borderId="1" xfId="2" applyBorder="1" applyAlignment="1"/>
    <xf numFmtId="0" fontId="10" fillId="0" borderId="1" xfId="2" applyFont="1" applyBorder="1" applyAlignment="1"/>
    <xf numFmtId="0" fontId="10" fillId="0" borderId="1" xfId="2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right" vertical="center"/>
    </xf>
    <xf numFmtId="0" fontId="4" fillId="0" borderId="1" xfId="2" applyBorder="1" applyAlignment="1">
      <alignment horizontal="left" vertical="center"/>
    </xf>
    <xf numFmtId="14" fontId="0" fillId="20" borderId="1" xfId="0" applyNumberFormat="1" applyFill="1" applyBorder="1" applyAlignment="1">
      <alignment horizontal="center" vertical="center"/>
    </xf>
    <xf numFmtId="49" fontId="0" fillId="20" borderId="1" xfId="0" applyNumberFormat="1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44" fontId="0" fillId="20" borderId="1" xfId="1" applyFont="1" applyFill="1" applyBorder="1"/>
    <xf numFmtId="0" fontId="4" fillId="20" borderId="1" xfId="2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165" fontId="0" fillId="12" borderId="1" xfId="1" applyNumberFormat="1" applyFont="1" applyFill="1" applyBorder="1" applyAlignment="1">
      <alignment horizontal="center" vertical="center" wrapText="1"/>
    </xf>
    <xf numFmtId="44" fontId="0" fillId="12" borderId="1" xfId="1" applyFont="1" applyFill="1" applyBorder="1" applyAlignment="1">
      <alignment horizontal="center" vertical="center" wrapText="1"/>
    </xf>
    <xf numFmtId="0" fontId="4" fillId="0" borderId="1" xfId="2" applyBorder="1" applyAlignment="1">
      <alignment horizontal="center" vertical="center" wrapText="1"/>
    </xf>
    <xf numFmtId="49" fontId="0" fillId="9" borderId="1" xfId="0" applyNumberFormat="1" applyFill="1" applyBorder="1" applyAlignment="1">
      <alignment horizontal="center" vertical="center" wrapText="1"/>
    </xf>
    <xf numFmtId="0" fontId="4" fillId="9" borderId="1" xfId="2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7" fillId="0" borderId="2" xfId="0" applyFont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49" fontId="0" fillId="0" borderId="2" xfId="0" applyNumberForma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10" fillId="9" borderId="2" xfId="2" applyFont="1" applyFill="1" applyBorder="1" applyAlignment="1">
      <alignment horizontal="center" vertical="center"/>
    </xf>
    <xf numFmtId="0" fontId="10" fillId="9" borderId="3" xfId="2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9" borderId="2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10" fillId="13" borderId="2" xfId="2" applyFont="1" applyFill="1" applyBorder="1" applyAlignment="1">
      <alignment horizontal="center" vertical="center"/>
    </xf>
    <xf numFmtId="0" fontId="10" fillId="13" borderId="3" xfId="2" applyFont="1" applyFill="1" applyBorder="1" applyAlignment="1">
      <alignment horizontal="center" vertical="center"/>
    </xf>
    <xf numFmtId="44" fontId="0" fillId="6" borderId="3" xfId="1" applyFont="1" applyFill="1" applyBorder="1"/>
    <xf numFmtId="0" fontId="0" fillId="0" borderId="0" xfId="0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9" borderId="1" xfId="1" applyNumberFormat="1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/>
    </xf>
    <xf numFmtId="0" fontId="4" fillId="9" borderId="2" xfId="2" applyFill="1" applyBorder="1" applyAlignment="1">
      <alignment horizontal="center" vertical="center"/>
    </xf>
    <xf numFmtId="0" fontId="4" fillId="9" borderId="3" xfId="2" applyFill="1" applyBorder="1" applyAlignment="1">
      <alignment horizontal="center" vertical="center"/>
    </xf>
    <xf numFmtId="44" fontId="15" fillId="9" borderId="1" xfId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44" fontId="0" fillId="0" borderId="1" xfId="1" applyFont="1" applyBorder="1" applyAlignment="1">
      <alignment horizontal="center"/>
    </xf>
    <xf numFmtId="44" fontId="0" fillId="9" borderId="1" xfId="1" applyFont="1" applyFill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0" fillId="0" borderId="3" xfId="0" applyBorder="1" applyAlignment="1">
      <alignment horizontal="left" vertical="center"/>
    </xf>
    <xf numFmtId="49" fontId="0" fillId="9" borderId="1" xfId="0" applyNumberFormat="1" applyFill="1" applyBorder="1" applyAlignment="1">
      <alignment horizontal="left" vertical="center"/>
    </xf>
    <xf numFmtId="0" fontId="0" fillId="9" borderId="1" xfId="0" applyFill="1" applyBorder="1" applyAlignment="1">
      <alignment horizontal="right" vertical="center"/>
    </xf>
    <xf numFmtId="0" fontId="4" fillId="9" borderId="1" xfId="2" applyFill="1" applyBorder="1" applyAlignment="1">
      <alignment horizontal="left" vertical="center"/>
    </xf>
    <xf numFmtId="0" fontId="0" fillId="0" borderId="1" xfId="0" applyBorder="1" applyAlignment="1">
      <alignment wrapText="1"/>
    </xf>
    <xf numFmtId="0" fontId="0" fillId="0" borderId="9" xfId="0" applyBorder="1" applyAlignment="1">
      <alignment horizontal="center" vertical="center"/>
    </xf>
    <xf numFmtId="0" fontId="4" fillId="0" borderId="1" xfId="2" applyFill="1" applyBorder="1"/>
    <xf numFmtId="0" fontId="0" fillId="9" borderId="2" xfId="1" applyNumberFormat="1" applyFont="1" applyFill="1" applyBorder="1" applyAlignment="1">
      <alignment horizontal="center"/>
    </xf>
    <xf numFmtId="0" fontId="0" fillId="9" borderId="3" xfId="1" applyNumberFormat="1" applyFont="1" applyFill="1" applyBorder="1" applyAlignment="1">
      <alignment horizontal="center"/>
    </xf>
    <xf numFmtId="0" fontId="0" fillId="0" borderId="1" xfId="1" applyNumberFormat="1" applyFont="1" applyFill="1" applyBorder="1"/>
    <xf numFmtId="0" fontId="10" fillId="0" borderId="2" xfId="2" applyFont="1" applyBorder="1" applyAlignment="1">
      <alignment horizontal="center"/>
    </xf>
    <xf numFmtId="0" fontId="10" fillId="0" borderId="6" xfId="2" applyFont="1" applyBorder="1" applyAlignment="1">
      <alignment horizontal="center"/>
    </xf>
    <xf numFmtId="0" fontId="10" fillId="0" borderId="3" xfId="2" applyFont="1" applyBorder="1" applyAlignment="1">
      <alignment horizontal="center"/>
    </xf>
    <xf numFmtId="0" fontId="4" fillId="0" borderId="1" xfId="2" applyFill="1" applyBorder="1" applyAlignment="1">
      <alignment horizontal="left" vertical="center"/>
    </xf>
    <xf numFmtId="0" fontId="0" fillId="9" borderId="1" xfId="1" applyNumberFormat="1" applyFont="1" applyFill="1" applyBorder="1" applyAlignment="1">
      <alignment horizontal="left" vertical="center"/>
    </xf>
    <xf numFmtId="1" fontId="0" fillId="0" borderId="1" xfId="0" applyNumberFormat="1" applyBorder="1" applyAlignment="1">
      <alignment horizontal="center" vertical="center"/>
    </xf>
    <xf numFmtId="49" fontId="10" fillId="0" borderId="1" xfId="2" applyNumberFormat="1" applyFont="1" applyBorder="1" applyAlignment="1">
      <alignment horizontal="center" vertical="center"/>
    </xf>
    <xf numFmtId="166" fontId="0" fillId="12" borderId="1" xfId="0" applyNumberFormat="1" applyFill="1" applyBorder="1"/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44" fontId="0" fillId="9" borderId="2" xfId="1" applyFont="1" applyFill="1" applyBorder="1" applyAlignment="1">
      <alignment horizontal="center" vertical="center"/>
    </xf>
    <xf numFmtId="44" fontId="0" fillId="9" borderId="3" xfId="1" applyFont="1" applyFill="1" applyBorder="1" applyAlignment="1">
      <alignment horizontal="center" vertical="center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mailto:fernando.carrionp@gmail.com" TargetMode="External"/><Relationship Id="rId170" Type="http://schemas.openxmlformats.org/officeDocument/2006/relationships/hyperlink" Target="mailto:goldbearone.q@gmail.com" TargetMode="External"/><Relationship Id="rId268" Type="http://schemas.openxmlformats.org/officeDocument/2006/relationships/hyperlink" Target="mailto:maricercy_7@hotmail.cok" TargetMode="External"/><Relationship Id="rId475" Type="http://schemas.openxmlformats.org/officeDocument/2006/relationships/hyperlink" Target="mailto:marilebro88@gmail.com" TargetMode="External"/><Relationship Id="rId682" Type="http://schemas.openxmlformats.org/officeDocument/2006/relationships/hyperlink" Target="mailto:patriciof1974@hotmail.com" TargetMode="External"/><Relationship Id="rId128" Type="http://schemas.openxmlformats.org/officeDocument/2006/relationships/hyperlink" Target="mailto:stalinpinza21@gmail.com" TargetMode="External"/><Relationship Id="rId335" Type="http://schemas.openxmlformats.org/officeDocument/2006/relationships/hyperlink" Target="mailto:m.eugenia1598@gmail.com" TargetMode="External"/><Relationship Id="rId542" Type="http://schemas.openxmlformats.org/officeDocument/2006/relationships/hyperlink" Target="mailto:msi30@hotmail.com" TargetMode="External"/><Relationship Id="rId987" Type="http://schemas.openxmlformats.org/officeDocument/2006/relationships/hyperlink" Target="mailto:taryn_yesenia2006@hotmail.com" TargetMode="External"/><Relationship Id="rId1172" Type="http://schemas.openxmlformats.org/officeDocument/2006/relationships/hyperlink" Target="mailto:armandogp2011@yahoo.es" TargetMode="External"/><Relationship Id="rId402" Type="http://schemas.openxmlformats.org/officeDocument/2006/relationships/hyperlink" Target="mailto:bazanbryan504@gmail.com" TargetMode="External"/><Relationship Id="rId847" Type="http://schemas.openxmlformats.org/officeDocument/2006/relationships/hyperlink" Target="mailto:aranzazu_sisa@hotmail.com" TargetMode="External"/><Relationship Id="rId1032" Type="http://schemas.openxmlformats.org/officeDocument/2006/relationships/hyperlink" Target="mailto:niquingaconsu534@gmail.com" TargetMode="External"/><Relationship Id="rId1477" Type="http://schemas.openxmlformats.org/officeDocument/2006/relationships/hyperlink" Target="mailto:elizacb21@hotmail.com" TargetMode="External"/><Relationship Id="rId707" Type="http://schemas.openxmlformats.org/officeDocument/2006/relationships/hyperlink" Target="mailto:dfgc2023@gmail.com" TargetMode="External"/><Relationship Id="rId914" Type="http://schemas.openxmlformats.org/officeDocument/2006/relationships/hyperlink" Target="mailto:fernandezmarco332@gmail.com" TargetMode="External"/><Relationship Id="rId1337" Type="http://schemas.openxmlformats.org/officeDocument/2006/relationships/hyperlink" Target="mailto:adannyramon@gmail.com" TargetMode="External"/><Relationship Id="rId43" Type="http://schemas.openxmlformats.org/officeDocument/2006/relationships/hyperlink" Target="mailto:pasantesvaleria@gmail.com" TargetMode="External"/><Relationship Id="rId1404" Type="http://schemas.openxmlformats.org/officeDocument/2006/relationships/hyperlink" Target="mailto:michilacruel@gmail.com" TargetMode="External"/><Relationship Id="rId192" Type="http://schemas.openxmlformats.org/officeDocument/2006/relationships/hyperlink" Target="mailto:williamtandaza91@gmail.com" TargetMode="External"/><Relationship Id="rId497" Type="http://schemas.openxmlformats.org/officeDocument/2006/relationships/hyperlink" Target="mailto:yeca_mari@hotmail.com" TargetMode="External"/><Relationship Id="rId357" Type="http://schemas.openxmlformats.org/officeDocument/2006/relationships/hyperlink" Target="mailto:cfpl_1989@hotmail.com" TargetMode="External"/><Relationship Id="rId1194" Type="http://schemas.openxmlformats.org/officeDocument/2006/relationships/hyperlink" Target="mailto:patriciadvls@gmail.com" TargetMode="External"/><Relationship Id="rId217" Type="http://schemas.openxmlformats.org/officeDocument/2006/relationships/hyperlink" Target="mailto:cemash.08@gmail.com" TargetMode="External"/><Relationship Id="rId564" Type="http://schemas.openxmlformats.org/officeDocument/2006/relationships/hyperlink" Target="mailto:bryanmoreiram@outlook.es" TargetMode="External"/><Relationship Id="rId771" Type="http://schemas.openxmlformats.org/officeDocument/2006/relationships/hyperlink" Target="mailto:samsalaar.sa@gmail.com" TargetMode="External"/><Relationship Id="rId869" Type="http://schemas.openxmlformats.org/officeDocument/2006/relationships/hyperlink" Target="mailto:paoriofrio27@hotmail.com" TargetMode="External"/><Relationship Id="rId1499" Type="http://schemas.openxmlformats.org/officeDocument/2006/relationships/hyperlink" Target="mailto:anylutu@hotmail.com" TargetMode="External"/><Relationship Id="rId424" Type="http://schemas.openxmlformats.org/officeDocument/2006/relationships/hyperlink" Target="mailto:very59@hotmail.com" TargetMode="External"/><Relationship Id="rId631" Type="http://schemas.openxmlformats.org/officeDocument/2006/relationships/hyperlink" Target="mailto:sujeymirandafranco88@gmail.com" TargetMode="External"/><Relationship Id="rId729" Type="http://schemas.openxmlformats.org/officeDocument/2006/relationships/hyperlink" Target="mailto:trenesacaandrade@yahoo.es" TargetMode="External"/><Relationship Id="rId1054" Type="http://schemas.openxmlformats.org/officeDocument/2006/relationships/hyperlink" Target="mailto:ailoren11@outlook.com" TargetMode="External"/><Relationship Id="rId1261" Type="http://schemas.openxmlformats.org/officeDocument/2006/relationships/hyperlink" Target="mailto:ialopezc@hotmail.com" TargetMode="External"/><Relationship Id="rId1359" Type="http://schemas.openxmlformats.org/officeDocument/2006/relationships/hyperlink" Target="mailto:leoncitodarwin@gmail.com" TargetMode="External"/><Relationship Id="rId936" Type="http://schemas.openxmlformats.org/officeDocument/2006/relationships/hyperlink" Target="mailto:lemahideres@hotmail.com" TargetMode="External"/><Relationship Id="rId1121" Type="http://schemas.openxmlformats.org/officeDocument/2006/relationships/hyperlink" Target="mailto:estela.santi@gmail.com" TargetMode="External"/><Relationship Id="rId1219" Type="http://schemas.openxmlformats.org/officeDocument/2006/relationships/hyperlink" Target="mailto:belcujano@outlook.com" TargetMode="External"/><Relationship Id="rId65" Type="http://schemas.openxmlformats.org/officeDocument/2006/relationships/hyperlink" Target="mailto:daya_carrillo@yahoo.es" TargetMode="External"/><Relationship Id="rId1426" Type="http://schemas.openxmlformats.org/officeDocument/2006/relationships/hyperlink" Target="mailto:carmitalino@gmail.com" TargetMode="External"/><Relationship Id="rId281" Type="http://schemas.openxmlformats.org/officeDocument/2006/relationships/hyperlink" Target="mailto:mayasminalorena@yahoo.com" TargetMode="External"/><Relationship Id="rId141" Type="http://schemas.openxmlformats.org/officeDocument/2006/relationships/hyperlink" Target="mailto:jimenezgladys589@gmail.com" TargetMode="External"/><Relationship Id="rId379" Type="http://schemas.openxmlformats.org/officeDocument/2006/relationships/hyperlink" Target="mailto:vizuetajose09@gmail.com" TargetMode="External"/><Relationship Id="rId586" Type="http://schemas.openxmlformats.org/officeDocument/2006/relationships/hyperlink" Target="mailto:banoruperto.07@gmail.com" TargetMode="External"/><Relationship Id="rId793" Type="http://schemas.openxmlformats.org/officeDocument/2006/relationships/hyperlink" Target="mailto:sarangooscar64@gmail.com" TargetMode="External"/><Relationship Id="rId7" Type="http://schemas.openxmlformats.org/officeDocument/2006/relationships/hyperlink" Target="mailto:maritza-c75@hotmail.com" TargetMode="External"/><Relationship Id="rId239" Type="http://schemas.openxmlformats.org/officeDocument/2006/relationships/hyperlink" Target="mailto:miguel16conza@hotmail.com" TargetMode="External"/><Relationship Id="rId446" Type="http://schemas.openxmlformats.org/officeDocument/2006/relationships/hyperlink" Target="mailto:vanessayallico@gmail.com" TargetMode="External"/><Relationship Id="rId653" Type="http://schemas.openxmlformats.org/officeDocument/2006/relationships/hyperlink" Target="mailto:stefania1209.sv@gmail.com" TargetMode="External"/><Relationship Id="rId1076" Type="http://schemas.openxmlformats.org/officeDocument/2006/relationships/hyperlink" Target="mailto:christian_yuqui@live.com" TargetMode="External"/><Relationship Id="rId1283" Type="http://schemas.openxmlformats.org/officeDocument/2006/relationships/hyperlink" Target="mailto:fmoreno1956@hotmail.com" TargetMode="External"/><Relationship Id="rId1490" Type="http://schemas.openxmlformats.org/officeDocument/2006/relationships/hyperlink" Target="mailto:albaaramos3@gmail.com" TargetMode="External"/><Relationship Id="rId306" Type="http://schemas.openxmlformats.org/officeDocument/2006/relationships/hyperlink" Target="mailto:pablodavid89@gmail.com" TargetMode="External"/><Relationship Id="rId860" Type="http://schemas.openxmlformats.org/officeDocument/2006/relationships/hyperlink" Target="mailto:crisjarvi@hotmail.com" TargetMode="External"/><Relationship Id="rId958" Type="http://schemas.openxmlformats.org/officeDocument/2006/relationships/hyperlink" Target="mailto:lui.alejandro22@hotmail.com" TargetMode="External"/><Relationship Id="rId1143" Type="http://schemas.openxmlformats.org/officeDocument/2006/relationships/hyperlink" Target="mailto:j_herrera.1964@hotmail.com" TargetMode="External"/><Relationship Id="rId87" Type="http://schemas.openxmlformats.org/officeDocument/2006/relationships/hyperlink" Target="mailto:paulizaviles@yahoo.com" TargetMode="External"/><Relationship Id="rId513" Type="http://schemas.openxmlformats.org/officeDocument/2006/relationships/hyperlink" Target="mailto:angelitovl69@gmail.com" TargetMode="External"/><Relationship Id="rId720" Type="http://schemas.openxmlformats.org/officeDocument/2006/relationships/hyperlink" Target="mailto:mariovelastegui18@gmail.com" TargetMode="External"/><Relationship Id="rId818" Type="http://schemas.openxmlformats.org/officeDocument/2006/relationships/hyperlink" Target="mailto:remigonza77@gmail.com" TargetMode="External"/><Relationship Id="rId1350" Type="http://schemas.openxmlformats.org/officeDocument/2006/relationships/hyperlink" Target="mailto:zdzambrano69@hotmail.com" TargetMode="External"/><Relationship Id="rId1448" Type="http://schemas.openxmlformats.org/officeDocument/2006/relationships/hyperlink" Target="mailto:kmar_842@hotmail.com" TargetMode="External"/><Relationship Id="rId1003" Type="http://schemas.openxmlformats.org/officeDocument/2006/relationships/hyperlink" Target="mailto:elisesthetic@gmail.com" TargetMode="External"/><Relationship Id="rId1210" Type="http://schemas.openxmlformats.org/officeDocument/2006/relationships/hyperlink" Target="mailto:calderonjac@gmail.com" TargetMode="External"/><Relationship Id="rId1308" Type="http://schemas.openxmlformats.org/officeDocument/2006/relationships/hyperlink" Target="mailto:maribeltonato@outlook.es" TargetMode="External"/><Relationship Id="rId1515" Type="http://schemas.openxmlformats.org/officeDocument/2006/relationships/hyperlink" Target="mailto:raulito.58@hotmail.com" TargetMode="External"/><Relationship Id="rId14" Type="http://schemas.openxmlformats.org/officeDocument/2006/relationships/hyperlink" Target="mailto:jorpaguz@gmail.com" TargetMode="External"/><Relationship Id="rId163" Type="http://schemas.openxmlformats.org/officeDocument/2006/relationships/hyperlink" Target="mailto:ximequi_57@hotmail.es" TargetMode="External"/><Relationship Id="rId370" Type="http://schemas.openxmlformats.org/officeDocument/2006/relationships/hyperlink" Target="mailto:martha.ligna@hotmail.com" TargetMode="External"/><Relationship Id="rId230" Type="http://schemas.openxmlformats.org/officeDocument/2006/relationships/hyperlink" Target="mailto:oivan335@gmail.com" TargetMode="External"/><Relationship Id="rId468" Type="http://schemas.openxmlformats.org/officeDocument/2006/relationships/hyperlink" Target="mailto:migue_secap@hotmail.es" TargetMode="External"/><Relationship Id="rId675" Type="http://schemas.openxmlformats.org/officeDocument/2006/relationships/hyperlink" Target="mailto:duvalvargas@gmail.com" TargetMode="External"/><Relationship Id="rId882" Type="http://schemas.openxmlformats.org/officeDocument/2006/relationships/hyperlink" Target="mailto:quitoanys@gmail.com" TargetMode="External"/><Relationship Id="rId1098" Type="http://schemas.openxmlformats.org/officeDocument/2006/relationships/hyperlink" Target="mailto:cristianalay10@gmail.com" TargetMode="External"/><Relationship Id="rId328" Type="http://schemas.openxmlformats.org/officeDocument/2006/relationships/hyperlink" Target="mailto:fredi.tandazo@yahoo.com" TargetMode="External"/><Relationship Id="rId535" Type="http://schemas.openxmlformats.org/officeDocument/2006/relationships/hyperlink" Target="mailto:gloriacordova67@outlook.com" TargetMode="External"/><Relationship Id="rId742" Type="http://schemas.openxmlformats.org/officeDocument/2006/relationships/hyperlink" Target="mailto:agustinparrales2702@gmail.com" TargetMode="External"/><Relationship Id="rId1165" Type="http://schemas.openxmlformats.org/officeDocument/2006/relationships/hyperlink" Target="mailto:edwin_cede_o@hotmail.com" TargetMode="External"/><Relationship Id="rId1372" Type="http://schemas.openxmlformats.org/officeDocument/2006/relationships/hyperlink" Target="mailto:jennyguerrero7828@gmail.com" TargetMode="External"/><Relationship Id="rId602" Type="http://schemas.openxmlformats.org/officeDocument/2006/relationships/hyperlink" Target="mailto:joh_nna@hotmail.es" TargetMode="External"/><Relationship Id="rId1025" Type="http://schemas.openxmlformats.org/officeDocument/2006/relationships/hyperlink" Target="mailto:edgarftorresg@hotmail.com" TargetMode="External"/><Relationship Id="rId1232" Type="http://schemas.openxmlformats.org/officeDocument/2006/relationships/hyperlink" Target="mailto:chikitacaro1545@gmail.com" TargetMode="External"/><Relationship Id="rId907" Type="http://schemas.openxmlformats.org/officeDocument/2006/relationships/hyperlink" Target="mailto:rosy_rabv@hotmail.com" TargetMode="External"/><Relationship Id="rId36" Type="http://schemas.openxmlformats.org/officeDocument/2006/relationships/hyperlink" Target="mailto:majitocc1991@hotmail.com" TargetMode="External"/><Relationship Id="rId185" Type="http://schemas.openxmlformats.org/officeDocument/2006/relationships/hyperlink" Target="mailto:mrdarwin.dj@gmail.com" TargetMode="External"/><Relationship Id="rId392" Type="http://schemas.openxmlformats.org/officeDocument/2006/relationships/hyperlink" Target="mailto:rosimalla11016@hotmail.com" TargetMode="External"/><Relationship Id="rId697" Type="http://schemas.openxmlformats.org/officeDocument/2006/relationships/hyperlink" Target="mailto:marcelinocandebio1965@gmail.com" TargetMode="External"/><Relationship Id="rId252" Type="http://schemas.openxmlformats.org/officeDocument/2006/relationships/hyperlink" Target="mailto:franco_emelec@hotmail.com" TargetMode="External"/><Relationship Id="rId1187" Type="http://schemas.openxmlformats.org/officeDocument/2006/relationships/hyperlink" Target="mailto:andres0979573760@gmail.com" TargetMode="External"/><Relationship Id="rId112" Type="http://schemas.openxmlformats.org/officeDocument/2006/relationships/hyperlink" Target="mailto:brsasanw@gmail.com" TargetMode="External"/><Relationship Id="rId557" Type="http://schemas.openxmlformats.org/officeDocument/2006/relationships/hyperlink" Target="mailto:luisjavier1994esp@gmail.com" TargetMode="External"/><Relationship Id="rId764" Type="http://schemas.openxmlformats.org/officeDocument/2006/relationships/hyperlink" Target="mailto:edwinpunina2016@gmail.com" TargetMode="External"/><Relationship Id="rId971" Type="http://schemas.openxmlformats.org/officeDocument/2006/relationships/hyperlink" Target="mailto:SEGUNDO-SANDOVAL61@HOTMAIL.ES" TargetMode="External"/><Relationship Id="rId1394" Type="http://schemas.openxmlformats.org/officeDocument/2006/relationships/hyperlink" Target="mailto:f.ricardo_62@hotmail.com" TargetMode="External"/><Relationship Id="rId417" Type="http://schemas.openxmlformats.org/officeDocument/2006/relationships/hyperlink" Target="mailto:maavipi@gmail.com" TargetMode="External"/><Relationship Id="rId624" Type="http://schemas.openxmlformats.org/officeDocument/2006/relationships/hyperlink" Target="mailto:lreinoso37@gmail.com" TargetMode="External"/><Relationship Id="rId831" Type="http://schemas.openxmlformats.org/officeDocument/2006/relationships/hyperlink" Target="mailto:jonathansteven.mz.285@gmail.com" TargetMode="External"/><Relationship Id="rId1047" Type="http://schemas.openxmlformats.org/officeDocument/2006/relationships/hyperlink" Target="mailto:andradegarciamayra@gmail.com" TargetMode="External"/><Relationship Id="rId1254" Type="http://schemas.openxmlformats.org/officeDocument/2006/relationships/hyperlink" Target="mailto:mdcuadrado85@gmail.com" TargetMode="External"/><Relationship Id="rId1461" Type="http://schemas.openxmlformats.org/officeDocument/2006/relationships/hyperlink" Target="mailto:g-rocioms@gmail.com" TargetMode="External"/><Relationship Id="rId929" Type="http://schemas.openxmlformats.org/officeDocument/2006/relationships/hyperlink" Target="mailto:juan.castro@utc.edu.ec" TargetMode="External"/><Relationship Id="rId1114" Type="http://schemas.openxmlformats.org/officeDocument/2006/relationships/hyperlink" Target="mailto:sierrodejesus@hotmail.com" TargetMode="External"/><Relationship Id="rId1321" Type="http://schemas.openxmlformats.org/officeDocument/2006/relationships/hyperlink" Target="mailto:malorena_@hotmail.com" TargetMode="External"/><Relationship Id="rId58" Type="http://schemas.openxmlformats.org/officeDocument/2006/relationships/hyperlink" Target="mailto:carlos_cjav@hotmail.com" TargetMode="External"/><Relationship Id="rId1419" Type="http://schemas.openxmlformats.org/officeDocument/2006/relationships/hyperlink" Target="mailto:johnnygarcia1919@hotmail.com" TargetMode="External"/><Relationship Id="rId274" Type="http://schemas.openxmlformats.org/officeDocument/2006/relationships/hyperlink" Target="mailto:hgi_ma@hotmail.com" TargetMode="External"/><Relationship Id="rId481" Type="http://schemas.openxmlformats.org/officeDocument/2006/relationships/hyperlink" Target="mailto:luismc_2696@hotmail.com" TargetMode="External"/><Relationship Id="rId134" Type="http://schemas.openxmlformats.org/officeDocument/2006/relationships/hyperlink" Target="mailto:henrycabreraw@hotmail.com" TargetMode="External"/><Relationship Id="rId579" Type="http://schemas.openxmlformats.org/officeDocument/2006/relationships/hyperlink" Target="mailto:myuch_205@hotmail.com" TargetMode="External"/><Relationship Id="rId786" Type="http://schemas.openxmlformats.org/officeDocument/2006/relationships/hyperlink" Target="mailto:jarolb-guerra@hotmail.com" TargetMode="External"/><Relationship Id="rId993" Type="http://schemas.openxmlformats.org/officeDocument/2006/relationships/hyperlink" Target="mailto:lilizambrano1987@yahoo.com" TargetMode="External"/><Relationship Id="rId341" Type="http://schemas.openxmlformats.org/officeDocument/2006/relationships/hyperlink" Target="mailto:gaby.mena@homail.com" TargetMode="External"/><Relationship Id="rId439" Type="http://schemas.openxmlformats.org/officeDocument/2006/relationships/hyperlink" Target="mailto:manobanda.edgar.1994@gmail.com" TargetMode="External"/><Relationship Id="rId646" Type="http://schemas.openxmlformats.org/officeDocument/2006/relationships/hyperlink" Target="mailto:galoortega1@hotmatmail.com" TargetMode="External"/><Relationship Id="rId1069" Type="http://schemas.openxmlformats.org/officeDocument/2006/relationships/hyperlink" Target="mailto:herediaph7@gmail.com" TargetMode="External"/><Relationship Id="rId1276" Type="http://schemas.openxmlformats.org/officeDocument/2006/relationships/hyperlink" Target="mailto:tiopena747@gmail.com" TargetMode="External"/><Relationship Id="rId1483" Type="http://schemas.openxmlformats.org/officeDocument/2006/relationships/hyperlink" Target="mailto:vanessazambrano586@gmail.com" TargetMode="External"/><Relationship Id="rId201" Type="http://schemas.openxmlformats.org/officeDocument/2006/relationships/hyperlink" Target="mailto:alexitaty@hotmail.com" TargetMode="External"/><Relationship Id="rId506" Type="http://schemas.openxmlformats.org/officeDocument/2006/relationships/hyperlink" Target="mailto:lilibarreto2716@gmail.com" TargetMode="External"/><Relationship Id="rId853" Type="http://schemas.openxmlformats.org/officeDocument/2006/relationships/hyperlink" Target="mailto:romelramon@gmail.com" TargetMode="External"/><Relationship Id="rId1136" Type="http://schemas.openxmlformats.org/officeDocument/2006/relationships/hyperlink" Target="mailto:gilda.96@live.com.ar" TargetMode="External"/><Relationship Id="rId713" Type="http://schemas.openxmlformats.org/officeDocument/2006/relationships/hyperlink" Target="mailto:jessica.anazco1@hotmail.com" TargetMode="External"/><Relationship Id="rId920" Type="http://schemas.openxmlformats.org/officeDocument/2006/relationships/hyperlink" Target="mailto:carmenparedes74_@hotmail.com" TargetMode="External"/><Relationship Id="rId1343" Type="http://schemas.openxmlformats.org/officeDocument/2006/relationships/hyperlink" Target="mailto:micha011064@gmail.com" TargetMode="External"/><Relationship Id="rId1203" Type="http://schemas.openxmlformats.org/officeDocument/2006/relationships/hyperlink" Target="mailto:vivianata@live.com" TargetMode="External"/><Relationship Id="rId1410" Type="http://schemas.openxmlformats.org/officeDocument/2006/relationships/hyperlink" Target="mailto:victorg49@hotmail.com" TargetMode="External"/><Relationship Id="rId1508" Type="http://schemas.openxmlformats.org/officeDocument/2006/relationships/hyperlink" Target="mailto:melidachicaiza2014@gmail.com" TargetMode="External"/><Relationship Id="rId296" Type="http://schemas.openxmlformats.org/officeDocument/2006/relationships/hyperlink" Target="mailto:leo.maldonado.5794@gmail.com" TargetMode="External"/><Relationship Id="rId156" Type="http://schemas.openxmlformats.org/officeDocument/2006/relationships/hyperlink" Target="mailto:sivibermeo75@gmail.com" TargetMode="External"/><Relationship Id="rId363" Type="http://schemas.openxmlformats.org/officeDocument/2006/relationships/hyperlink" Target="mailto:veronica74arrieta@gmail.com" TargetMode="External"/><Relationship Id="rId570" Type="http://schemas.openxmlformats.org/officeDocument/2006/relationships/hyperlink" Target="mailto:v28vaca1994@gmail.com" TargetMode="External"/><Relationship Id="rId223" Type="http://schemas.openxmlformats.org/officeDocument/2006/relationships/hyperlink" Target="mailto:jaquifarez@gmail.com" TargetMode="External"/><Relationship Id="rId430" Type="http://schemas.openxmlformats.org/officeDocument/2006/relationships/hyperlink" Target="mailto:marielao72019@hotmail.com" TargetMode="External"/><Relationship Id="rId668" Type="http://schemas.openxmlformats.org/officeDocument/2006/relationships/hyperlink" Target="mailto:rafael.goble@gmail.com" TargetMode="External"/><Relationship Id="rId875" Type="http://schemas.openxmlformats.org/officeDocument/2006/relationships/hyperlink" Target="mailto:robercarmorocho@gmail.com" TargetMode="External"/><Relationship Id="rId1060" Type="http://schemas.openxmlformats.org/officeDocument/2006/relationships/hyperlink" Target="mailto:rouus89@outlook.com" TargetMode="External"/><Relationship Id="rId1298" Type="http://schemas.openxmlformats.org/officeDocument/2006/relationships/hyperlink" Target="mailto:hectordj772@gmail.com" TargetMode="External"/><Relationship Id="rId528" Type="http://schemas.openxmlformats.org/officeDocument/2006/relationships/hyperlink" Target="mailto:anillescas@hotmail.com" TargetMode="External"/><Relationship Id="rId735" Type="http://schemas.openxmlformats.org/officeDocument/2006/relationships/hyperlink" Target="mailto:bjw-13@hotmail.com" TargetMode="External"/><Relationship Id="rId942" Type="http://schemas.openxmlformats.org/officeDocument/2006/relationships/hyperlink" Target="mailto:marcos-rivas1996@hotmail.com" TargetMode="External"/><Relationship Id="rId1158" Type="http://schemas.openxmlformats.org/officeDocument/2006/relationships/hyperlink" Target="mailto:tisabel_10@hotmail.com" TargetMode="External"/><Relationship Id="rId1365" Type="http://schemas.openxmlformats.org/officeDocument/2006/relationships/hyperlink" Target="mailto:ligiasolorzano27@gmail.com" TargetMode="External"/><Relationship Id="rId1018" Type="http://schemas.openxmlformats.org/officeDocument/2006/relationships/hyperlink" Target="mailto:davidllagua@hotmail.com" TargetMode="External"/><Relationship Id="rId1225" Type="http://schemas.openxmlformats.org/officeDocument/2006/relationships/hyperlink" Target="mailto:steviapalora@gmail.com" TargetMode="External"/><Relationship Id="rId1432" Type="http://schemas.openxmlformats.org/officeDocument/2006/relationships/hyperlink" Target="mailto:kevinmurill880@gmail.com" TargetMode="External"/><Relationship Id="rId71" Type="http://schemas.openxmlformats.org/officeDocument/2006/relationships/hyperlink" Target="mailto:rocitaballa4@gmail.com" TargetMode="External"/><Relationship Id="rId802" Type="http://schemas.openxmlformats.org/officeDocument/2006/relationships/hyperlink" Target="mailto:alexandervlsqz6@gmail.com" TargetMode="External"/><Relationship Id="rId29" Type="http://schemas.openxmlformats.org/officeDocument/2006/relationships/hyperlink" Target="mailto:lolitap2@hotmail.com" TargetMode="External"/><Relationship Id="rId178" Type="http://schemas.openxmlformats.org/officeDocument/2006/relationships/hyperlink" Target="mailto:adriana_lastra@outlook.com" TargetMode="External"/><Relationship Id="rId385" Type="http://schemas.openxmlformats.org/officeDocument/2006/relationships/hyperlink" Target="mailto:cecytalituma@hotmail.com" TargetMode="External"/><Relationship Id="rId592" Type="http://schemas.openxmlformats.org/officeDocument/2006/relationships/hyperlink" Target="mailto:yadi-yadira27@hotmail.com" TargetMode="External"/><Relationship Id="rId245" Type="http://schemas.openxmlformats.org/officeDocument/2006/relationships/hyperlink" Target="mailto:fernanda_18@hotmail.com" TargetMode="External"/><Relationship Id="rId452" Type="http://schemas.openxmlformats.org/officeDocument/2006/relationships/hyperlink" Target="mailto:vito11adrian.nz@gmail.com" TargetMode="External"/><Relationship Id="rId897" Type="http://schemas.openxmlformats.org/officeDocument/2006/relationships/hyperlink" Target="mailto:dussanpoveda1998@gmail.com" TargetMode="External"/><Relationship Id="rId1082" Type="http://schemas.openxmlformats.org/officeDocument/2006/relationships/hyperlink" Target="mailto:carimegutbed28@hotmail.com" TargetMode="External"/><Relationship Id="rId105" Type="http://schemas.openxmlformats.org/officeDocument/2006/relationships/hyperlink" Target="mailto:dianasilvamb@gmail.com" TargetMode="External"/><Relationship Id="rId312" Type="http://schemas.openxmlformats.org/officeDocument/2006/relationships/hyperlink" Target="mailto:djapon1@hotmail.com" TargetMode="External"/><Relationship Id="rId757" Type="http://schemas.openxmlformats.org/officeDocument/2006/relationships/hyperlink" Target="mailto:danimorbe1218@gmail.com" TargetMode="External"/><Relationship Id="rId964" Type="http://schemas.openxmlformats.org/officeDocument/2006/relationships/hyperlink" Target="mailto:jessicaichau56@gmail.com" TargetMode="External"/><Relationship Id="rId1387" Type="http://schemas.openxmlformats.org/officeDocument/2006/relationships/hyperlink" Target="mailto:rosagonzaga1954@gmail.com" TargetMode="External"/><Relationship Id="rId93" Type="http://schemas.openxmlformats.org/officeDocument/2006/relationships/hyperlink" Target="mailto:rossmayc125@gmail.com" TargetMode="External"/><Relationship Id="rId617" Type="http://schemas.openxmlformats.org/officeDocument/2006/relationships/hyperlink" Target="mailto:eli1985palacios@gmail.com" TargetMode="External"/><Relationship Id="rId824" Type="http://schemas.openxmlformats.org/officeDocument/2006/relationships/hyperlink" Target="mailto:pauly301996@gmail.com" TargetMode="External"/><Relationship Id="rId1247" Type="http://schemas.openxmlformats.org/officeDocument/2006/relationships/hyperlink" Target="mailto:apinzon69@yahoo.com" TargetMode="External"/><Relationship Id="rId1454" Type="http://schemas.openxmlformats.org/officeDocument/2006/relationships/hyperlink" Target="mailto:mabr_2@hotmail.com" TargetMode="External"/><Relationship Id="rId1107" Type="http://schemas.openxmlformats.org/officeDocument/2006/relationships/hyperlink" Target="mailto:alfred_kalle@hotmail.com" TargetMode="External"/><Relationship Id="rId1314" Type="http://schemas.openxmlformats.org/officeDocument/2006/relationships/hyperlink" Target="mailto:maurodm11@gmail.com" TargetMode="External"/><Relationship Id="rId1521" Type="http://schemas.openxmlformats.org/officeDocument/2006/relationships/comments" Target="../comments1.xml"/><Relationship Id="rId20" Type="http://schemas.openxmlformats.org/officeDocument/2006/relationships/hyperlink" Target="mailto:homero.caicedo@yahoo.com" TargetMode="External"/><Relationship Id="rId267" Type="http://schemas.openxmlformats.org/officeDocument/2006/relationships/hyperlink" Target="mailto:darwin.mendoza.velez@gmail.com" TargetMode="External"/><Relationship Id="rId474" Type="http://schemas.openxmlformats.org/officeDocument/2006/relationships/hyperlink" Target="mailto:haroldcoloma12@gmail.com" TargetMode="External"/><Relationship Id="rId127" Type="http://schemas.openxmlformats.org/officeDocument/2006/relationships/hyperlink" Target="mailto:ingacosta2512@hotmail.com" TargetMode="External"/><Relationship Id="rId681" Type="http://schemas.openxmlformats.org/officeDocument/2006/relationships/hyperlink" Target="mailto:marleneromero2009@hotmail.com" TargetMode="External"/><Relationship Id="rId779" Type="http://schemas.openxmlformats.org/officeDocument/2006/relationships/hyperlink" Target="mailto:maypalma1629@gmail.com" TargetMode="External"/><Relationship Id="rId986" Type="http://schemas.openxmlformats.org/officeDocument/2006/relationships/hyperlink" Target="mailto:wilmercaicedooarevalo@hotmail.com" TargetMode="External"/><Relationship Id="rId334" Type="http://schemas.openxmlformats.org/officeDocument/2006/relationships/hyperlink" Target="mailto:zafirofr@gmail.com" TargetMode="External"/><Relationship Id="rId541" Type="http://schemas.openxmlformats.org/officeDocument/2006/relationships/hyperlink" Target="mailto:logisticasupra@gmail.com" TargetMode="External"/><Relationship Id="rId639" Type="http://schemas.openxmlformats.org/officeDocument/2006/relationships/hyperlink" Target="mailto:gladyselvirafarias@gmail.com" TargetMode="External"/><Relationship Id="rId1171" Type="http://schemas.openxmlformats.org/officeDocument/2006/relationships/hyperlink" Target="mailto:marytoasa30@gmail.com" TargetMode="External"/><Relationship Id="rId1269" Type="http://schemas.openxmlformats.org/officeDocument/2006/relationships/hyperlink" Target="mailto:qwerjhonny@gmail.com" TargetMode="External"/><Relationship Id="rId1476" Type="http://schemas.openxmlformats.org/officeDocument/2006/relationships/hyperlink" Target="mailto:maria1950villamarin@hotmail.com" TargetMode="External"/><Relationship Id="rId401" Type="http://schemas.openxmlformats.org/officeDocument/2006/relationships/hyperlink" Target="mailto:monicamontes781@hotmail.com" TargetMode="External"/><Relationship Id="rId846" Type="http://schemas.openxmlformats.org/officeDocument/2006/relationships/hyperlink" Target="mailto:hugo_091973@hotmail.com" TargetMode="External"/><Relationship Id="rId1031" Type="http://schemas.openxmlformats.org/officeDocument/2006/relationships/hyperlink" Target="mailto:buluisefrain2@gmail.com" TargetMode="External"/><Relationship Id="rId1129" Type="http://schemas.openxmlformats.org/officeDocument/2006/relationships/hyperlink" Target="mailto:efposcas_1811@hotmail.com" TargetMode="External"/><Relationship Id="rId706" Type="http://schemas.openxmlformats.org/officeDocument/2006/relationships/hyperlink" Target="mailto:ifcuenca7@gmail.com" TargetMode="External"/><Relationship Id="rId913" Type="http://schemas.openxmlformats.org/officeDocument/2006/relationships/hyperlink" Target="mailto:callelinaliliana@gmail.com" TargetMode="External"/><Relationship Id="rId1336" Type="http://schemas.openxmlformats.org/officeDocument/2006/relationships/hyperlink" Target="mailto:blancaadrianvera@gmail.com" TargetMode="External"/><Relationship Id="rId42" Type="http://schemas.openxmlformats.org/officeDocument/2006/relationships/hyperlink" Target="mailto:balarezoanita18@gmail.com" TargetMode="External"/><Relationship Id="rId1403" Type="http://schemas.openxmlformats.org/officeDocument/2006/relationships/hyperlink" Target="mailto:bachi81@hotmail.com" TargetMode="External"/><Relationship Id="rId191" Type="http://schemas.openxmlformats.org/officeDocument/2006/relationships/hyperlink" Target="mailto:econraamarillo@hotmail.com" TargetMode="External"/><Relationship Id="rId289" Type="http://schemas.openxmlformats.org/officeDocument/2006/relationships/hyperlink" Target="mailto:luiszurita74@outlook.es" TargetMode="External"/><Relationship Id="rId496" Type="http://schemas.openxmlformats.org/officeDocument/2006/relationships/hyperlink" Target="mailto:gregoria_medina@hotmail.com" TargetMode="External"/><Relationship Id="rId149" Type="http://schemas.openxmlformats.org/officeDocument/2006/relationships/hyperlink" Target="mailto:nelilara1@hotmail.com" TargetMode="External"/><Relationship Id="rId356" Type="http://schemas.openxmlformats.org/officeDocument/2006/relationships/hyperlink" Target="mailto:juan1986pico@gmail.com" TargetMode="External"/><Relationship Id="rId563" Type="http://schemas.openxmlformats.org/officeDocument/2006/relationships/hyperlink" Target="mailto:henrybravo-35@hotmail.com" TargetMode="External"/><Relationship Id="rId770" Type="http://schemas.openxmlformats.org/officeDocument/2006/relationships/hyperlink" Target="mailto:gab.ninacuri97@gmail.com" TargetMode="External"/><Relationship Id="rId1193" Type="http://schemas.openxmlformats.org/officeDocument/2006/relationships/hyperlink" Target="mailto:pablomero@gmail.com" TargetMode="External"/><Relationship Id="rId216" Type="http://schemas.openxmlformats.org/officeDocument/2006/relationships/hyperlink" Target="mailto:jhonmatute1907@gmail.com" TargetMode="External"/><Relationship Id="rId423" Type="http://schemas.openxmlformats.org/officeDocument/2006/relationships/hyperlink" Target="mailto:estuardofigueroac@yahoo.es" TargetMode="External"/><Relationship Id="rId868" Type="http://schemas.openxmlformats.org/officeDocument/2006/relationships/hyperlink" Target="mailto:franklin.quizhpi92@gmail.com" TargetMode="External"/><Relationship Id="rId1053" Type="http://schemas.openxmlformats.org/officeDocument/2006/relationships/hyperlink" Target="mailto:maritzaloor_chinita@hotmail.com" TargetMode="External"/><Relationship Id="rId1260" Type="http://schemas.openxmlformats.org/officeDocument/2006/relationships/hyperlink" Target="mailto:carolinacango320@gmail.com" TargetMode="External"/><Relationship Id="rId1498" Type="http://schemas.openxmlformats.org/officeDocument/2006/relationships/hyperlink" Target="mailto:fabiolagarces735@gmail.com" TargetMode="External"/><Relationship Id="rId630" Type="http://schemas.openxmlformats.org/officeDocument/2006/relationships/hyperlink" Target="mailto:marcelosaharromo70@gmail.com" TargetMode="External"/><Relationship Id="rId728" Type="http://schemas.openxmlformats.org/officeDocument/2006/relationships/hyperlink" Target="mailto:dianazhinin66@gmail.com" TargetMode="External"/><Relationship Id="rId935" Type="http://schemas.openxmlformats.org/officeDocument/2006/relationships/hyperlink" Target="mailto:charitofiorela@hotmail.com" TargetMode="External"/><Relationship Id="rId1358" Type="http://schemas.openxmlformats.org/officeDocument/2006/relationships/hyperlink" Target="mailto:mayraparedes35@gmail.com" TargetMode="External"/><Relationship Id="rId64" Type="http://schemas.openxmlformats.org/officeDocument/2006/relationships/hyperlink" Target="mailto:ricardo.edda@gmail.com" TargetMode="External"/><Relationship Id="rId1120" Type="http://schemas.openxmlformats.org/officeDocument/2006/relationships/hyperlink" Target="mailto:anjenet_1@hotmail.com" TargetMode="External"/><Relationship Id="rId1218" Type="http://schemas.openxmlformats.org/officeDocument/2006/relationships/hyperlink" Target="mailto:dfacosta1988@hotmail.com" TargetMode="External"/><Relationship Id="rId1425" Type="http://schemas.openxmlformats.org/officeDocument/2006/relationships/hyperlink" Target="mailto:daniel.ponce93@live.com" TargetMode="External"/><Relationship Id="rId280" Type="http://schemas.openxmlformats.org/officeDocument/2006/relationships/hyperlink" Target="mailto:raulteran_galarza@hotmail.com" TargetMode="External"/><Relationship Id="rId140" Type="http://schemas.openxmlformats.org/officeDocument/2006/relationships/hyperlink" Target="mailto:marcial.gutierrez@yahoo.es" TargetMode="External"/><Relationship Id="rId378" Type="http://schemas.openxmlformats.org/officeDocument/2006/relationships/hyperlink" Target="mailto:m.cisnesanchez@gmail.com" TargetMode="External"/><Relationship Id="rId585" Type="http://schemas.openxmlformats.org/officeDocument/2006/relationships/hyperlink" Target="mailto:romarioeagarofalo@gmail.com" TargetMode="External"/><Relationship Id="rId792" Type="http://schemas.openxmlformats.org/officeDocument/2006/relationships/hyperlink" Target="mailto:rit-elis@hotmail.com" TargetMode="External"/><Relationship Id="rId6" Type="http://schemas.openxmlformats.org/officeDocument/2006/relationships/hyperlink" Target="mailto:joelchicatroya@gmail.com" TargetMode="External"/><Relationship Id="rId238" Type="http://schemas.openxmlformats.org/officeDocument/2006/relationships/hyperlink" Target="mailto:ruthortiz87@hotmail.com" TargetMode="External"/><Relationship Id="rId445" Type="http://schemas.openxmlformats.org/officeDocument/2006/relationships/hyperlink" Target="mailto:diegoae2011@hotmail.com" TargetMode="External"/><Relationship Id="rId652" Type="http://schemas.openxmlformats.org/officeDocument/2006/relationships/hyperlink" Target="mailto:jnarvaez@hotmail.es" TargetMode="External"/><Relationship Id="rId1075" Type="http://schemas.openxmlformats.org/officeDocument/2006/relationships/hyperlink" Target="mailto:pabloquano@gmail.com" TargetMode="External"/><Relationship Id="rId1282" Type="http://schemas.openxmlformats.org/officeDocument/2006/relationships/hyperlink" Target="mailto:snipet=sp-@outlook.com" TargetMode="External"/><Relationship Id="rId305" Type="http://schemas.openxmlformats.org/officeDocument/2006/relationships/hyperlink" Target="mailto:magalybanda38@gmail.com" TargetMode="External"/><Relationship Id="rId512" Type="http://schemas.openxmlformats.org/officeDocument/2006/relationships/hyperlink" Target="mailto:claud_mama@hotmail.com" TargetMode="External"/><Relationship Id="rId957" Type="http://schemas.openxmlformats.org/officeDocument/2006/relationships/hyperlink" Target="mailto:carlitosgonza1993@gmail.com" TargetMode="External"/><Relationship Id="rId1142" Type="http://schemas.openxmlformats.org/officeDocument/2006/relationships/hyperlink" Target="mailto:ruthalcivar52@gmail.com" TargetMode="External"/><Relationship Id="rId86" Type="http://schemas.openxmlformats.org/officeDocument/2006/relationships/hyperlink" Target="mailto:sandra99tuquerres@gmail.com" TargetMode="External"/><Relationship Id="rId817" Type="http://schemas.openxmlformats.org/officeDocument/2006/relationships/hyperlink" Target="mailto:ramiroverdesoto@hotmail.com" TargetMode="External"/><Relationship Id="rId1002" Type="http://schemas.openxmlformats.org/officeDocument/2006/relationships/hyperlink" Target="mailto:erick94jaramillo@hotmail.com" TargetMode="External"/><Relationship Id="rId1447" Type="http://schemas.openxmlformats.org/officeDocument/2006/relationships/hyperlink" Target="mailto:wilmercondoy496@gmail.com" TargetMode="External"/><Relationship Id="rId1307" Type="http://schemas.openxmlformats.org/officeDocument/2006/relationships/hyperlink" Target="mailto:quilismaledisson6@gmail.com" TargetMode="External"/><Relationship Id="rId1514" Type="http://schemas.openxmlformats.org/officeDocument/2006/relationships/hyperlink" Target="mailto:carvillalbaz@hotmail.com" TargetMode="External"/><Relationship Id="rId13" Type="http://schemas.openxmlformats.org/officeDocument/2006/relationships/hyperlink" Target="mailto:diegofernandofiallo1@gmail.com" TargetMode="External"/><Relationship Id="rId162" Type="http://schemas.openxmlformats.org/officeDocument/2006/relationships/hyperlink" Target="mailto:yuliana292004@hotmail.com" TargetMode="External"/><Relationship Id="rId467" Type="http://schemas.openxmlformats.org/officeDocument/2006/relationships/hyperlink" Target="mailto:Andreschacon2017@gmail.com" TargetMode="External"/><Relationship Id="rId1097" Type="http://schemas.openxmlformats.org/officeDocument/2006/relationships/hyperlink" Target="mailto:neptalirivera05@gmail.com" TargetMode="External"/><Relationship Id="rId674" Type="http://schemas.openxmlformats.org/officeDocument/2006/relationships/hyperlink" Target="mailto:jamesjordycolcha@gmail.com" TargetMode="External"/><Relationship Id="rId881" Type="http://schemas.openxmlformats.org/officeDocument/2006/relationships/hyperlink" Target="mailto:jaramillo.6j-15@hotmail.com" TargetMode="External"/><Relationship Id="rId979" Type="http://schemas.openxmlformats.org/officeDocument/2006/relationships/hyperlink" Target="mailto:ldrivas03@hotmail.com" TargetMode="External"/><Relationship Id="rId327" Type="http://schemas.openxmlformats.org/officeDocument/2006/relationships/hyperlink" Target="mailto:hector_tugo@hotmail.com" TargetMode="External"/><Relationship Id="rId534" Type="http://schemas.openxmlformats.org/officeDocument/2006/relationships/hyperlink" Target="mailto:alessandrovacas@gmail.com" TargetMode="External"/><Relationship Id="rId741" Type="http://schemas.openxmlformats.org/officeDocument/2006/relationships/hyperlink" Target="mailto:blancape&#241;afiel57@gmail.com" TargetMode="External"/><Relationship Id="rId839" Type="http://schemas.openxmlformats.org/officeDocument/2006/relationships/hyperlink" Target="mailto:molinamary387@gmail.com" TargetMode="External"/><Relationship Id="rId1164" Type="http://schemas.openxmlformats.org/officeDocument/2006/relationships/hyperlink" Target="mailto:luis_ferchito@hotmail.com" TargetMode="External"/><Relationship Id="rId1371" Type="http://schemas.openxmlformats.org/officeDocument/2006/relationships/hyperlink" Target="mailto:juliocesarmd1965@gmail.com" TargetMode="External"/><Relationship Id="rId1469" Type="http://schemas.openxmlformats.org/officeDocument/2006/relationships/hyperlink" Target="mailto:freireleonardo161@gmail.com" TargetMode="External"/><Relationship Id="rId601" Type="http://schemas.openxmlformats.org/officeDocument/2006/relationships/hyperlink" Target="mailto:fernandavinamagua@gmail.com" TargetMode="External"/><Relationship Id="rId1024" Type="http://schemas.openxmlformats.org/officeDocument/2006/relationships/hyperlink" Target="mailto:noemy19942014@gmail.com" TargetMode="External"/><Relationship Id="rId1231" Type="http://schemas.openxmlformats.org/officeDocument/2006/relationships/hyperlink" Target="mailto:maciasmary733@gmail.com" TargetMode="External"/><Relationship Id="rId906" Type="http://schemas.openxmlformats.org/officeDocument/2006/relationships/hyperlink" Target="mailto:gustavitoayala@hotmail.com" TargetMode="External"/><Relationship Id="rId1329" Type="http://schemas.openxmlformats.org/officeDocument/2006/relationships/hyperlink" Target="mailto:elvicito01_@hotmail.com" TargetMode="External"/><Relationship Id="rId35" Type="http://schemas.openxmlformats.org/officeDocument/2006/relationships/hyperlink" Target="mailto:lolivazquezsoliz@gmail.com" TargetMode="External"/><Relationship Id="rId184" Type="http://schemas.openxmlformats.org/officeDocument/2006/relationships/hyperlink" Target="mailto:ministrayoli@hotmail.com" TargetMode="External"/><Relationship Id="rId391" Type="http://schemas.openxmlformats.org/officeDocument/2006/relationships/hyperlink" Target="mailto:andy29.asn@gmail.com" TargetMode="External"/><Relationship Id="rId251" Type="http://schemas.openxmlformats.org/officeDocument/2006/relationships/hyperlink" Target="mailto:soyyomstsmoros@hotmail.com" TargetMode="External"/><Relationship Id="rId489" Type="http://schemas.openxmlformats.org/officeDocument/2006/relationships/hyperlink" Target="mailto:wilmerjaviercedenocarreno@gmail.com" TargetMode="External"/><Relationship Id="rId696" Type="http://schemas.openxmlformats.org/officeDocument/2006/relationships/hyperlink" Target="mailto:stb-90@hotmail.com" TargetMode="External"/><Relationship Id="rId349" Type="http://schemas.openxmlformats.org/officeDocument/2006/relationships/hyperlink" Target="mailto:wpincaytum@gmail.com" TargetMode="External"/><Relationship Id="rId556" Type="http://schemas.openxmlformats.org/officeDocument/2006/relationships/hyperlink" Target="mailto:kadley_6@hotmail.com" TargetMode="External"/><Relationship Id="rId763" Type="http://schemas.openxmlformats.org/officeDocument/2006/relationships/hyperlink" Target="mailto:adanjose18@yahoo.es" TargetMode="External"/><Relationship Id="rId1186" Type="http://schemas.openxmlformats.org/officeDocument/2006/relationships/hyperlink" Target="mailto:margaritamacias_96@hotmail.com" TargetMode="External"/><Relationship Id="rId1393" Type="http://schemas.openxmlformats.org/officeDocument/2006/relationships/hyperlink" Target="mailto:melbamonserrate12@gmail.com" TargetMode="External"/><Relationship Id="rId111" Type="http://schemas.openxmlformats.org/officeDocument/2006/relationships/hyperlink" Target="mailto:Nubiarocero3a@hotmail.com" TargetMode="External"/><Relationship Id="rId209" Type="http://schemas.openxmlformats.org/officeDocument/2006/relationships/hyperlink" Target="mailto:lopezmaria87@gmail.com" TargetMode="External"/><Relationship Id="rId416" Type="http://schemas.openxmlformats.org/officeDocument/2006/relationships/hyperlink" Target="mailto:javangamarca@gmail.com" TargetMode="External"/><Relationship Id="rId970" Type="http://schemas.openxmlformats.org/officeDocument/2006/relationships/hyperlink" Target="mailto:munyticom_15@yahoo.es" TargetMode="External"/><Relationship Id="rId1046" Type="http://schemas.openxmlformats.org/officeDocument/2006/relationships/hyperlink" Target="mailto:inesalcivar-1967@hotmail.com" TargetMode="External"/><Relationship Id="rId1253" Type="http://schemas.openxmlformats.org/officeDocument/2006/relationships/hyperlink" Target="mailto:elizabeth222042@gmail.com" TargetMode="External"/><Relationship Id="rId623" Type="http://schemas.openxmlformats.org/officeDocument/2006/relationships/hyperlink" Target="mailto:mechita_ca@hotmail.es" TargetMode="External"/><Relationship Id="rId830" Type="http://schemas.openxmlformats.org/officeDocument/2006/relationships/hyperlink" Target="mailto:carmensarango4@gmail.com" TargetMode="External"/><Relationship Id="rId928" Type="http://schemas.openxmlformats.org/officeDocument/2006/relationships/hyperlink" Target="mailto:garciavinicio256@gmail.com" TargetMode="External"/><Relationship Id="rId1460" Type="http://schemas.openxmlformats.org/officeDocument/2006/relationships/hyperlink" Target="mailto:lasleo999@yahoo.es" TargetMode="External"/><Relationship Id="rId57" Type="http://schemas.openxmlformats.org/officeDocument/2006/relationships/hyperlink" Target="mailto:amndreanitago@hotmail.com" TargetMode="External"/><Relationship Id="rId1113" Type="http://schemas.openxmlformats.org/officeDocument/2006/relationships/hyperlink" Target="mailto:javieralexander91@hotmail.com" TargetMode="External"/><Relationship Id="rId1320" Type="http://schemas.openxmlformats.org/officeDocument/2006/relationships/hyperlink" Target="mailto:if0772230@gmail.com" TargetMode="External"/><Relationship Id="rId1418" Type="http://schemas.openxmlformats.org/officeDocument/2006/relationships/hyperlink" Target="mailto:mariamejia7210@gmail.com" TargetMode="External"/><Relationship Id="rId273" Type="http://schemas.openxmlformats.org/officeDocument/2006/relationships/hyperlink" Target="mailto:cecilia.quindo.iiasa@gmail.com" TargetMode="External"/><Relationship Id="rId480" Type="http://schemas.openxmlformats.org/officeDocument/2006/relationships/hyperlink" Target="mailto:yubinorma@gmail.com" TargetMode="External"/><Relationship Id="rId133" Type="http://schemas.openxmlformats.org/officeDocument/2006/relationships/hyperlink" Target="mailto:rosasisalema@hotmail.com" TargetMode="External"/><Relationship Id="rId340" Type="http://schemas.openxmlformats.org/officeDocument/2006/relationships/hyperlink" Target="mailto:maritzaglt@hotmail.com" TargetMode="External"/><Relationship Id="rId578" Type="http://schemas.openxmlformats.org/officeDocument/2006/relationships/hyperlink" Target="mailto:jonathanpre2292@hotmail.com" TargetMode="External"/><Relationship Id="rId785" Type="http://schemas.openxmlformats.org/officeDocument/2006/relationships/hyperlink" Target="mailto:jaquelinegomez2012@gmail.com" TargetMode="External"/><Relationship Id="rId992" Type="http://schemas.openxmlformats.org/officeDocument/2006/relationships/hyperlink" Target="mailto:marielasangulozafir@yahoo.com" TargetMode="External"/><Relationship Id="rId200" Type="http://schemas.openxmlformats.org/officeDocument/2006/relationships/hyperlink" Target="mailto:fidelalejandromartingonzalez@gmail.com" TargetMode="External"/><Relationship Id="rId438" Type="http://schemas.openxmlformats.org/officeDocument/2006/relationships/hyperlink" Target="mailto:gabrielsolorzanopintado@gmail.com" TargetMode="External"/><Relationship Id="rId645" Type="http://schemas.openxmlformats.org/officeDocument/2006/relationships/hyperlink" Target="mailto:estherniles2@hotmail.com" TargetMode="External"/><Relationship Id="rId852" Type="http://schemas.openxmlformats.org/officeDocument/2006/relationships/hyperlink" Target="mailto:byronjimenez575@gmail.com" TargetMode="External"/><Relationship Id="rId1068" Type="http://schemas.openxmlformats.org/officeDocument/2006/relationships/hyperlink" Target="mailto:patricio7146@gmail.com" TargetMode="External"/><Relationship Id="rId1275" Type="http://schemas.openxmlformats.org/officeDocument/2006/relationships/hyperlink" Target="mailto:clinicalente@gmail.com" TargetMode="External"/><Relationship Id="rId1482" Type="http://schemas.openxmlformats.org/officeDocument/2006/relationships/hyperlink" Target="mailto:saby.yugcha15@gmail.com" TargetMode="External"/><Relationship Id="rId505" Type="http://schemas.openxmlformats.org/officeDocument/2006/relationships/hyperlink" Target="mailto:pautacarlos57@gmail.com" TargetMode="External"/><Relationship Id="rId712" Type="http://schemas.openxmlformats.org/officeDocument/2006/relationships/hyperlink" Target="mailto:stevanv-@outlook.es" TargetMode="External"/><Relationship Id="rId1135" Type="http://schemas.openxmlformats.org/officeDocument/2006/relationships/hyperlink" Target="mailto:leonotorres85@gmail.com" TargetMode="External"/><Relationship Id="rId1342" Type="http://schemas.openxmlformats.org/officeDocument/2006/relationships/hyperlink" Target="mailto:yelitzamiranda2013@hotmail.com" TargetMode="External"/><Relationship Id="rId79" Type="http://schemas.openxmlformats.org/officeDocument/2006/relationships/hyperlink" Target="mailto:susy-85282004@hotmail.com" TargetMode="External"/><Relationship Id="rId1202" Type="http://schemas.openxmlformats.org/officeDocument/2006/relationships/hyperlink" Target="mailto:canottues@gmail.com" TargetMode="External"/><Relationship Id="rId1507" Type="http://schemas.openxmlformats.org/officeDocument/2006/relationships/hyperlink" Target="mailto:kathy1.aguilar1970@gmail.com" TargetMode="External"/><Relationship Id="rId295" Type="http://schemas.openxmlformats.org/officeDocument/2006/relationships/hyperlink" Target="mailto:estefaniagancha2009@gmail.com" TargetMode="External"/><Relationship Id="rId155" Type="http://schemas.openxmlformats.org/officeDocument/2006/relationships/hyperlink" Target="mailto:do_marce@yahoo.es" TargetMode="External"/><Relationship Id="rId362" Type="http://schemas.openxmlformats.org/officeDocument/2006/relationships/hyperlink" Target="mailto:edmarmolr@hotmail.com" TargetMode="External"/><Relationship Id="rId1297" Type="http://schemas.openxmlformats.org/officeDocument/2006/relationships/hyperlink" Target="mailto:bethsabeas_2000@hotmail.com" TargetMode="External"/><Relationship Id="rId222" Type="http://schemas.openxmlformats.org/officeDocument/2006/relationships/hyperlink" Target="mailto:ccarlosdechordeleg@gmail.com" TargetMode="External"/><Relationship Id="rId667" Type="http://schemas.openxmlformats.org/officeDocument/2006/relationships/hyperlink" Target="mailto:marguito97@gmail.com" TargetMode="External"/><Relationship Id="rId874" Type="http://schemas.openxmlformats.org/officeDocument/2006/relationships/hyperlink" Target="mailto:carloscoraiza255@gmail.com" TargetMode="External"/><Relationship Id="rId527" Type="http://schemas.openxmlformats.org/officeDocument/2006/relationships/hyperlink" Target="mailto:jazly.26@hotmail.com" TargetMode="External"/><Relationship Id="rId734" Type="http://schemas.openxmlformats.org/officeDocument/2006/relationships/hyperlink" Target="mailto:marengelruiz@yahoo.es" TargetMode="External"/><Relationship Id="rId941" Type="http://schemas.openxmlformats.org/officeDocument/2006/relationships/hyperlink" Target="mailto:eduardobaque.159@gmail.com" TargetMode="External"/><Relationship Id="rId1157" Type="http://schemas.openxmlformats.org/officeDocument/2006/relationships/hyperlink" Target="mailto:velasquez.jesus2018@hotmail.com" TargetMode="External"/><Relationship Id="rId1364" Type="http://schemas.openxmlformats.org/officeDocument/2006/relationships/hyperlink" Target="mailto:holgertb@gmail.com" TargetMode="External"/><Relationship Id="rId70" Type="http://schemas.openxmlformats.org/officeDocument/2006/relationships/hyperlink" Target="mailto:angieyanezs12@yahoo.es" TargetMode="External"/><Relationship Id="rId801" Type="http://schemas.openxmlformats.org/officeDocument/2006/relationships/hyperlink" Target="mailto:giseelacalero@gmail.com" TargetMode="External"/><Relationship Id="rId1017" Type="http://schemas.openxmlformats.org/officeDocument/2006/relationships/hyperlink" Target="mailto:albigpl@hotmail.com" TargetMode="External"/><Relationship Id="rId1224" Type="http://schemas.openxmlformats.org/officeDocument/2006/relationships/hyperlink" Target="mailto:ochoamichelle97@gmail.com" TargetMode="External"/><Relationship Id="rId1431" Type="http://schemas.openxmlformats.org/officeDocument/2006/relationships/hyperlink" Target="mailto:joserobertozamoracordova@gmail.com" TargetMode="External"/><Relationship Id="rId28" Type="http://schemas.openxmlformats.org/officeDocument/2006/relationships/hyperlink" Target="mailto:dianis64_ds@hotmail.com" TargetMode="External"/><Relationship Id="rId177" Type="http://schemas.openxmlformats.org/officeDocument/2006/relationships/hyperlink" Target="mailto:luisorlando441@gmail.com" TargetMode="External"/><Relationship Id="rId384" Type="http://schemas.openxmlformats.org/officeDocument/2006/relationships/hyperlink" Target="mailto:leonela595@gmail.com" TargetMode="External"/><Relationship Id="rId591" Type="http://schemas.openxmlformats.org/officeDocument/2006/relationships/hyperlink" Target="mailto:jjsgfox@hotmail.com" TargetMode="External"/><Relationship Id="rId244" Type="http://schemas.openxmlformats.org/officeDocument/2006/relationships/hyperlink" Target="mailto:sebastianbarcogomez@gmail.com" TargetMode="External"/><Relationship Id="rId689" Type="http://schemas.openxmlformats.org/officeDocument/2006/relationships/hyperlink" Target="mailto:dillivicota@gmail.com" TargetMode="External"/><Relationship Id="rId896" Type="http://schemas.openxmlformats.org/officeDocument/2006/relationships/hyperlink" Target="mailto:danny_liga99@hotmail.com" TargetMode="External"/><Relationship Id="rId1081" Type="http://schemas.openxmlformats.org/officeDocument/2006/relationships/hyperlink" Target="mailto:jaimearturogutierrezrivera@gmail.com" TargetMode="External"/><Relationship Id="rId451" Type="http://schemas.openxmlformats.org/officeDocument/2006/relationships/hyperlink" Target="mailto:josecs1967@yahoo.com" TargetMode="External"/><Relationship Id="rId549" Type="http://schemas.openxmlformats.org/officeDocument/2006/relationships/hyperlink" Target="mailto:jotab.16@hotmail.com" TargetMode="External"/><Relationship Id="rId756" Type="http://schemas.openxmlformats.org/officeDocument/2006/relationships/hyperlink" Target="mailto:lizethvelez81@hotmail.com" TargetMode="External"/><Relationship Id="rId1179" Type="http://schemas.openxmlformats.org/officeDocument/2006/relationships/hyperlink" Target="mailto:anmar_b96@hotmail.com" TargetMode="External"/><Relationship Id="rId1386" Type="http://schemas.openxmlformats.org/officeDocument/2006/relationships/hyperlink" Target="mailto:diana.oviedo@unl.ud.es" TargetMode="External"/><Relationship Id="rId104" Type="http://schemas.openxmlformats.org/officeDocument/2006/relationships/hyperlink" Target="mailto:angelabermudez834@gmail.com" TargetMode="External"/><Relationship Id="rId311" Type="http://schemas.openxmlformats.org/officeDocument/2006/relationships/hyperlink" Target="mailto:joyauri31@hotmail.com" TargetMode="External"/><Relationship Id="rId409" Type="http://schemas.openxmlformats.org/officeDocument/2006/relationships/hyperlink" Target="mailto:cuevanubia@yahoo.es" TargetMode="External"/><Relationship Id="rId963" Type="http://schemas.openxmlformats.org/officeDocument/2006/relationships/hyperlink" Target="mailto:garciahenrygtt97@outlook.com" TargetMode="External"/><Relationship Id="rId1039" Type="http://schemas.openxmlformats.org/officeDocument/2006/relationships/hyperlink" Target="mailto:yessyaz1977@hotmail.com" TargetMode="External"/><Relationship Id="rId1246" Type="http://schemas.openxmlformats.org/officeDocument/2006/relationships/hyperlink" Target="mailto:drrrenteria@gmail.com" TargetMode="External"/><Relationship Id="rId92" Type="http://schemas.openxmlformats.org/officeDocument/2006/relationships/hyperlink" Target="mailto:luis-vera-1994@outlook.com" TargetMode="External"/><Relationship Id="rId616" Type="http://schemas.openxmlformats.org/officeDocument/2006/relationships/hyperlink" Target="mailto:sumbairma84@gmail.com" TargetMode="External"/><Relationship Id="rId823" Type="http://schemas.openxmlformats.org/officeDocument/2006/relationships/hyperlink" Target="mailto:tomuizanandito@hotmail.com" TargetMode="External"/><Relationship Id="rId1453" Type="http://schemas.openxmlformats.org/officeDocument/2006/relationships/hyperlink" Target="mailto:ludwinpmorales@hotmail.com" TargetMode="External"/><Relationship Id="rId1106" Type="http://schemas.openxmlformats.org/officeDocument/2006/relationships/hyperlink" Target="mailto:angelinefgg@gmail.com" TargetMode="External"/><Relationship Id="rId1313" Type="http://schemas.openxmlformats.org/officeDocument/2006/relationships/hyperlink" Target="mailto:santiagolondo@yahoo.com" TargetMode="External"/><Relationship Id="rId1520" Type="http://schemas.openxmlformats.org/officeDocument/2006/relationships/vmlDrawing" Target="../drawings/vmlDrawing1.vml"/><Relationship Id="rId199" Type="http://schemas.openxmlformats.org/officeDocument/2006/relationships/hyperlink" Target="mailto:cabrerazuniga1961@gmail.com" TargetMode="External"/><Relationship Id="rId266" Type="http://schemas.openxmlformats.org/officeDocument/2006/relationships/hyperlink" Target="mailto:tecw@velive.com" TargetMode="External"/><Relationship Id="rId473" Type="http://schemas.openxmlformats.org/officeDocument/2006/relationships/hyperlink" Target="mailto:marilore2712@gmail.com" TargetMode="External"/><Relationship Id="rId680" Type="http://schemas.openxmlformats.org/officeDocument/2006/relationships/hyperlink" Target="mailto:chsolis99@hotmail.com" TargetMode="External"/><Relationship Id="rId126" Type="http://schemas.openxmlformats.org/officeDocument/2006/relationships/hyperlink" Target="mailto:rosa_giron_jimenez@hotmail.com" TargetMode="External"/><Relationship Id="rId333" Type="http://schemas.openxmlformats.org/officeDocument/2006/relationships/hyperlink" Target="mailto:kitolopez2@hotmail.com" TargetMode="External"/><Relationship Id="rId540" Type="http://schemas.openxmlformats.org/officeDocument/2006/relationships/hyperlink" Target="mailto:wilsonmera960@gmail.com" TargetMode="External"/><Relationship Id="rId778" Type="http://schemas.openxmlformats.org/officeDocument/2006/relationships/hyperlink" Target="mailto:isabelzambrano@hotmail.com" TargetMode="External"/><Relationship Id="rId985" Type="http://schemas.openxmlformats.org/officeDocument/2006/relationships/hyperlink" Target="mailto:eloyalban@hotmail.com" TargetMode="External"/><Relationship Id="rId1170" Type="http://schemas.openxmlformats.org/officeDocument/2006/relationships/hyperlink" Target="mailto:doniluis17@gmail.com" TargetMode="External"/><Relationship Id="rId638" Type="http://schemas.openxmlformats.org/officeDocument/2006/relationships/hyperlink" Target="mailto:ofeliaaleman@hotmai&#241;.com" TargetMode="External"/><Relationship Id="rId845" Type="http://schemas.openxmlformats.org/officeDocument/2006/relationships/hyperlink" Target="mailto:majo62100486@hotmail.com" TargetMode="External"/><Relationship Id="rId1030" Type="http://schemas.openxmlformats.org/officeDocument/2006/relationships/hyperlink" Target="mailto:industriasarben@gmail.com" TargetMode="External"/><Relationship Id="rId1268" Type="http://schemas.openxmlformats.org/officeDocument/2006/relationships/hyperlink" Target="mailto:sandra.sf1988@gmail.com" TargetMode="External"/><Relationship Id="rId1475" Type="http://schemas.openxmlformats.org/officeDocument/2006/relationships/hyperlink" Target="mailto:0991656210az@gmail.com" TargetMode="External"/><Relationship Id="rId400" Type="http://schemas.openxmlformats.org/officeDocument/2006/relationships/hyperlink" Target="mailto:ernestorosadolopez123@gmail.com" TargetMode="External"/><Relationship Id="rId705" Type="http://schemas.openxmlformats.org/officeDocument/2006/relationships/hyperlink" Target="mailto:lauteria29cv@gmail.com" TargetMode="External"/><Relationship Id="rId1128" Type="http://schemas.openxmlformats.org/officeDocument/2006/relationships/hyperlink" Target="mailto:ogonzabay_e@hotmail.com" TargetMode="External"/><Relationship Id="rId1335" Type="http://schemas.openxmlformats.org/officeDocument/2006/relationships/hyperlink" Target="mailto:jackitafeis@outlook.com" TargetMode="External"/><Relationship Id="rId912" Type="http://schemas.openxmlformats.org/officeDocument/2006/relationships/hyperlink" Target="mailto:molorenare@gma.com" TargetMode="External"/><Relationship Id="rId41" Type="http://schemas.openxmlformats.org/officeDocument/2006/relationships/hyperlink" Target="mailto:adry_velezortiz@hotmail.com" TargetMode="External"/><Relationship Id="rId1402" Type="http://schemas.openxmlformats.org/officeDocument/2006/relationships/hyperlink" Target="mailto:jipsonsolorzano@hotmail.com" TargetMode="External"/><Relationship Id="rId190" Type="http://schemas.openxmlformats.org/officeDocument/2006/relationships/hyperlink" Target="mailto:maryuric9927@gmail.com" TargetMode="External"/><Relationship Id="rId288" Type="http://schemas.openxmlformats.org/officeDocument/2006/relationships/hyperlink" Target="mailto:carloschourio26@gmail.com" TargetMode="External"/><Relationship Id="rId495" Type="http://schemas.openxmlformats.org/officeDocument/2006/relationships/hyperlink" Target="mailto:edisoneduardo03@gmail.com" TargetMode="External"/><Relationship Id="rId716" Type="http://schemas.openxmlformats.org/officeDocument/2006/relationships/hyperlink" Target="mailto:joseantonio-chf@outlook.es" TargetMode="External"/><Relationship Id="rId923" Type="http://schemas.openxmlformats.org/officeDocument/2006/relationships/hyperlink" Target="mailto:patiadasn@gmail.com" TargetMode="External"/><Relationship Id="rId52" Type="http://schemas.openxmlformats.org/officeDocument/2006/relationships/hyperlink" Target="mailto:yessylore30@gmail.com" TargetMode="External"/><Relationship Id="rId148" Type="http://schemas.openxmlformats.org/officeDocument/2006/relationships/hyperlink" Target="mailto:freidequille@gmail.com" TargetMode="External"/><Relationship Id="rId355" Type="http://schemas.openxmlformats.org/officeDocument/2006/relationships/hyperlink" Target="mailto:hinostrosat68@hotmail.com" TargetMode="External"/><Relationship Id="rId562" Type="http://schemas.openxmlformats.org/officeDocument/2006/relationships/hyperlink" Target="mailto:tuarezvicente1965@outlook.com" TargetMode="External"/><Relationship Id="rId1192" Type="http://schemas.openxmlformats.org/officeDocument/2006/relationships/hyperlink" Target="mailto:hellenlandaeta@gmail.com" TargetMode="External"/><Relationship Id="rId1206" Type="http://schemas.openxmlformats.org/officeDocument/2006/relationships/hyperlink" Target="mailto:kattyruiz65@gmail.com" TargetMode="External"/><Relationship Id="rId1413" Type="http://schemas.openxmlformats.org/officeDocument/2006/relationships/hyperlink" Target="mailto:tatyadri1987@gmail.com" TargetMode="External"/><Relationship Id="rId215" Type="http://schemas.openxmlformats.org/officeDocument/2006/relationships/hyperlink" Target="mailto:betty28vasquez@gmail.com" TargetMode="External"/><Relationship Id="rId422" Type="http://schemas.openxmlformats.org/officeDocument/2006/relationships/hyperlink" Target="mailto:cbcto@hotmail.es" TargetMode="External"/><Relationship Id="rId867" Type="http://schemas.openxmlformats.org/officeDocument/2006/relationships/hyperlink" Target="mailto:paullespaulo@hotmail.com" TargetMode="External"/><Relationship Id="rId1052" Type="http://schemas.openxmlformats.org/officeDocument/2006/relationships/hyperlink" Target="mailto:ron.y.1988@hotmail.com" TargetMode="External"/><Relationship Id="rId1497" Type="http://schemas.openxmlformats.org/officeDocument/2006/relationships/hyperlink" Target="mailto:danimuyo31@gmail.com" TargetMode="External"/><Relationship Id="rId299" Type="http://schemas.openxmlformats.org/officeDocument/2006/relationships/hyperlink" Target="mailto:prminchala@gmai.com" TargetMode="External"/><Relationship Id="rId727" Type="http://schemas.openxmlformats.org/officeDocument/2006/relationships/hyperlink" Target="mailto:gatol-89@hotmail.com" TargetMode="External"/><Relationship Id="rId934" Type="http://schemas.openxmlformats.org/officeDocument/2006/relationships/hyperlink" Target="mailto:editacox26@gmail.com" TargetMode="External"/><Relationship Id="rId1357" Type="http://schemas.openxmlformats.org/officeDocument/2006/relationships/hyperlink" Target="mailto:condemaitamary@gmail.com" TargetMode="External"/><Relationship Id="rId63" Type="http://schemas.openxmlformats.org/officeDocument/2006/relationships/hyperlink" Target="mailto:mariana-147@hotmail.com" TargetMode="External"/><Relationship Id="rId159" Type="http://schemas.openxmlformats.org/officeDocument/2006/relationships/hyperlink" Target="mailto:luis.heras1973@gmail.com" TargetMode="External"/><Relationship Id="rId366" Type="http://schemas.openxmlformats.org/officeDocument/2006/relationships/hyperlink" Target="mailto:cspp77@gmail.com" TargetMode="External"/><Relationship Id="rId573" Type="http://schemas.openxmlformats.org/officeDocument/2006/relationships/hyperlink" Target="mailto:inomarr@gmail.com" TargetMode="External"/><Relationship Id="rId780" Type="http://schemas.openxmlformats.org/officeDocument/2006/relationships/hyperlink" Target="mailto:duarteangelica321@gmail.com" TargetMode="External"/><Relationship Id="rId1217" Type="http://schemas.openxmlformats.org/officeDocument/2006/relationships/hyperlink" Target="mailto:alexizambrano1952@gmail.com" TargetMode="External"/><Relationship Id="rId1424" Type="http://schemas.openxmlformats.org/officeDocument/2006/relationships/hyperlink" Target="mailto:pluanorma16@gmail.com" TargetMode="External"/><Relationship Id="rId226" Type="http://schemas.openxmlformats.org/officeDocument/2006/relationships/hyperlink" Target="mailto:eugenialbarracin2019@gmail.com" TargetMode="External"/><Relationship Id="rId433" Type="http://schemas.openxmlformats.org/officeDocument/2006/relationships/hyperlink" Target="mailto:caro_jimenex55_90@hotmail.com" TargetMode="External"/><Relationship Id="rId878" Type="http://schemas.openxmlformats.org/officeDocument/2006/relationships/hyperlink" Target="mailto:ledut66@gmail.com" TargetMode="External"/><Relationship Id="rId1063" Type="http://schemas.openxmlformats.org/officeDocument/2006/relationships/hyperlink" Target="mailto:freddymorocho.76@hotmail.com" TargetMode="External"/><Relationship Id="rId1270" Type="http://schemas.openxmlformats.org/officeDocument/2006/relationships/hyperlink" Target="mailto:efwras08@gmail.com" TargetMode="External"/><Relationship Id="rId640" Type="http://schemas.openxmlformats.org/officeDocument/2006/relationships/hyperlink" Target="mailto:absergiocenteno@hotmail.com" TargetMode="External"/><Relationship Id="rId738" Type="http://schemas.openxmlformats.org/officeDocument/2006/relationships/hyperlink" Target="mailto:jennifer.aponthe912@gmail.com" TargetMode="External"/><Relationship Id="rId945" Type="http://schemas.openxmlformats.org/officeDocument/2006/relationships/hyperlink" Target="mailto:guanuchejuan53@gmail.com" TargetMode="External"/><Relationship Id="rId1368" Type="http://schemas.openxmlformats.org/officeDocument/2006/relationships/hyperlink" Target="mailto:yadirapuma46@gmail.com" TargetMode="External"/><Relationship Id="rId74" Type="http://schemas.openxmlformats.org/officeDocument/2006/relationships/hyperlink" Target="mailto:tatime229@hotmail.com" TargetMode="External"/><Relationship Id="rId377" Type="http://schemas.openxmlformats.org/officeDocument/2006/relationships/hyperlink" Target="mailto:bbombont1984@gmail.com" TargetMode="External"/><Relationship Id="rId500" Type="http://schemas.openxmlformats.org/officeDocument/2006/relationships/hyperlink" Target="mailto:ramonvinicio090@gmail.com" TargetMode="External"/><Relationship Id="rId584" Type="http://schemas.openxmlformats.org/officeDocument/2006/relationships/hyperlink" Target="mailto:aquilesdany@hotmail.com" TargetMode="External"/><Relationship Id="rId805" Type="http://schemas.openxmlformats.org/officeDocument/2006/relationships/hyperlink" Target="mailto:aditalozadamendez@hotmail.com" TargetMode="External"/><Relationship Id="rId1130" Type="http://schemas.openxmlformats.org/officeDocument/2006/relationships/hyperlink" Target="mailto:berlyvinces_enr2500@hotmail.com" TargetMode="External"/><Relationship Id="rId1228" Type="http://schemas.openxmlformats.org/officeDocument/2006/relationships/hyperlink" Target="mailto:maryelena_cepeda@hotmail.com" TargetMode="External"/><Relationship Id="rId1435" Type="http://schemas.openxmlformats.org/officeDocument/2006/relationships/hyperlink" Target="mailto:bryangomez_93j6@hotmail.com" TargetMode="External"/><Relationship Id="rId5" Type="http://schemas.openxmlformats.org/officeDocument/2006/relationships/hyperlink" Target="mailto:martrocifuvasc@gmail.com" TargetMode="External"/><Relationship Id="rId237" Type="http://schemas.openxmlformats.org/officeDocument/2006/relationships/hyperlink" Target="mailto:herli_azulita@hotmail.com" TargetMode="External"/><Relationship Id="rId791" Type="http://schemas.openxmlformats.org/officeDocument/2006/relationships/hyperlink" Target="mailto:zambranoalbita@gmail.com" TargetMode="External"/><Relationship Id="rId889" Type="http://schemas.openxmlformats.org/officeDocument/2006/relationships/hyperlink" Target="mailto:tebo95_esteban@hotmail.com" TargetMode="External"/><Relationship Id="rId1074" Type="http://schemas.openxmlformats.org/officeDocument/2006/relationships/hyperlink" Target="mailto:elymb331@gmail.com" TargetMode="External"/><Relationship Id="rId444" Type="http://schemas.openxmlformats.org/officeDocument/2006/relationships/hyperlink" Target="mailto:raulptn.25@gmail.com" TargetMode="External"/><Relationship Id="rId651" Type="http://schemas.openxmlformats.org/officeDocument/2006/relationships/hyperlink" Target="mailto:yadieli1994@gmail.com" TargetMode="External"/><Relationship Id="rId749" Type="http://schemas.openxmlformats.org/officeDocument/2006/relationships/hyperlink" Target="mailto:moritaehb@hotmail.com" TargetMode="External"/><Relationship Id="rId1281" Type="http://schemas.openxmlformats.org/officeDocument/2006/relationships/hyperlink" Target="mailto:cajamarcacarlos98@gmail.com" TargetMode="External"/><Relationship Id="rId1379" Type="http://schemas.openxmlformats.org/officeDocument/2006/relationships/hyperlink" Target="mailto:tribalanzategui@gmail.com" TargetMode="External"/><Relationship Id="rId1502" Type="http://schemas.openxmlformats.org/officeDocument/2006/relationships/hyperlink" Target="mailto:chanopato67@hotmail.es" TargetMode="External"/><Relationship Id="rId290" Type="http://schemas.openxmlformats.org/officeDocument/2006/relationships/hyperlink" Target="mailto:rubenalexmoposita00@gmail.com" TargetMode="External"/><Relationship Id="rId304" Type="http://schemas.openxmlformats.org/officeDocument/2006/relationships/hyperlink" Target="mailto:mayu_dul@hotmail.com" TargetMode="External"/><Relationship Id="rId388" Type="http://schemas.openxmlformats.org/officeDocument/2006/relationships/hyperlink" Target="mailto:floreswilson650@gmail.com" TargetMode="External"/><Relationship Id="rId511" Type="http://schemas.openxmlformats.org/officeDocument/2006/relationships/hyperlink" Target="mailto:michael_98_ver@hotmail.com" TargetMode="External"/><Relationship Id="rId609" Type="http://schemas.openxmlformats.org/officeDocument/2006/relationships/hyperlink" Target="mailto:angelquezada1975@gmail.com" TargetMode="External"/><Relationship Id="rId956" Type="http://schemas.openxmlformats.org/officeDocument/2006/relationships/hyperlink" Target="mailto:cedenow170@gmail.com" TargetMode="External"/><Relationship Id="rId1141" Type="http://schemas.openxmlformats.org/officeDocument/2006/relationships/hyperlink" Target="mailto:jmendoza20202@gmail.com" TargetMode="External"/><Relationship Id="rId1239" Type="http://schemas.openxmlformats.org/officeDocument/2006/relationships/hyperlink" Target="mailto:luis86alvear@gmail.com" TargetMode="External"/><Relationship Id="rId85" Type="http://schemas.openxmlformats.org/officeDocument/2006/relationships/hyperlink" Target="mailto:leuxer@hotmail.com" TargetMode="External"/><Relationship Id="rId150" Type="http://schemas.openxmlformats.org/officeDocument/2006/relationships/hyperlink" Target="mailto:gugavin@hotmail.com" TargetMode="External"/><Relationship Id="rId595" Type="http://schemas.openxmlformats.org/officeDocument/2006/relationships/hyperlink" Target="mailto:garcesalex358@gmail.com" TargetMode="External"/><Relationship Id="rId816" Type="http://schemas.openxmlformats.org/officeDocument/2006/relationships/hyperlink" Target="mailto:hvjx4@hotmail.com" TargetMode="External"/><Relationship Id="rId1001" Type="http://schemas.openxmlformats.org/officeDocument/2006/relationships/hyperlink" Target="mailto:rosyunaucho@gmail.com" TargetMode="External"/><Relationship Id="rId1446" Type="http://schemas.openxmlformats.org/officeDocument/2006/relationships/hyperlink" Target="mailto:ceciliacuenca1980@gmail.com" TargetMode="External"/><Relationship Id="rId248" Type="http://schemas.openxmlformats.org/officeDocument/2006/relationships/hyperlink" Target="mailto:nelita_jaya@yahoo.com" TargetMode="External"/><Relationship Id="rId455" Type="http://schemas.openxmlformats.org/officeDocument/2006/relationships/hyperlink" Target="mailto:viguserpa@yahoo.com" TargetMode="External"/><Relationship Id="rId662" Type="http://schemas.openxmlformats.org/officeDocument/2006/relationships/hyperlink" Target="mailto:jg.obandomendoza@gmail.com" TargetMode="External"/><Relationship Id="rId1085" Type="http://schemas.openxmlformats.org/officeDocument/2006/relationships/hyperlink" Target="mailto:jessydel25@hotmail.com" TargetMode="External"/><Relationship Id="rId1292" Type="http://schemas.openxmlformats.org/officeDocument/2006/relationships/hyperlink" Target="mailto:zambriel87@gmail.com" TargetMode="External"/><Relationship Id="rId1306" Type="http://schemas.openxmlformats.org/officeDocument/2006/relationships/hyperlink" Target="mailto:kahta_ma6@hotmail.com" TargetMode="External"/><Relationship Id="rId1513" Type="http://schemas.openxmlformats.org/officeDocument/2006/relationships/hyperlink" Target="mailto:ctenezacaa@hotmail.com" TargetMode="External"/><Relationship Id="rId12" Type="http://schemas.openxmlformats.org/officeDocument/2006/relationships/hyperlink" Target="mailto:axquicobo@gmail.com" TargetMode="External"/><Relationship Id="rId108" Type="http://schemas.openxmlformats.org/officeDocument/2006/relationships/hyperlink" Target="mailto:rosialvarezt@hotmail.com" TargetMode="External"/><Relationship Id="rId315" Type="http://schemas.openxmlformats.org/officeDocument/2006/relationships/hyperlink" Target="mailto:ramvaldiveso@hotmail.com" TargetMode="External"/><Relationship Id="rId522" Type="http://schemas.openxmlformats.org/officeDocument/2006/relationships/hyperlink" Target="mailto:edison-chanchay@hotmail.com" TargetMode="External"/><Relationship Id="rId967" Type="http://schemas.openxmlformats.org/officeDocument/2006/relationships/hyperlink" Target="mailto:glasol@live.com" TargetMode="External"/><Relationship Id="rId1152" Type="http://schemas.openxmlformats.org/officeDocument/2006/relationships/hyperlink" Target="mailto:gastonvergara7@yahoo.es" TargetMode="External"/><Relationship Id="rId96" Type="http://schemas.openxmlformats.org/officeDocument/2006/relationships/hyperlink" Target="mailto:garcia1455@hotmail.com" TargetMode="External"/><Relationship Id="rId161" Type="http://schemas.openxmlformats.org/officeDocument/2006/relationships/hyperlink" Target="mailto:zeusade260@live.com" TargetMode="External"/><Relationship Id="rId399" Type="http://schemas.openxmlformats.org/officeDocument/2006/relationships/hyperlink" Target="mailto:mariaelenalaaz@hotmail.com" TargetMode="External"/><Relationship Id="rId827" Type="http://schemas.openxmlformats.org/officeDocument/2006/relationships/hyperlink" Target="mailto:changodenis2017@gmail.com" TargetMode="External"/><Relationship Id="rId1012" Type="http://schemas.openxmlformats.org/officeDocument/2006/relationships/hyperlink" Target="mailto:guidopolivio201508@hotmail.com" TargetMode="External"/><Relationship Id="rId1457" Type="http://schemas.openxmlformats.org/officeDocument/2006/relationships/hyperlink" Target="mailto:ampalanda@hotmail.com" TargetMode="External"/><Relationship Id="rId259" Type="http://schemas.openxmlformats.org/officeDocument/2006/relationships/hyperlink" Target="mailto:magiemaya@hotmail.es" TargetMode="External"/><Relationship Id="rId466" Type="http://schemas.openxmlformats.org/officeDocument/2006/relationships/hyperlink" Target="mailto:psimero.d.fierro.noemi@gmail.com" TargetMode="External"/><Relationship Id="rId673" Type="http://schemas.openxmlformats.org/officeDocument/2006/relationships/hyperlink" Target="mailto:gloriamp1960@hotmail.com" TargetMode="External"/><Relationship Id="rId880" Type="http://schemas.openxmlformats.org/officeDocument/2006/relationships/hyperlink" Target="mailto:elyvan1@hotmail.com" TargetMode="External"/><Relationship Id="rId1096" Type="http://schemas.openxmlformats.org/officeDocument/2006/relationships/hyperlink" Target="mailto:milbacedeno@hotmail.com" TargetMode="External"/><Relationship Id="rId1317" Type="http://schemas.openxmlformats.org/officeDocument/2006/relationships/hyperlink" Target="mailto:remacheana94@gmail.com" TargetMode="External"/><Relationship Id="rId23" Type="http://schemas.openxmlformats.org/officeDocument/2006/relationships/hyperlink" Target="mailto:panbel230291@gmail.com" TargetMode="External"/><Relationship Id="rId119" Type="http://schemas.openxmlformats.org/officeDocument/2006/relationships/hyperlink" Target="mailto:jeyssidaniela90@hotmail.com" TargetMode="External"/><Relationship Id="rId326" Type="http://schemas.openxmlformats.org/officeDocument/2006/relationships/hyperlink" Target="mailto:poolgto@gmail.com" TargetMode="External"/><Relationship Id="rId533" Type="http://schemas.openxmlformats.org/officeDocument/2006/relationships/hyperlink" Target="mailto:k_aelizabeth@hotmail.com" TargetMode="External"/><Relationship Id="rId978" Type="http://schemas.openxmlformats.org/officeDocument/2006/relationships/hyperlink" Target="mailto:mishiayui@hotmail.es" TargetMode="External"/><Relationship Id="rId1163" Type="http://schemas.openxmlformats.org/officeDocument/2006/relationships/hyperlink" Target="mailto:merycuenca71@gmail.com" TargetMode="External"/><Relationship Id="rId1370" Type="http://schemas.openxmlformats.org/officeDocument/2006/relationships/hyperlink" Target="mailto:valladaresmarcia823@gmail.com" TargetMode="External"/><Relationship Id="rId740" Type="http://schemas.openxmlformats.org/officeDocument/2006/relationships/hyperlink" Target="mailto:solorzanoyuneski@gmail.com" TargetMode="External"/><Relationship Id="rId838" Type="http://schemas.openxmlformats.org/officeDocument/2006/relationships/hyperlink" Target="mailto:washo1907@hotmail.com" TargetMode="External"/><Relationship Id="rId1023" Type="http://schemas.openxmlformats.org/officeDocument/2006/relationships/hyperlink" Target="mailto:vro5680@gmail.com" TargetMode="External"/><Relationship Id="rId1468" Type="http://schemas.openxmlformats.org/officeDocument/2006/relationships/hyperlink" Target="mailto:yayiangela@hotmail.com" TargetMode="External"/><Relationship Id="rId172" Type="http://schemas.openxmlformats.org/officeDocument/2006/relationships/hyperlink" Target="mailto:gatitajaqueline@hotmail.com" TargetMode="External"/><Relationship Id="rId477" Type="http://schemas.openxmlformats.org/officeDocument/2006/relationships/hyperlink" Target="mailto:mary_vilema@hotmail.com" TargetMode="External"/><Relationship Id="rId600" Type="http://schemas.openxmlformats.org/officeDocument/2006/relationships/hyperlink" Target="mailto:irdavas@gmail.com" TargetMode="External"/><Relationship Id="rId684" Type="http://schemas.openxmlformats.org/officeDocument/2006/relationships/hyperlink" Target="mailto:bryonavilesch@gmail.com" TargetMode="External"/><Relationship Id="rId1230" Type="http://schemas.openxmlformats.org/officeDocument/2006/relationships/hyperlink" Target="mailto:pattychicaiza@gmail.com" TargetMode="External"/><Relationship Id="rId1328" Type="http://schemas.openxmlformats.org/officeDocument/2006/relationships/hyperlink" Target="mailto:luisrobellyr1991@hotmail.com" TargetMode="External"/><Relationship Id="rId337" Type="http://schemas.openxmlformats.org/officeDocument/2006/relationships/hyperlink" Target="mailto:cparedeselectric@hotmail.com" TargetMode="External"/><Relationship Id="rId891" Type="http://schemas.openxmlformats.org/officeDocument/2006/relationships/hyperlink" Target="mailto:durantrucks@gmail.com" TargetMode="External"/><Relationship Id="rId905" Type="http://schemas.openxmlformats.org/officeDocument/2006/relationships/hyperlink" Target="mailto:jorgetegalazo@yahoo.com" TargetMode="External"/><Relationship Id="rId989" Type="http://schemas.openxmlformats.org/officeDocument/2006/relationships/hyperlink" Target="mailto:juan5262-@hotmail.com" TargetMode="External"/><Relationship Id="rId34" Type="http://schemas.openxmlformats.org/officeDocument/2006/relationships/hyperlink" Target="mailto:fernandoroldan751@gmail.com" TargetMode="External"/><Relationship Id="rId544" Type="http://schemas.openxmlformats.org/officeDocument/2006/relationships/hyperlink" Target="mailto:jluis_toapanta95@outlook.com" TargetMode="External"/><Relationship Id="rId751" Type="http://schemas.openxmlformats.org/officeDocument/2006/relationships/hyperlink" Target="mailto:yulixiscano@gmail.com" TargetMode="External"/><Relationship Id="rId849" Type="http://schemas.openxmlformats.org/officeDocument/2006/relationships/hyperlink" Target="mailto:vivianaesthela35@gmail.com" TargetMode="External"/><Relationship Id="rId1174" Type="http://schemas.openxmlformats.org/officeDocument/2006/relationships/hyperlink" Target="mailto:jepaccha@hotmail.com" TargetMode="External"/><Relationship Id="rId1381" Type="http://schemas.openxmlformats.org/officeDocument/2006/relationships/hyperlink" Target="mailto:ferchispilamunga@hotmail.com" TargetMode="External"/><Relationship Id="rId1479" Type="http://schemas.openxmlformats.org/officeDocument/2006/relationships/hyperlink" Target="mailto:ms7729943@gmail.com" TargetMode="External"/><Relationship Id="rId183" Type="http://schemas.openxmlformats.org/officeDocument/2006/relationships/hyperlink" Target="mailto:tato_quinche@hotmail.com" TargetMode="External"/><Relationship Id="rId390" Type="http://schemas.openxmlformats.org/officeDocument/2006/relationships/hyperlink" Target="mailto:ani_dorsteva24@outlook.es" TargetMode="External"/><Relationship Id="rId404" Type="http://schemas.openxmlformats.org/officeDocument/2006/relationships/hyperlink" Target="mailto:yolytomala2@gmail.com" TargetMode="External"/><Relationship Id="rId611" Type="http://schemas.openxmlformats.org/officeDocument/2006/relationships/hyperlink" Target="mailto:leoalfonzobenavides@yahoo.com" TargetMode="External"/><Relationship Id="rId1034" Type="http://schemas.openxmlformats.org/officeDocument/2006/relationships/hyperlink" Target="mailto:mpao1985@hotmail.com" TargetMode="External"/><Relationship Id="rId1241" Type="http://schemas.openxmlformats.org/officeDocument/2006/relationships/hyperlink" Target="mailto:lyssy_virgo15@hotmail.com" TargetMode="External"/><Relationship Id="rId1339" Type="http://schemas.openxmlformats.org/officeDocument/2006/relationships/hyperlink" Target="mailto:stefanymacias22@gmail.com" TargetMode="External"/><Relationship Id="rId250" Type="http://schemas.openxmlformats.org/officeDocument/2006/relationships/hyperlink" Target="mailto:danielcalva_38@hotmail.com" TargetMode="External"/><Relationship Id="rId488" Type="http://schemas.openxmlformats.org/officeDocument/2006/relationships/hyperlink" Target="mailto:jonathanara16@gmail.com" TargetMode="External"/><Relationship Id="rId695" Type="http://schemas.openxmlformats.org/officeDocument/2006/relationships/hyperlink" Target="mailto:gibai0265@gmail.com" TargetMode="External"/><Relationship Id="rId709" Type="http://schemas.openxmlformats.org/officeDocument/2006/relationships/hyperlink" Target="mailto:paulvillavicencio64@gmail.com" TargetMode="External"/><Relationship Id="rId916" Type="http://schemas.openxmlformats.org/officeDocument/2006/relationships/hyperlink" Target="mailto:sarfanny@hotmail.com" TargetMode="External"/><Relationship Id="rId1101" Type="http://schemas.openxmlformats.org/officeDocument/2006/relationships/hyperlink" Target="mailto:marcelomatute19@gmail.com" TargetMode="External"/><Relationship Id="rId45" Type="http://schemas.openxmlformats.org/officeDocument/2006/relationships/hyperlink" Target="mailto:esthela-9@hotmail.com" TargetMode="External"/><Relationship Id="rId110" Type="http://schemas.openxmlformats.org/officeDocument/2006/relationships/hyperlink" Target="mailto:Rivadeneria750@gmail.com" TargetMode="External"/><Relationship Id="rId348" Type="http://schemas.openxmlformats.org/officeDocument/2006/relationships/hyperlink" Target="mailto:joelverdugo318@gmail.com" TargetMode="External"/><Relationship Id="rId555" Type="http://schemas.openxmlformats.org/officeDocument/2006/relationships/hyperlink" Target="mailto:chiandemendezysmaelefren@gmail.com" TargetMode="External"/><Relationship Id="rId762" Type="http://schemas.openxmlformats.org/officeDocument/2006/relationships/hyperlink" Target="mailto:we-sana@hotmail.com" TargetMode="External"/><Relationship Id="rId1185" Type="http://schemas.openxmlformats.org/officeDocument/2006/relationships/hyperlink" Target="mailto:ingrids1986@hotmail.com" TargetMode="External"/><Relationship Id="rId1392" Type="http://schemas.openxmlformats.org/officeDocument/2006/relationships/hyperlink" Target="mailto:jtambomorocho@gmail.com" TargetMode="External"/><Relationship Id="rId1406" Type="http://schemas.openxmlformats.org/officeDocument/2006/relationships/hyperlink" Target="mailto:mlitardo@outlook.es" TargetMode="External"/><Relationship Id="rId194" Type="http://schemas.openxmlformats.org/officeDocument/2006/relationships/hyperlink" Target="mailto:vinicioalbuja1300@gmail.com" TargetMode="External"/><Relationship Id="rId208" Type="http://schemas.openxmlformats.org/officeDocument/2006/relationships/hyperlink" Target="mailto:valentincatuto18@outlook.es" TargetMode="External"/><Relationship Id="rId415" Type="http://schemas.openxmlformats.org/officeDocument/2006/relationships/hyperlink" Target="mailto:normitabermeo@yahoo.es" TargetMode="External"/><Relationship Id="rId622" Type="http://schemas.openxmlformats.org/officeDocument/2006/relationships/hyperlink" Target="mailto:bloocorelo@gmail.com" TargetMode="External"/><Relationship Id="rId1045" Type="http://schemas.openxmlformats.org/officeDocument/2006/relationships/hyperlink" Target="mailto:soniazamora237@gmail.com" TargetMode="External"/><Relationship Id="rId1252" Type="http://schemas.openxmlformats.org/officeDocument/2006/relationships/hyperlink" Target="mailto:ibarmijos@utpl.edu.ec" TargetMode="External"/><Relationship Id="rId261" Type="http://schemas.openxmlformats.org/officeDocument/2006/relationships/hyperlink" Target="mailto:jennycarrillo1992@gmail.com" TargetMode="External"/><Relationship Id="rId499" Type="http://schemas.openxmlformats.org/officeDocument/2006/relationships/hyperlink" Target="mailto:elmarice02@gmail.com" TargetMode="External"/><Relationship Id="rId927" Type="http://schemas.openxmlformats.org/officeDocument/2006/relationships/hyperlink" Target="mailto:analuciacapillakarolis03@gmail.com" TargetMode="External"/><Relationship Id="rId1112" Type="http://schemas.openxmlformats.org/officeDocument/2006/relationships/hyperlink" Target="mailto:juliajudithbermeo@gmail.com" TargetMode="External"/><Relationship Id="rId56" Type="http://schemas.openxmlformats.org/officeDocument/2006/relationships/hyperlink" Target="mailto:eaguilar0428@gmail.com" TargetMode="External"/><Relationship Id="rId359" Type="http://schemas.openxmlformats.org/officeDocument/2006/relationships/hyperlink" Target="mailto:roquemoreira@outlook.com" TargetMode="External"/><Relationship Id="rId566" Type="http://schemas.openxmlformats.org/officeDocument/2006/relationships/hyperlink" Target="mailto:jbt_81@hotmail.com" TargetMode="External"/><Relationship Id="rId773" Type="http://schemas.openxmlformats.org/officeDocument/2006/relationships/hyperlink" Target="mailto:elisafre@hotmail.com" TargetMode="External"/><Relationship Id="rId1196" Type="http://schemas.openxmlformats.org/officeDocument/2006/relationships/hyperlink" Target="mailto:mariguaman82@gmail.com" TargetMode="External"/><Relationship Id="rId1417" Type="http://schemas.openxmlformats.org/officeDocument/2006/relationships/hyperlink" Target="mailto:junioralcivar04@hotmail.com" TargetMode="External"/><Relationship Id="rId121" Type="http://schemas.openxmlformats.org/officeDocument/2006/relationships/hyperlink" Target="mailto:saavhenry@hotmail.com" TargetMode="External"/><Relationship Id="rId219" Type="http://schemas.openxmlformats.org/officeDocument/2006/relationships/hyperlink" Target="mailto:ruthguzmca_13@hotmail.com" TargetMode="External"/><Relationship Id="rId426" Type="http://schemas.openxmlformats.org/officeDocument/2006/relationships/hyperlink" Target="mailto:vikymaza1994@gmail.com" TargetMode="External"/><Relationship Id="rId633" Type="http://schemas.openxmlformats.org/officeDocument/2006/relationships/hyperlink" Target="mailto:guillo27torres@gmail.com" TargetMode="External"/><Relationship Id="rId980" Type="http://schemas.openxmlformats.org/officeDocument/2006/relationships/hyperlink" Target="mailto:soniagrandaquinde@gmail.com" TargetMode="External"/><Relationship Id="rId1056" Type="http://schemas.openxmlformats.org/officeDocument/2006/relationships/hyperlink" Target="mailto:vcarmeorios1987@gmail.com" TargetMode="External"/><Relationship Id="rId1263" Type="http://schemas.openxmlformats.org/officeDocument/2006/relationships/hyperlink" Target="mailto:felipemacias2014@gmail.com" TargetMode="External"/><Relationship Id="rId840" Type="http://schemas.openxmlformats.org/officeDocument/2006/relationships/hyperlink" Target="mailto:scarlosocalle1212@gmail.com" TargetMode="External"/><Relationship Id="rId938" Type="http://schemas.openxmlformats.org/officeDocument/2006/relationships/hyperlink" Target="mailto:verito.arguello@gmail.com" TargetMode="External"/><Relationship Id="rId1470" Type="http://schemas.openxmlformats.org/officeDocument/2006/relationships/hyperlink" Target="mailto:anunbel19amor@gmail.com" TargetMode="External"/><Relationship Id="rId67" Type="http://schemas.openxmlformats.org/officeDocument/2006/relationships/hyperlink" Target="mailto:anaitabelen@yahoo.com" TargetMode="External"/><Relationship Id="rId272" Type="http://schemas.openxmlformats.org/officeDocument/2006/relationships/hyperlink" Target="mailto:abriones-03bsc@hotmail.com" TargetMode="External"/><Relationship Id="rId577" Type="http://schemas.openxmlformats.org/officeDocument/2006/relationships/hyperlink" Target="mailto:adrian_santiana@hotmail.com" TargetMode="External"/><Relationship Id="rId700" Type="http://schemas.openxmlformats.org/officeDocument/2006/relationships/hyperlink" Target="mailto:peraltabanchonfelix@gmail.com" TargetMode="External"/><Relationship Id="rId1123" Type="http://schemas.openxmlformats.org/officeDocument/2006/relationships/hyperlink" Target="mailto:lissette_17_31@hotmail.com" TargetMode="External"/><Relationship Id="rId1330" Type="http://schemas.openxmlformats.org/officeDocument/2006/relationships/hyperlink" Target="mailto:katty.alvarado0695@gmail.com" TargetMode="External"/><Relationship Id="rId1428" Type="http://schemas.openxmlformats.org/officeDocument/2006/relationships/hyperlink" Target="mailto:victorho669@hotmail.com" TargetMode="External"/><Relationship Id="rId132" Type="http://schemas.openxmlformats.org/officeDocument/2006/relationships/hyperlink" Target="mailto:saltosjose127@gmail.com" TargetMode="External"/><Relationship Id="rId784" Type="http://schemas.openxmlformats.org/officeDocument/2006/relationships/hyperlink" Target="mailto:bryanreyes.1993@hotmail.com" TargetMode="External"/><Relationship Id="rId991" Type="http://schemas.openxmlformats.org/officeDocument/2006/relationships/hyperlink" Target="mailto:caicedojorge529@gmail.com" TargetMode="External"/><Relationship Id="rId1067" Type="http://schemas.openxmlformats.org/officeDocument/2006/relationships/hyperlink" Target="mailto:afers@live.com" TargetMode="External"/><Relationship Id="rId437" Type="http://schemas.openxmlformats.org/officeDocument/2006/relationships/hyperlink" Target="mailto:mnarjhoo7@hotmail.com" TargetMode="External"/><Relationship Id="rId644" Type="http://schemas.openxmlformats.org/officeDocument/2006/relationships/hyperlink" Target="mailto:lpena@sisantaines.com" TargetMode="External"/><Relationship Id="rId851" Type="http://schemas.openxmlformats.org/officeDocument/2006/relationships/hyperlink" Target="mailto:maicol_seaz@hotmail.com" TargetMode="External"/><Relationship Id="rId1274" Type="http://schemas.openxmlformats.org/officeDocument/2006/relationships/hyperlink" Target="mailto:alexandramarquez319@gmail.com" TargetMode="External"/><Relationship Id="rId1481" Type="http://schemas.openxmlformats.org/officeDocument/2006/relationships/hyperlink" Target="mailto:carmitagermania@gmail.com" TargetMode="External"/><Relationship Id="rId283" Type="http://schemas.openxmlformats.org/officeDocument/2006/relationships/hyperlink" Target="mailto:orleyonate93@gmail.com" TargetMode="External"/><Relationship Id="rId490" Type="http://schemas.openxmlformats.org/officeDocument/2006/relationships/hyperlink" Target="mailto:alextaz@hotmail.com" TargetMode="External"/><Relationship Id="rId504" Type="http://schemas.openxmlformats.org/officeDocument/2006/relationships/hyperlink" Target="mailto:mpatric_ne@hotmail.com" TargetMode="External"/><Relationship Id="rId711" Type="http://schemas.openxmlformats.org/officeDocument/2006/relationships/hyperlink" Target="mailto:erikita-16@hotmail.com" TargetMode="External"/><Relationship Id="rId949" Type="http://schemas.openxmlformats.org/officeDocument/2006/relationships/hyperlink" Target="mailto:elviandrade1982@hotmail.com" TargetMode="External"/><Relationship Id="rId1134" Type="http://schemas.openxmlformats.org/officeDocument/2006/relationships/hyperlink" Target="mailto:carloalvara@gmail.com" TargetMode="External"/><Relationship Id="rId1341" Type="http://schemas.openxmlformats.org/officeDocument/2006/relationships/hyperlink" Target="mailto:pame.pinargotemedina@gmail.com" TargetMode="External"/><Relationship Id="rId78" Type="http://schemas.openxmlformats.org/officeDocument/2006/relationships/hyperlink" Target="mailto:hcordovillo@gmail.com" TargetMode="External"/><Relationship Id="rId143" Type="http://schemas.openxmlformats.org/officeDocument/2006/relationships/hyperlink" Target="mailto:wilmercando86@gmail.com" TargetMode="External"/><Relationship Id="rId350" Type="http://schemas.openxmlformats.org/officeDocument/2006/relationships/hyperlink" Target="mailto:humbertotualass@gmail.com" TargetMode="External"/><Relationship Id="rId588" Type="http://schemas.openxmlformats.org/officeDocument/2006/relationships/hyperlink" Target="mailto:melissa_eli_93@hotmail.com" TargetMode="External"/><Relationship Id="rId795" Type="http://schemas.openxmlformats.org/officeDocument/2006/relationships/hyperlink" Target="mailto:patriciabarreto10@gmail.com" TargetMode="External"/><Relationship Id="rId809" Type="http://schemas.openxmlformats.org/officeDocument/2006/relationships/hyperlink" Target="mailto:karlaecheverria671@gmail.coom" TargetMode="External"/><Relationship Id="rId1201" Type="http://schemas.openxmlformats.org/officeDocument/2006/relationships/hyperlink" Target="mailto:eduardoazanza049@gmail.com" TargetMode="External"/><Relationship Id="rId1439" Type="http://schemas.openxmlformats.org/officeDocument/2006/relationships/hyperlink" Target="mailto:diegoerraez@hotmail.com" TargetMode="External"/><Relationship Id="rId9" Type="http://schemas.openxmlformats.org/officeDocument/2006/relationships/hyperlink" Target="mailto:flavioramos19@gmail.com" TargetMode="External"/><Relationship Id="rId210" Type="http://schemas.openxmlformats.org/officeDocument/2006/relationships/hyperlink" Target="mailto:raquelcabrera1974@gmail.com" TargetMode="External"/><Relationship Id="rId448" Type="http://schemas.openxmlformats.org/officeDocument/2006/relationships/hyperlink" Target="mailto:johanna_zurita@yahoo.es" TargetMode="External"/><Relationship Id="rId655" Type="http://schemas.openxmlformats.org/officeDocument/2006/relationships/hyperlink" Target="mailto:mariadewilliams@hotmail.com" TargetMode="External"/><Relationship Id="rId862" Type="http://schemas.openxmlformats.org/officeDocument/2006/relationships/hyperlink" Target="mailto:geovanny.molinat@hotmail.com" TargetMode="External"/><Relationship Id="rId1078" Type="http://schemas.openxmlformats.org/officeDocument/2006/relationships/hyperlink" Target="mailto:luchof1956@gmail.com" TargetMode="External"/><Relationship Id="rId1285" Type="http://schemas.openxmlformats.org/officeDocument/2006/relationships/hyperlink" Target="mailto:silvinovillo1986@gmail.com" TargetMode="External"/><Relationship Id="rId1492" Type="http://schemas.openxmlformats.org/officeDocument/2006/relationships/hyperlink" Target="mailto:oscar1991yanez@hormail.com" TargetMode="External"/><Relationship Id="rId1506" Type="http://schemas.openxmlformats.org/officeDocument/2006/relationships/hyperlink" Target="mailto:byronpilatuna1972@gmail.com" TargetMode="External"/><Relationship Id="rId294" Type="http://schemas.openxmlformats.org/officeDocument/2006/relationships/hyperlink" Target="mailto:deysigavicha@gmail.com" TargetMode="External"/><Relationship Id="rId308" Type="http://schemas.openxmlformats.org/officeDocument/2006/relationships/hyperlink" Target="mailto:marcosinchire170190@gmail.com" TargetMode="External"/><Relationship Id="rId515" Type="http://schemas.openxmlformats.org/officeDocument/2006/relationships/hyperlink" Target="mailto:barreno93@hotmail.com" TargetMode="External"/><Relationship Id="rId722" Type="http://schemas.openxmlformats.org/officeDocument/2006/relationships/hyperlink" Target="mailto:denniscv11@hotmail.com" TargetMode="External"/><Relationship Id="rId1145" Type="http://schemas.openxmlformats.org/officeDocument/2006/relationships/hyperlink" Target="mailto:malenapg1964@gmail.com" TargetMode="External"/><Relationship Id="rId1352" Type="http://schemas.openxmlformats.org/officeDocument/2006/relationships/hyperlink" Target="mailto:andersonponce828@gmail.com" TargetMode="External"/><Relationship Id="rId89" Type="http://schemas.openxmlformats.org/officeDocument/2006/relationships/hyperlink" Target="mailto:cinthyajaramillo1@gmail.com" TargetMode="External"/><Relationship Id="rId154" Type="http://schemas.openxmlformats.org/officeDocument/2006/relationships/hyperlink" Target="mailto:reaangel85@gmail.com" TargetMode="External"/><Relationship Id="rId361" Type="http://schemas.openxmlformats.org/officeDocument/2006/relationships/hyperlink" Target="mailto:cjcj4968@hotmail.com" TargetMode="External"/><Relationship Id="rId599" Type="http://schemas.openxmlformats.org/officeDocument/2006/relationships/hyperlink" Target="mailto:gromeror@gmail.com" TargetMode="External"/><Relationship Id="rId1005" Type="http://schemas.openxmlformats.org/officeDocument/2006/relationships/hyperlink" Target="mailto:guamanimagaly@gmail.com" TargetMode="External"/><Relationship Id="rId1212" Type="http://schemas.openxmlformats.org/officeDocument/2006/relationships/hyperlink" Target="mailto:meche84r@hotmail.com" TargetMode="External"/><Relationship Id="rId459" Type="http://schemas.openxmlformats.org/officeDocument/2006/relationships/hyperlink" Target="mailto:riverajerez.pedro1982@gmail.com" TargetMode="External"/><Relationship Id="rId666" Type="http://schemas.openxmlformats.org/officeDocument/2006/relationships/hyperlink" Target="mailto:ngdlrm@gmail.com" TargetMode="External"/><Relationship Id="rId873" Type="http://schemas.openxmlformats.org/officeDocument/2006/relationships/hyperlink" Target="mailto:maribel2013@gmail.com" TargetMode="External"/><Relationship Id="rId1089" Type="http://schemas.openxmlformats.org/officeDocument/2006/relationships/hyperlink" Target="mailto:cabezasdeganado.3@gmail.com" TargetMode="External"/><Relationship Id="rId1296" Type="http://schemas.openxmlformats.org/officeDocument/2006/relationships/hyperlink" Target="mailto:cristhianyona@gmail.com" TargetMode="External"/><Relationship Id="rId1517" Type="http://schemas.openxmlformats.org/officeDocument/2006/relationships/hyperlink" Target="mailto:dannyalvarez827@gmail.com" TargetMode="External"/><Relationship Id="rId16" Type="http://schemas.openxmlformats.org/officeDocument/2006/relationships/hyperlink" Target="mailto:licivanrezo3@gmail.com" TargetMode="External"/><Relationship Id="rId221" Type="http://schemas.openxmlformats.org/officeDocument/2006/relationships/hyperlink" Target="mailto:juliorodrigo923@hotmail.com" TargetMode="External"/><Relationship Id="rId319" Type="http://schemas.openxmlformats.org/officeDocument/2006/relationships/hyperlink" Target="mailto:lc.vhcomunicaciones@gmail.com" TargetMode="External"/><Relationship Id="rId526" Type="http://schemas.openxmlformats.org/officeDocument/2006/relationships/hyperlink" Target="mailto:carce2293@gmail.com" TargetMode="External"/><Relationship Id="rId1156" Type="http://schemas.openxmlformats.org/officeDocument/2006/relationships/hyperlink" Target="mailto:nancuta7@hotmail.com" TargetMode="External"/><Relationship Id="rId1363" Type="http://schemas.openxmlformats.org/officeDocument/2006/relationships/hyperlink" Target="mailto:rodriguezcarrion1968@gmail.com" TargetMode="External"/><Relationship Id="rId733" Type="http://schemas.openxmlformats.org/officeDocument/2006/relationships/hyperlink" Target="mailto:nick15lude@gmail.com" TargetMode="External"/><Relationship Id="rId940" Type="http://schemas.openxmlformats.org/officeDocument/2006/relationships/hyperlink" Target="mailto:betyka-10@hotmail.com" TargetMode="External"/><Relationship Id="rId1016" Type="http://schemas.openxmlformats.org/officeDocument/2006/relationships/hyperlink" Target="mailto:maar89@hotmail.com" TargetMode="External"/><Relationship Id="rId165" Type="http://schemas.openxmlformats.org/officeDocument/2006/relationships/hyperlink" Target="mailto:jimmy-pena1986@hotmail.com.ar" TargetMode="External"/><Relationship Id="rId372" Type="http://schemas.openxmlformats.org/officeDocument/2006/relationships/hyperlink" Target="mailto:salazarleonor30@gmail.com" TargetMode="External"/><Relationship Id="rId677" Type="http://schemas.openxmlformats.org/officeDocument/2006/relationships/hyperlink" Target="mailto:monicaortizc28@gmail.com" TargetMode="External"/><Relationship Id="rId800" Type="http://schemas.openxmlformats.org/officeDocument/2006/relationships/hyperlink" Target="mailto:loga94@hotmail.com" TargetMode="External"/><Relationship Id="rId1223" Type="http://schemas.openxmlformats.org/officeDocument/2006/relationships/hyperlink" Target="mailto:edypaz2283@gmail.com" TargetMode="External"/><Relationship Id="rId1430" Type="http://schemas.openxmlformats.org/officeDocument/2006/relationships/hyperlink" Target="mailto:doc.edith-sanluis@hotmail.com" TargetMode="External"/><Relationship Id="rId232" Type="http://schemas.openxmlformats.org/officeDocument/2006/relationships/hyperlink" Target="mailto:lpintado295@gmail.com" TargetMode="External"/><Relationship Id="rId884" Type="http://schemas.openxmlformats.org/officeDocument/2006/relationships/hyperlink" Target="mailto:carla28_1993@hotmail.com" TargetMode="External"/><Relationship Id="rId27" Type="http://schemas.openxmlformats.org/officeDocument/2006/relationships/hyperlink" Target="mailto:disgrafpublicidad@hotmail.com" TargetMode="External"/><Relationship Id="rId537" Type="http://schemas.openxmlformats.org/officeDocument/2006/relationships/hyperlink" Target="mailto:PSRA_18@hotmail.com" TargetMode="External"/><Relationship Id="rId744" Type="http://schemas.openxmlformats.org/officeDocument/2006/relationships/hyperlink" Target="mailto:belenloor18@gmail.com" TargetMode="External"/><Relationship Id="rId951" Type="http://schemas.openxmlformats.org/officeDocument/2006/relationships/hyperlink" Target="mailto:miltongrefa10230@gmail.com" TargetMode="External"/><Relationship Id="rId1167" Type="http://schemas.openxmlformats.org/officeDocument/2006/relationships/hyperlink" Target="mailto:mnavas2002@hotmail.com" TargetMode="External"/><Relationship Id="rId1374" Type="http://schemas.openxmlformats.org/officeDocument/2006/relationships/hyperlink" Target="mailto:angelyaguana1988@hotmail.com" TargetMode="External"/><Relationship Id="rId80" Type="http://schemas.openxmlformats.org/officeDocument/2006/relationships/hyperlink" Target="mailto:dialuzmora@hotmail.com" TargetMode="External"/><Relationship Id="rId176" Type="http://schemas.openxmlformats.org/officeDocument/2006/relationships/hyperlink" Target="mailto:alexandr91@outlook.es" TargetMode="External"/><Relationship Id="rId383" Type="http://schemas.openxmlformats.org/officeDocument/2006/relationships/hyperlink" Target="mailto:joanracri@hotmai.com" TargetMode="External"/><Relationship Id="rId590" Type="http://schemas.openxmlformats.org/officeDocument/2006/relationships/hyperlink" Target="mailto:faty27panta@hotmail.com" TargetMode="External"/><Relationship Id="rId604" Type="http://schemas.openxmlformats.org/officeDocument/2006/relationships/hyperlink" Target="mailto:llaquita.gonzalez@gmail.com" TargetMode="External"/><Relationship Id="rId811" Type="http://schemas.openxmlformats.org/officeDocument/2006/relationships/hyperlink" Target="mailto:evt-cnn@hotmail.com" TargetMode="External"/><Relationship Id="rId1027" Type="http://schemas.openxmlformats.org/officeDocument/2006/relationships/hyperlink" Target="mailto:maverickrobalino@gmail.com" TargetMode="External"/><Relationship Id="rId1234" Type="http://schemas.openxmlformats.org/officeDocument/2006/relationships/hyperlink" Target="mailto:rocio.escobar15@hotmail.com" TargetMode="External"/><Relationship Id="rId1441" Type="http://schemas.openxmlformats.org/officeDocument/2006/relationships/hyperlink" Target="mailto:elissabeth29@gmail.com" TargetMode="External"/><Relationship Id="rId243" Type="http://schemas.openxmlformats.org/officeDocument/2006/relationships/hyperlink" Target="mailto:mirella_alexandra94@yahoo.es" TargetMode="External"/><Relationship Id="rId450" Type="http://schemas.openxmlformats.org/officeDocument/2006/relationships/hyperlink" Target="mailto:oscarin3266@hotmail.es" TargetMode="External"/><Relationship Id="rId688" Type="http://schemas.openxmlformats.org/officeDocument/2006/relationships/hyperlink" Target="mailto:quintoivan160@gmail.com" TargetMode="External"/><Relationship Id="rId895" Type="http://schemas.openxmlformats.org/officeDocument/2006/relationships/hyperlink" Target="mailto:zhanayluis15@gmail.com" TargetMode="External"/><Relationship Id="rId909" Type="http://schemas.openxmlformats.org/officeDocument/2006/relationships/hyperlink" Target="mailto:mateo0612011@hotmail.com" TargetMode="External"/><Relationship Id="rId1080" Type="http://schemas.openxmlformats.org/officeDocument/2006/relationships/hyperlink" Target="mailto:roberth_96@outlook.com" TargetMode="External"/><Relationship Id="rId1301" Type="http://schemas.openxmlformats.org/officeDocument/2006/relationships/hyperlink" Target="mailto:abginapalacios@hotmail.com" TargetMode="External"/><Relationship Id="rId38" Type="http://schemas.openxmlformats.org/officeDocument/2006/relationships/hyperlink" Target="mailto:mgordo&#241;ez.p@gmail.com" TargetMode="External"/><Relationship Id="rId103" Type="http://schemas.openxmlformats.org/officeDocument/2006/relationships/hyperlink" Target="mailto:ivan_andpenafiel@hotmail.com" TargetMode="External"/><Relationship Id="rId310" Type="http://schemas.openxmlformats.org/officeDocument/2006/relationships/hyperlink" Target="mailto:djhernan6b6@hotmail.com" TargetMode="External"/><Relationship Id="rId548" Type="http://schemas.openxmlformats.org/officeDocument/2006/relationships/hyperlink" Target="mailto:rosalma.b.g@hotmail.com" TargetMode="External"/><Relationship Id="rId755" Type="http://schemas.openxmlformats.org/officeDocument/2006/relationships/hyperlink" Target="mailto:christianganchoza@gmail.com" TargetMode="External"/><Relationship Id="rId962" Type="http://schemas.openxmlformats.org/officeDocument/2006/relationships/hyperlink" Target="mailto:vicentejavier-mat@hotmail.com" TargetMode="External"/><Relationship Id="rId1178" Type="http://schemas.openxmlformats.org/officeDocument/2006/relationships/hyperlink" Target="mailto:franciscosanchez331977@hotmail.com" TargetMode="External"/><Relationship Id="rId1385" Type="http://schemas.openxmlformats.org/officeDocument/2006/relationships/hyperlink" Target="mailto:jorgezumba@gmail.com" TargetMode="External"/><Relationship Id="rId91" Type="http://schemas.openxmlformats.org/officeDocument/2006/relationships/hyperlink" Target="mailto:luis.quiroz@hotmail.com" TargetMode="External"/><Relationship Id="rId187" Type="http://schemas.openxmlformats.org/officeDocument/2006/relationships/hyperlink" Target="mailto:fanny53capricornio@yahoo.com" TargetMode="External"/><Relationship Id="rId394" Type="http://schemas.openxmlformats.org/officeDocument/2006/relationships/hyperlink" Target="mailto:lidiadg2914@htomail.com" TargetMode="External"/><Relationship Id="rId408" Type="http://schemas.openxmlformats.org/officeDocument/2006/relationships/hyperlink" Target="mailto:fernando.egg@hotmaill.com" TargetMode="External"/><Relationship Id="rId615" Type="http://schemas.openxmlformats.org/officeDocument/2006/relationships/hyperlink" Target="mailto:carlosruiz19902025@gmail.com" TargetMode="External"/><Relationship Id="rId822" Type="http://schemas.openxmlformats.org/officeDocument/2006/relationships/hyperlink" Target="mailto:veritoolina83@hotmail.com" TargetMode="External"/><Relationship Id="rId1038" Type="http://schemas.openxmlformats.org/officeDocument/2006/relationships/hyperlink" Target="mailto:alejandrotoalarivas@gmail.com" TargetMode="External"/><Relationship Id="rId1245" Type="http://schemas.openxmlformats.org/officeDocument/2006/relationships/hyperlink" Target="mailto:marianarvaez1993@gmail.com" TargetMode="External"/><Relationship Id="rId1452" Type="http://schemas.openxmlformats.org/officeDocument/2006/relationships/hyperlink" Target="mailto:carlo_aman@hotmail.com" TargetMode="External"/><Relationship Id="rId254" Type="http://schemas.openxmlformats.org/officeDocument/2006/relationships/hyperlink" Target="mailto:mayramagle@hotmail.com" TargetMode="External"/><Relationship Id="rId699" Type="http://schemas.openxmlformats.org/officeDocument/2006/relationships/hyperlink" Target="mailto:melissahurtado12@gmail.com" TargetMode="External"/><Relationship Id="rId1091" Type="http://schemas.openxmlformats.org/officeDocument/2006/relationships/hyperlink" Target="mailto:xbayas55@hotmail.com" TargetMode="External"/><Relationship Id="rId1105" Type="http://schemas.openxmlformats.org/officeDocument/2006/relationships/hyperlink" Target="mailto:vinicioci7@outlook.com" TargetMode="External"/><Relationship Id="rId1312" Type="http://schemas.openxmlformats.org/officeDocument/2006/relationships/hyperlink" Target="mailto:ethanr1sg@gmail.com" TargetMode="External"/><Relationship Id="rId49" Type="http://schemas.openxmlformats.org/officeDocument/2006/relationships/hyperlink" Target="mailto:santhyc2003@yahoo.es" TargetMode="External"/><Relationship Id="rId114" Type="http://schemas.openxmlformats.org/officeDocument/2006/relationships/hyperlink" Target="mailto:sandrapusdo385@gmail.com" TargetMode="External"/><Relationship Id="rId461" Type="http://schemas.openxmlformats.org/officeDocument/2006/relationships/hyperlink" Target="mailto:mauro222lopez@gmail.com" TargetMode="External"/><Relationship Id="rId559" Type="http://schemas.openxmlformats.org/officeDocument/2006/relationships/hyperlink" Target="mailto:marielabrana27@hotmail.com" TargetMode="External"/><Relationship Id="rId766" Type="http://schemas.openxmlformats.org/officeDocument/2006/relationships/hyperlink" Target="mailto:vicastro123@gmail.com" TargetMode="External"/><Relationship Id="rId1189" Type="http://schemas.openxmlformats.org/officeDocument/2006/relationships/hyperlink" Target="mailto:sjom.ema@gmail.com" TargetMode="External"/><Relationship Id="rId1396" Type="http://schemas.openxmlformats.org/officeDocument/2006/relationships/hyperlink" Target="mailto:alexitoperalta@hotmail.com" TargetMode="External"/><Relationship Id="rId198" Type="http://schemas.openxmlformats.org/officeDocument/2006/relationships/hyperlink" Target="mailto:priscilatorresm2020@gmail.com" TargetMode="External"/><Relationship Id="rId321" Type="http://schemas.openxmlformats.org/officeDocument/2006/relationships/hyperlink" Target="mailto:jairismael-77@hotmail.com" TargetMode="External"/><Relationship Id="rId419" Type="http://schemas.openxmlformats.org/officeDocument/2006/relationships/hyperlink" Target="mailto:villaltamarlonalonso47@gmail.com" TargetMode="External"/><Relationship Id="rId626" Type="http://schemas.openxmlformats.org/officeDocument/2006/relationships/hyperlink" Target="mailto:anabelasqui84@gmail.com" TargetMode="External"/><Relationship Id="rId973" Type="http://schemas.openxmlformats.org/officeDocument/2006/relationships/hyperlink" Target="mailto:karlitoscuenca1993@gmail.com" TargetMode="External"/><Relationship Id="rId1049" Type="http://schemas.openxmlformats.org/officeDocument/2006/relationships/hyperlink" Target="mailto:chiquito58@live.com" TargetMode="External"/><Relationship Id="rId1256" Type="http://schemas.openxmlformats.org/officeDocument/2006/relationships/hyperlink" Target="mailto:dan_y1986@live.com" TargetMode="External"/><Relationship Id="rId833" Type="http://schemas.openxmlformats.org/officeDocument/2006/relationships/hyperlink" Target="mailto:rous_tenelema@yahoo.es" TargetMode="External"/><Relationship Id="rId1116" Type="http://schemas.openxmlformats.org/officeDocument/2006/relationships/hyperlink" Target="mailto:javier.gavilanez@outlook.com" TargetMode="External"/><Relationship Id="rId1463" Type="http://schemas.openxmlformats.org/officeDocument/2006/relationships/hyperlink" Target="mailto:dorisvaldiviezo89@gmail.com" TargetMode="External"/><Relationship Id="rId265" Type="http://schemas.openxmlformats.org/officeDocument/2006/relationships/hyperlink" Target="mailto:jordyarias@gmail.com" TargetMode="External"/><Relationship Id="rId472" Type="http://schemas.openxmlformats.org/officeDocument/2006/relationships/hyperlink" Target="mailto:trianaquinto1977@gmail.com" TargetMode="External"/><Relationship Id="rId900" Type="http://schemas.openxmlformats.org/officeDocument/2006/relationships/hyperlink" Target="mailto:ybsantana94@hotmail.com" TargetMode="External"/><Relationship Id="rId1323" Type="http://schemas.openxmlformats.org/officeDocument/2006/relationships/hyperlink" Target="mailto:elicrosby@hotmail.com" TargetMode="External"/><Relationship Id="rId125" Type="http://schemas.openxmlformats.org/officeDocument/2006/relationships/hyperlink" Target="mailto:jimmysalazar@outlook.com" TargetMode="External"/><Relationship Id="rId332" Type="http://schemas.openxmlformats.org/officeDocument/2006/relationships/hyperlink" Target="mailto:luiscajamarca312@gmail.com" TargetMode="External"/><Relationship Id="rId777" Type="http://schemas.openxmlformats.org/officeDocument/2006/relationships/hyperlink" Target="mailto:cripalda@gmail.com" TargetMode="External"/><Relationship Id="rId984" Type="http://schemas.openxmlformats.org/officeDocument/2006/relationships/hyperlink" Target="mailto:batallastanlin@hotmai.com" TargetMode="External"/><Relationship Id="rId637" Type="http://schemas.openxmlformats.org/officeDocument/2006/relationships/hyperlink" Target="mailto:marcenia1979@gmail.com" TargetMode="External"/><Relationship Id="rId844" Type="http://schemas.openxmlformats.org/officeDocument/2006/relationships/hyperlink" Target="mailto:luistupiza25@outlook.com" TargetMode="External"/><Relationship Id="rId1267" Type="http://schemas.openxmlformats.org/officeDocument/2006/relationships/hyperlink" Target="mailto:ceciliaborja1@hotmail.com" TargetMode="External"/><Relationship Id="rId1474" Type="http://schemas.openxmlformats.org/officeDocument/2006/relationships/hyperlink" Target="mailto:johansalazar1984@gmail.com" TargetMode="External"/><Relationship Id="rId276" Type="http://schemas.openxmlformats.org/officeDocument/2006/relationships/hyperlink" Target="mailto:luismg2691@gmail.com" TargetMode="External"/><Relationship Id="rId483" Type="http://schemas.openxmlformats.org/officeDocument/2006/relationships/hyperlink" Target="mailto:mariajosesaltos_93@hotmail.com" TargetMode="External"/><Relationship Id="rId690" Type="http://schemas.openxmlformats.org/officeDocument/2006/relationships/hyperlink" Target="mailto:mariaeugeniavullareal@gmail.com" TargetMode="External"/><Relationship Id="rId704" Type="http://schemas.openxmlformats.org/officeDocument/2006/relationships/hyperlink" Target="mailto:sorayita-252003@hotmail.com" TargetMode="External"/><Relationship Id="rId911" Type="http://schemas.openxmlformats.org/officeDocument/2006/relationships/hyperlink" Target="mailto:rverdugocrespo1@gmail.com" TargetMode="External"/><Relationship Id="rId1127" Type="http://schemas.openxmlformats.org/officeDocument/2006/relationships/hyperlink" Target="mailto:erice_zamb@hotmail.com" TargetMode="External"/><Relationship Id="rId1334" Type="http://schemas.openxmlformats.org/officeDocument/2006/relationships/hyperlink" Target="mailto:juanarosapivaque@gmail.com" TargetMode="External"/><Relationship Id="rId40" Type="http://schemas.openxmlformats.org/officeDocument/2006/relationships/hyperlink" Target="mailto:gaby_pe88@hotmail.com" TargetMode="External"/><Relationship Id="rId136" Type="http://schemas.openxmlformats.org/officeDocument/2006/relationships/hyperlink" Target="mailto:ferchotapia50@hotmail.com" TargetMode="External"/><Relationship Id="rId343" Type="http://schemas.openxmlformats.org/officeDocument/2006/relationships/hyperlink" Target="mailto:miguel_1989@hotmail.com" TargetMode="External"/><Relationship Id="rId550" Type="http://schemas.openxmlformats.org/officeDocument/2006/relationships/hyperlink" Target="mailto:gonzalezmariela536@gmail.com" TargetMode="External"/><Relationship Id="rId788" Type="http://schemas.openxmlformats.org/officeDocument/2006/relationships/hyperlink" Target="mailto:tonnymoncayo.55@gmail.com" TargetMode="External"/><Relationship Id="rId995" Type="http://schemas.openxmlformats.org/officeDocument/2006/relationships/hyperlink" Target="mailto:josue2023coa@gmail.com" TargetMode="External"/><Relationship Id="rId1180" Type="http://schemas.openxmlformats.org/officeDocument/2006/relationships/hyperlink" Target="mailto:genesisep15@gmail.com" TargetMode="External"/><Relationship Id="rId1401" Type="http://schemas.openxmlformats.org/officeDocument/2006/relationships/hyperlink" Target="mailto:anagualetubay@gmail.com" TargetMode="External"/><Relationship Id="rId203" Type="http://schemas.openxmlformats.org/officeDocument/2006/relationships/hyperlink" Target="mailto:lzambray@hotmai.com" TargetMode="External"/><Relationship Id="rId648" Type="http://schemas.openxmlformats.org/officeDocument/2006/relationships/hyperlink" Target="mailto:ing.marcelomendez@hotmail.com" TargetMode="External"/><Relationship Id="rId855" Type="http://schemas.openxmlformats.org/officeDocument/2006/relationships/hyperlink" Target="mailto:jorgelp560@gmail.com" TargetMode="External"/><Relationship Id="rId1040" Type="http://schemas.openxmlformats.org/officeDocument/2006/relationships/hyperlink" Target="mailto:monica.vaca@utm.edu.ec" TargetMode="External"/><Relationship Id="rId1278" Type="http://schemas.openxmlformats.org/officeDocument/2006/relationships/hyperlink" Target="mailto:williomuri@hotmail.com" TargetMode="External"/><Relationship Id="rId1485" Type="http://schemas.openxmlformats.org/officeDocument/2006/relationships/hyperlink" Target="mailto:dedgarfernando1982@hotmail.com" TargetMode="External"/><Relationship Id="rId287" Type="http://schemas.openxmlformats.org/officeDocument/2006/relationships/hyperlink" Target="mailto:pedro57fabian@gmail.com" TargetMode="External"/><Relationship Id="rId410" Type="http://schemas.openxmlformats.org/officeDocument/2006/relationships/hyperlink" Target="mailto:patriciovargas68@hotmail.com" TargetMode="External"/><Relationship Id="rId494" Type="http://schemas.openxmlformats.org/officeDocument/2006/relationships/hyperlink" Target="mailto:jessicamoreira073@gmail.com" TargetMode="External"/><Relationship Id="rId508" Type="http://schemas.openxmlformats.org/officeDocument/2006/relationships/hyperlink" Target="mailto:rodrigozambranozambrano@gmail.com" TargetMode="External"/><Relationship Id="rId715" Type="http://schemas.openxmlformats.org/officeDocument/2006/relationships/hyperlink" Target="mailto:vinuezae98@gmail.com" TargetMode="External"/><Relationship Id="rId922" Type="http://schemas.openxmlformats.org/officeDocument/2006/relationships/hyperlink" Target="mailto:turquesaartz@gmail.com" TargetMode="External"/><Relationship Id="rId1138" Type="http://schemas.openxmlformats.org/officeDocument/2006/relationships/hyperlink" Target="mailto:darwinalex195@outlook.com" TargetMode="External"/><Relationship Id="rId1345" Type="http://schemas.openxmlformats.org/officeDocument/2006/relationships/hyperlink" Target="mailto:rosamenendez3536@gmail.com" TargetMode="External"/><Relationship Id="rId147" Type="http://schemas.openxmlformats.org/officeDocument/2006/relationships/hyperlink" Target="mailto:tefa_2201@hotmail.com" TargetMode="External"/><Relationship Id="rId354" Type="http://schemas.openxmlformats.org/officeDocument/2006/relationships/hyperlink" Target="mailto:silviamenendezmarcilla1997@outlook.es" TargetMode="External"/><Relationship Id="rId799" Type="http://schemas.openxmlformats.org/officeDocument/2006/relationships/hyperlink" Target="mailto:emodida@gmail.com" TargetMode="External"/><Relationship Id="rId1191" Type="http://schemas.openxmlformats.org/officeDocument/2006/relationships/hyperlink" Target="mailto:fabricio_64_@hotmail.com" TargetMode="External"/><Relationship Id="rId1205" Type="http://schemas.openxmlformats.org/officeDocument/2006/relationships/hyperlink" Target="mailto:marianadejesus35@hotmail.com" TargetMode="External"/><Relationship Id="rId51" Type="http://schemas.openxmlformats.org/officeDocument/2006/relationships/hyperlink" Target="mailto:enderblondell@gmail.com" TargetMode="External"/><Relationship Id="rId561" Type="http://schemas.openxmlformats.org/officeDocument/2006/relationships/hyperlink" Target="mailto:cadenamera1234@hotmail.com" TargetMode="External"/><Relationship Id="rId659" Type="http://schemas.openxmlformats.org/officeDocument/2006/relationships/hyperlink" Target="mailto:mercycastro2009@gmail.com" TargetMode="External"/><Relationship Id="rId866" Type="http://schemas.openxmlformats.org/officeDocument/2006/relationships/hyperlink" Target="mailto:elizavillavel@gmail.com" TargetMode="External"/><Relationship Id="rId1289" Type="http://schemas.openxmlformats.org/officeDocument/2006/relationships/hyperlink" Target="mailto:jmalexjimenez68@gmail.com" TargetMode="External"/><Relationship Id="rId1412" Type="http://schemas.openxmlformats.org/officeDocument/2006/relationships/hyperlink" Target="mailto:ewerantonio@yahoo.com" TargetMode="External"/><Relationship Id="rId1496" Type="http://schemas.openxmlformats.org/officeDocument/2006/relationships/hyperlink" Target="mailto:parrafernando2019@gmail.com" TargetMode="External"/><Relationship Id="rId214" Type="http://schemas.openxmlformats.org/officeDocument/2006/relationships/hyperlink" Target="mailto:josebrauliotello@gmail.com" TargetMode="External"/><Relationship Id="rId298" Type="http://schemas.openxmlformats.org/officeDocument/2006/relationships/hyperlink" Target="mailto:medinavalarezo@gmail.com" TargetMode="External"/><Relationship Id="rId421" Type="http://schemas.openxmlformats.org/officeDocument/2006/relationships/hyperlink" Target="mailto:pablo_j11@hotmail.com" TargetMode="External"/><Relationship Id="rId519" Type="http://schemas.openxmlformats.org/officeDocument/2006/relationships/hyperlink" Target="mailto:diegomartinez324@hotmail.com" TargetMode="External"/><Relationship Id="rId1051" Type="http://schemas.openxmlformats.org/officeDocument/2006/relationships/hyperlink" Target="mailto:narcimebri@hotmail.com" TargetMode="External"/><Relationship Id="rId1149" Type="http://schemas.openxmlformats.org/officeDocument/2006/relationships/hyperlink" Target="mailto:paulmi&#241;oolaya@gmail.com" TargetMode="External"/><Relationship Id="rId1356" Type="http://schemas.openxmlformats.org/officeDocument/2006/relationships/hyperlink" Target="mailto:angelproano1@gmail.com" TargetMode="External"/><Relationship Id="rId158" Type="http://schemas.openxmlformats.org/officeDocument/2006/relationships/hyperlink" Target="mailto:vivis1689@gmail.com" TargetMode="External"/><Relationship Id="rId726" Type="http://schemas.openxmlformats.org/officeDocument/2006/relationships/hyperlink" Target="mailto:vpillco953@gmail.com" TargetMode="External"/><Relationship Id="rId933" Type="http://schemas.openxmlformats.org/officeDocument/2006/relationships/hyperlink" Target="mailto:mariaesther_22leo@hotmail.com" TargetMode="External"/><Relationship Id="rId1009" Type="http://schemas.openxmlformats.org/officeDocument/2006/relationships/hyperlink" Target="mailto:nico.navarrete19@gmail.com" TargetMode="External"/><Relationship Id="rId62" Type="http://schemas.openxmlformats.org/officeDocument/2006/relationships/hyperlink" Target="mailto:yepezedgarpatricio@gmail.com" TargetMode="External"/><Relationship Id="rId365" Type="http://schemas.openxmlformats.org/officeDocument/2006/relationships/hyperlink" Target="mailto:joseluis_172463@hotmail.com" TargetMode="External"/><Relationship Id="rId572" Type="http://schemas.openxmlformats.org/officeDocument/2006/relationships/hyperlink" Target="mailto:pleonor.morales2806@gmail.com" TargetMode="External"/><Relationship Id="rId1216" Type="http://schemas.openxmlformats.org/officeDocument/2006/relationships/hyperlink" Target="mailto:irenerobalino@gmail.com" TargetMode="External"/><Relationship Id="rId1423" Type="http://schemas.openxmlformats.org/officeDocument/2006/relationships/hyperlink" Target="mailto:galvinrenanroldanpinargote@gmail.com" TargetMode="External"/><Relationship Id="rId225" Type="http://schemas.openxmlformats.org/officeDocument/2006/relationships/hyperlink" Target="mailto:jessicacampoverde1904@gmail.com" TargetMode="External"/><Relationship Id="rId432" Type="http://schemas.openxmlformats.org/officeDocument/2006/relationships/hyperlink" Target="mailto:tazmanyproducciones09@gmail.com" TargetMode="External"/><Relationship Id="rId877" Type="http://schemas.openxmlformats.org/officeDocument/2006/relationships/hyperlink" Target="mailto:ofeliemiteriaguz@gmail.com" TargetMode="External"/><Relationship Id="rId1062" Type="http://schemas.openxmlformats.org/officeDocument/2006/relationships/hyperlink" Target="mailto:e.eliz.emy@hotmail.com" TargetMode="External"/><Relationship Id="rId737" Type="http://schemas.openxmlformats.org/officeDocument/2006/relationships/hyperlink" Target="mailto:telmoyaure7@gmail.com" TargetMode="External"/><Relationship Id="rId944" Type="http://schemas.openxmlformats.org/officeDocument/2006/relationships/hyperlink" Target="mailto:kikemar2004@yahoo.com" TargetMode="External"/><Relationship Id="rId1367" Type="http://schemas.openxmlformats.org/officeDocument/2006/relationships/hyperlink" Target="mailto:wilsonandrade1612@gmail.com" TargetMode="External"/><Relationship Id="rId73" Type="http://schemas.openxmlformats.org/officeDocument/2006/relationships/hyperlink" Target="mailto:johanmguerrero@gmail.com" TargetMode="External"/><Relationship Id="rId169" Type="http://schemas.openxmlformats.org/officeDocument/2006/relationships/hyperlink" Target="mailto:dannyte20@hotmail.com" TargetMode="External"/><Relationship Id="rId376" Type="http://schemas.openxmlformats.org/officeDocument/2006/relationships/hyperlink" Target="mailto:virnaedith87@outlook.es" TargetMode="External"/><Relationship Id="rId583" Type="http://schemas.openxmlformats.org/officeDocument/2006/relationships/hyperlink" Target="mailto:haroldlopez1976@hotmail.com" TargetMode="External"/><Relationship Id="rId790" Type="http://schemas.openxmlformats.org/officeDocument/2006/relationships/hyperlink" Target="mailto:chrisstmosquera@gmail.com" TargetMode="External"/><Relationship Id="rId804" Type="http://schemas.openxmlformats.org/officeDocument/2006/relationships/hyperlink" Target="mailto:jorgeoctavichimbolema@gmail.com" TargetMode="External"/><Relationship Id="rId1227" Type="http://schemas.openxmlformats.org/officeDocument/2006/relationships/hyperlink" Target="mailto:geitolopeztorres@gmail.com" TargetMode="External"/><Relationship Id="rId1434" Type="http://schemas.openxmlformats.org/officeDocument/2006/relationships/hyperlink" Target="mailto:hillarydazaz@gmail.com" TargetMode="External"/><Relationship Id="rId4" Type="http://schemas.openxmlformats.org/officeDocument/2006/relationships/hyperlink" Target="mailto:marien2020@gmail.com" TargetMode="External"/><Relationship Id="rId236" Type="http://schemas.openxmlformats.org/officeDocument/2006/relationships/hyperlink" Target="mailto:fernandamena1998@gmail.com" TargetMode="External"/><Relationship Id="rId443" Type="http://schemas.openxmlformats.org/officeDocument/2006/relationships/hyperlink" Target="mailto:ariibelen95@gmail.com" TargetMode="External"/><Relationship Id="rId650" Type="http://schemas.openxmlformats.org/officeDocument/2006/relationships/hyperlink" Target="mailto:franksuconota83@gmail.com" TargetMode="External"/><Relationship Id="rId888" Type="http://schemas.openxmlformats.org/officeDocument/2006/relationships/hyperlink" Target="mailto:gladysfajardo1961@gmail.com" TargetMode="External"/><Relationship Id="rId1073" Type="http://schemas.openxmlformats.org/officeDocument/2006/relationships/hyperlink" Target="mailto:leninpepito@hotmail.com" TargetMode="External"/><Relationship Id="rId1280" Type="http://schemas.openxmlformats.org/officeDocument/2006/relationships/hyperlink" Target="mailto:jadi_0908@hotmail.com" TargetMode="External"/><Relationship Id="rId1501" Type="http://schemas.openxmlformats.org/officeDocument/2006/relationships/hyperlink" Target="mailto:adrianmoreno30@hotmail.com" TargetMode="External"/><Relationship Id="rId303" Type="http://schemas.openxmlformats.org/officeDocument/2006/relationships/hyperlink" Target="mailto:gonzalezsilvana178@gmail.com" TargetMode="External"/><Relationship Id="rId748" Type="http://schemas.openxmlformats.org/officeDocument/2006/relationships/hyperlink" Target="mailto:gioivon-fe@hotmail.com" TargetMode="External"/><Relationship Id="rId955" Type="http://schemas.openxmlformats.org/officeDocument/2006/relationships/hyperlink" Target="mailto:vero_elizabeth05@hotmail.com" TargetMode="External"/><Relationship Id="rId1140" Type="http://schemas.openxmlformats.org/officeDocument/2006/relationships/hyperlink" Target="mailto:ronaldcabreram17@gmail.com" TargetMode="External"/><Relationship Id="rId1378" Type="http://schemas.openxmlformats.org/officeDocument/2006/relationships/hyperlink" Target="mailto:lolaviteri671@gmail.com" TargetMode="External"/><Relationship Id="rId84" Type="http://schemas.openxmlformats.org/officeDocument/2006/relationships/hyperlink" Target="mailto:conra-54@hotmail.com" TargetMode="External"/><Relationship Id="rId387" Type="http://schemas.openxmlformats.org/officeDocument/2006/relationships/hyperlink" Target="mailto:mgcabrera1959@hotmail.com" TargetMode="External"/><Relationship Id="rId510" Type="http://schemas.openxmlformats.org/officeDocument/2006/relationships/hyperlink" Target="mailto:zeusadr360@live.com" TargetMode="External"/><Relationship Id="rId594" Type="http://schemas.openxmlformats.org/officeDocument/2006/relationships/hyperlink" Target="mailto:genesis_cg98@hotmail.com" TargetMode="External"/><Relationship Id="rId608" Type="http://schemas.openxmlformats.org/officeDocument/2006/relationships/hyperlink" Target="mailto:mariantonieta1952@outlook.com" TargetMode="External"/><Relationship Id="rId815" Type="http://schemas.openxmlformats.org/officeDocument/2006/relationships/hyperlink" Target="mailto:oskar-285@hotmail.com" TargetMode="External"/><Relationship Id="rId1238" Type="http://schemas.openxmlformats.org/officeDocument/2006/relationships/hyperlink" Target="mailto:martha1982lucrecia@gmail.com" TargetMode="External"/><Relationship Id="rId1445" Type="http://schemas.openxmlformats.org/officeDocument/2006/relationships/hyperlink" Target="mailto:leandro.reyes@79.com" TargetMode="External"/><Relationship Id="rId247" Type="http://schemas.openxmlformats.org/officeDocument/2006/relationships/hyperlink" Target="mailto:lissethcarolinacarrionvega@gmail.com" TargetMode="External"/><Relationship Id="rId899" Type="http://schemas.openxmlformats.org/officeDocument/2006/relationships/hyperlink" Target="mailto:aandy.maciass@hotmail.com" TargetMode="External"/><Relationship Id="rId1000" Type="http://schemas.openxmlformats.org/officeDocument/2006/relationships/hyperlink" Target="mailto:silviaaveiga@hotmail.com" TargetMode="External"/><Relationship Id="rId1084" Type="http://schemas.openxmlformats.org/officeDocument/2006/relationships/hyperlink" Target="mailto:carmenelizabeth1913@hotmail.com" TargetMode="External"/><Relationship Id="rId1305" Type="http://schemas.openxmlformats.org/officeDocument/2006/relationships/hyperlink" Target="mailto:harolguerra15@hotmail.com" TargetMode="External"/><Relationship Id="rId107" Type="http://schemas.openxmlformats.org/officeDocument/2006/relationships/hyperlink" Target="mailto:kimbbolanos@outlook.es" TargetMode="External"/><Relationship Id="rId454" Type="http://schemas.openxmlformats.org/officeDocument/2006/relationships/hyperlink" Target="mailto:patriicionasque@omegacenterec.com" TargetMode="External"/><Relationship Id="rId661" Type="http://schemas.openxmlformats.org/officeDocument/2006/relationships/hyperlink" Target="mailto:roque1963manzaba@gmail.com" TargetMode="External"/><Relationship Id="rId759" Type="http://schemas.openxmlformats.org/officeDocument/2006/relationships/hyperlink" Target="mailto:dennys-lucas@hotmail.com" TargetMode="External"/><Relationship Id="rId966" Type="http://schemas.openxmlformats.org/officeDocument/2006/relationships/hyperlink" Target="mailto:paulom16111@gmail.com" TargetMode="External"/><Relationship Id="rId1291" Type="http://schemas.openxmlformats.org/officeDocument/2006/relationships/hyperlink" Target="mailto:wilsonamg1990@yahoo.com" TargetMode="External"/><Relationship Id="rId1389" Type="http://schemas.openxmlformats.org/officeDocument/2006/relationships/hyperlink" Target="mailto:delialamor4@gmail.com" TargetMode="External"/><Relationship Id="rId1512" Type="http://schemas.openxmlformats.org/officeDocument/2006/relationships/hyperlink" Target="mailto:manuelmesias1955@hotmail.com" TargetMode="External"/><Relationship Id="rId11" Type="http://schemas.openxmlformats.org/officeDocument/2006/relationships/hyperlink" Target="mailto:lvera-consulivra@hotmail.com" TargetMode="External"/><Relationship Id="rId314" Type="http://schemas.openxmlformats.org/officeDocument/2006/relationships/hyperlink" Target="mailto:hpns9810@gmail.com" TargetMode="External"/><Relationship Id="rId398" Type="http://schemas.openxmlformats.org/officeDocument/2006/relationships/hyperlink" Target="mailto:fannysita1976@hotmail.com" TargetMode="External"/><Relationship Id="rId521" Type="http://schemas.openxmlformats.org/officeDocument/2006/relationships/hyperlink" Target="mailto:rosmelliza198706@gmail.com" TargetMode="External"/><Relationship Id="rId619" Type="http://schemas.openxmlformats.org/officeDocument/2006/relationships/hyperlink" Target="mailto:carlos.llangari86@gmail.com" TargetMode="External"/><Relationship Id="rId1151" Type="http://schemas.openxmlformats.org/officeDocument/2006/relationships/hyperlink" Target="mailto:belemleon96@hotmail.com" TargetMode="External"/><Relationship Id="rId1249" Type="http://schemas.openxmlformats.org/officeDocument/2006/relationships/hyperlink" Target="mailto:jennyvale2110@gmail.com" TargetMode="External"/><Relationship Id="rId95" Type="http://schemas.openxmlformats.org/officeDocument/2006/relationships/hyperlink" Target="mailto:jvegac_dj1531@hotmail.com" TargetMode="External"/><Relationship Id="rId160" Type="http://schemas.openxmlformats.org/officeDocument/2006/relationships/hyperlink" Target="mailto:mtorres.matb@gmail.com" TargetMode="External"/><Relationship Id="rId826" Type="http://schemas.openxmlformats.org/officeDocument/2006/relationships/hyperlink" Target="mailto:isamaruvidia@hotmail.com" TargetMode="External"/><Relationship Id="rId1011" Type="http://schemas.openxmlformats.org/officeDocument/2006/relationships/hyperlink" Target="mailto:jeeb1802@hotmail.com" TargetMode="External"/><Relationship Id="rId1109" Type="http://schemas.openxmlformats.org/officeDocument/2006/relationships/hyperlink" Target="mailto:maevivanco@yahoo.es" TargetMode="External"/><Relationship Id="rId1456" Type="http://schemas.openxmlformats.org/officeDocument/2006/relationships/hyperlink" Target="mailto:suarezcristina643@gmail.com" TargetMode="External"/><Relationship Id="rId258" Type="http://schemas.openxmlformats.org/officeDocument/2006/relationships/hyperlink" Target="mailto:darwin89leon@hotmail.com" TargetMode="External"/><Relationship Id="rId465" Type="http://schemas.openxmlformats.org/officeDocument/2006/relationships/hyperlink" Target="mailto:leonarddoamoresp@hotmail.com" TargetMode="External"/><Relationship Id="rId672" Type="http://schemas.openxmlformats.org/officeDocument/2006/relationships/hyperlink" Target="mailto:aideabad97@gmail.com" TargetMode="External"/><Relationship Id="rId1095" Type="http://schemas.openxmlformats.org/officeDocument/2006/relationships/hyperlink" Target="mailto:jaimemenendez345@gmail.com" TargetMode="External"/><Relationship Id="rId1316" Type="http://schemas.openxmlformats.org/officeDocument/2006/relationships/hyperlink" Target="mailto:lilyisabel2016@GMAIL.COM" TargetMode="External"/><Relationship Id="rId22" Type="http://schemas.openxmlformats.org/officeDocument/2006/relationships/hyperlink" Target="mailto:karelistarazon@gmail.com" TargetMode="External"/><Relationship Id="rId118" Type="http://schemas.openxmlformats.org/officeDocument/2006/relationships/hyperlink" Target="mailto:mariselallanos1990@gmail.com" TargetMode="External"/><Relationship Id="rId325" Type="http://schemas.openxmlformats.org/officeDocument/2006/relationships/hyperlink" Target="mailto:maigua_2006@hotmail.com" TargetMode="External"/><Relationship Id="rId532" Type="http://schemas.openxmlformats.org/officeDocument/2006/relationships/hyperlink" Target="mailto:greatfabian@gmail.com" TargetMode="External"/><Relationship Id="rId977" Type="http://schemas.openxmlformats.org/officeDocument/2006/relationships/hyperlink" Target="mailto:carmita_velasquez23@hotmail.com" TargetMode="External"/><Relationship Id="rId1162" Type="http://schemas.openxmlformats.org/officeDocument/2006/relationships/hyperlink" Target="mailto:alexandravergara2014@gmail.com" TargetMode="External"/><Relationship Id="rId171" Type="http://schemas.openxmlformats.org/officeDocument/2006/relationships/hyperlink" Target="mailto:luismaya_14-68@hotmail.com" TargetMode="External"/><Relationship Id="rId837" Type="http://schemas.openxmlformats.org/officeDocument/2006/relationships/hyperlink" Target="mailto:raulparedes95@hotmail.com" TargetMode="External"/><Relationship Id="rId1022" Type="http://schemas.openxmlformats.org/officeDocument/2006/relationships/hyperlink" Target="mailto:walterloresmaigua@gmail.com" TargetMode="External"/><Relationship Id="rId1467" Type="http://schemas.openxmlformats.org/officeDocument/2006/relationships/hyperlink" Target="mailto:s_lopez_30@hotmail.com" TargetMode="External"/><Relationship Id="rId269" Type="http://schemas.openxmlformats.org/officeDocument/2006/relationships/hyperlink" Target="mailto:carloshereluis@hotmail.com" TargetMode="External"/><Relationship Id="rId476" Type="http://schemas.openxmlformats.org/officeDocument/2006/relationships/hyperlink" Target="mailto:marthavera_20@outlook.com" TargetMode="External"/><Relationship Id="rId683" Type="http://schemas.openxmlformats.org/officeDocument/2006/relationships/hyperlink" Target="mailto:madridjavier2505@gmail.com" TargetMode="External"/><Relationship Id="rId890" Type="http://schemas.openxmlformats.org/officeDocument/2006/relationships/hyperlink" Target="mailto:toledodominguez232013@gmail.com" TargetMode="External"/><Relationship Id="rId904" Type="http://schemas.openxmlformats.org/officeDocument/2006/relationships/hyperlink" Target="mailto:maglincay@gmail.com" TargetMode="External"/><Relationship Id="rId1327" Type="http://schemas.openxmlformats.org/officeDocument/2006/relationships/hyperlink" Target="mailto:kleberverdesoto.a@outlook.com" TargetMode="External"/><Relationship Id="rId33" Type="http://schemas.openxmlformats.org/officeDocument/2006/relationships/hyperlink" Target="mailto:paulizaviles@yahoo.com" TargetMode="External"/><Relationship Id="rId129" Type="http://schemas.openxmlformats.org/officeDocument/2006/relationships/hyperlink" Target="mailto:janiz_vane@hotmail.com" TargetMode="External"/><Relationship Id="rId336" Type="http://schemas.openxmlformats.org/officeDocument/2006/relationships/hyperlink" Target="mailto:oswaldojurado@hotmail.com" TargetMode="External"/><Relationship Id="rId543" Type="http://schemas.openxmlformats.org/officeDocument/2006/relationships/hyperlink" Target="mailto:cristhiancampoverde@yahoo.com" TargetMode="External"/><Relationship Id="rId988" Type="http://schemas.openxmlformats.org/officeDocument/2006/relationships/hyperlink" Target="mailto:lidermairon@hotmail.com" TargetMode="External"/><Relationship Id="rId1173" Type="http://schemas.openxmlformats.org/officeDocument/2006/relationships/hyperlink" Target="mailto:jaimeflorencio226@gmail.com" TargetMode="External"/><Relationship Id="rId1380" Type="http://schemas.openxmlformats.org/officeDocument/2006/relationships/hyperlink" Target="mailto:annyca170911@yahoo.es" TargetMode="External"/><Relationship Id="rId182" Type="http://schemas.openxmlformats.org/officeDocument/2006/relationships/hyperlink" Target="mailto:beatrizt2969@gmail.com" TargetMode="External"/><Relationship Id="rId403" Type="http://schemas.openxmlformats.org/officeDocument/2006/relationships/hyperlink" Target="mailto:fixonsanchez821@gmail.com" TargetMode="External"/><Relationship Id="rId750" Type="http://schemas.openxmlformats.org/officeDocument/2006/relationships/hyperlink" Target="mailto:freddysc1995@gmail.com" TargetMode="External"/><Relationship Id="rId848" Type="http://schemas.openxmlformats.org/officeDocument/2006/relationships/hyperlink" Target="mailto:fannymorama2@gmail.com" TargetMode="External"/><Relationship Id="rId1033" Type="http://schemas.openxmlformats.org/officeDocument/2006/relationships/hyperlink" Target="mailto:mariabelennarvaez95@gmail.com" TargetMode="External"/><Relationship Id="rId1478" Type="http://schemas.openxmlformats.org/officeDocument/2006/relationships/hyperlink" Target="mailto:imatajanny37@hotmail.com" TargetMode="External"/><Relationship Id="rId487" Type="http://schemas.openxmlformats.org/officeDocument/2006/relationships/hyperlink" Target="mailto:mayra1978-18@hotmail.com" TargetMode="External"/><Relationship Id="rId610" Type="http://schemas.openxmlformats.org/officeDocument/2006/relationships/hyperlink" Target="mailto:elranchitoloja050@gmail.com" TargetMode="External"/><Relationship Id="rId694" Type="http://schemas.openxmlformats.org/officeDocument/2006/relationships/hyperlink" Target="mailto:fasqui6@gmail.com" TargetMode="External"/><Relationship Id="rId708" Type="http://schemas.openxmlformats.org/officeDocument/2006/relationships/hyperlink" Target="mailto:nurilisbethh@gmail.com" TargetMode="External"/><Relationship Id="rId915" Type="http://schemas.openxmlformats.org/officeDocument/2006/relationships/hyperlink" Target="mailto:gabosanmartin1986@gmail.com" TargetMode="External"/><Relationship Id="rId1240" Type="http://schemas.openxmlformats.org/officeDocument/2006/relationships/hyperlink" Target="mailto:miriamev33@hotmail.com" TargetMode="External"/><Relationship Id="rId1338" Type="http://schemas.openxmlformats.org/officeDocument/2006/relationships/hyperlink" Target="mailto:tbryan091994@gmail.com" TargetMode="External"/><Relationship Id="rId347" Type="http://schemas.openxmlformats.org/officeDocument/2006/relationships/hyperlink" Target="mailto:franklindavid094@hotmail.com" TargetMode="External"/><Relationship Id="rId999" Type="http://schemas.openxmlformats.org/officeDocument/2006/relationships/hyperlink" Target="mailto:manuelvalenciatorres72@hotmail.com" TargetMode="External"/><Relationship Id="rId1100" Type="http://schemas.openxmlformats.org/officeDocument/2006/relationships/hyperlink" Target="mailto:rene.9732@icloud.com" TargetMode="External"/><Relationship Id="rId1184" Type="http://schemas.openxmlformats.org/officeDocument/2006/relationships/hyperlink" Target="mailto:mitfrias1@hotmail.com" TargetMode="External"/><Relationship Id="rId1405" Type="http://schemas.openxmlformats.org/officeDocument/2006/relationships/hyperlink" Target="mailto:gmenendez7510@gmail.com" TargetMode="External"/><Relationship Id="rId44" Type="http://schemas.openxmlformats.org/officeDocument/2006/relationships/hyperlink" Target="mailto:morochomigelangel@gmail.com" TargetMode="External"/><Relationship Id="rId554" Type="http://schemas.openxmlformats.org/officeDocument/2006/relationships/hyperlink" Target="mailto:mariananazarenoayovi@gmail.com" TargetMode="External"/><Relationship Id="rId761" Type="http://schemas.openxmlformats.org/officeDocument/2006/relationships/hyperlink" Target="mailto:jecmesdoll25@hotmail.com" TargetMode="External"/><Relationship Id="rId859" Type="http://schemas.openxmlformats.org/officeDocument/2006/relationships/hyperlink" Target="mailto:ruthvero13@hotmail.com" TargetMode="External"/><Relationship Id="rId1391" Type="http://schemas.openxmlformats.org/officeDocument/2006/relationships/hyperlink" Target="mailto:maugumy@hotmail.com" TargetMode="External"/><Relationship Id="rId1489" Type="http://schemas.openxmlformats.org/officeDocument/2006/relationships/hyperlink" Target="mailto:roque_navarrete@hotmail.com" TargetMode="External"/><Relationship Id="rId193" Type="http://schemas.openxmlformats.org/officeDocument/2006/relationships/hyperlink" Target="mailto:anagov2012@hotmail.com" TargetMode="External"/><Relationship Id="rId207" Type="http://schemas.openxmlformats.org/officeDocument/2006/relationships/hyperlink" Target="mailto:veleznixon932@gmail.com" TargetMode="External"/><Relationship Id="rId414" Type="http://schemas.openxmlformats.org/officeDocument/2006/relationships/hyperlink" Target="mailto:vichepardo@gmail.com" TargetMode="External"/><Relationship Id="rId498" Type="http://schemas.openxmlformats.org/officeDocument/2006/relationships/hyperlink" Target="mailto:juanv892@hotmail.com" TargetMode="External"/><Relationship Id="rId621" Type="http://schemas.openxmlformats.org/officeDocument/2006/relationships/hyperlink" Target="mailto:renzoyerovi@hotmail.com" TargetMode="External"/><Relationship Id="rId1044" Type="http://schemas.openxmlformats.org/officeDocument/2006/relationships/hyperlink" Target="mailto:ramoncontrerasmoreira@hotmail.com" TargetMode="External"/><Relationship Id="rId1251" Type="http://schemas.openxmlformats.org/officeDocument/2006/relationships/hyperlink" Target="mailto:mariluloja26@gmail.com" TargetMode="External"/><Relationship Id="rId1349" Type="http://schemas.openxmlformats.org/officeDocument/2006/relationships/hyperlink" Target="mailto:bellaramirezmolina8@gmail.com" TargetMode="External"/><Relationship Id="rId260" Type="http://schemas.openxmlformats.org/officeDocument/2006/relationships/hyperlink" Target="mailto:josue_2710@hotmail.com" TargetMode="External"/><Relationship Id="rId719" Type="http://schemas.openxmlformats.org/officeDocument/2006/relationships/hyperlink" Target="mailto:riquel@hotmail.com" TargetMode="External"/><Relationship Id="rId926" Type="http://schemas.openxmlformats.org/officeDocument/2006/relationships/hyperlink" Target="mailto:blancasusanabh@gmail.com" TargetMode="External"/><Relationship Id="rId1111" Type="http://schemas.openxmlformats.org/officeDocument/2006/relationships/hyperlink" Target="mailto:piedadpulgarin@yahoo.com" TargetMode="External"/><Relationship Id="rId55" Type="http://schemas.openxmlformats.org/officeDocument/2006/relationships/hyperlink" Target="mailto:a76jacom@yahoo.com" TargetMode="External"/><Relationship Id="rId120" Type="http://schemas.openxmlformats.org/officeDocument/2006/relationships/hyperlink" Target="mailto:adrianmatailo99@gmail.com" TargetMode="External"/><Relationship Id="rId358" Type="http://schemas.openxmlformats.org/officeDocument/2006/relationships/hyperlink" Target="mailto:carlos25mant@gmail.com" TargetMode="External"/><Relationship Id="rId565" Type="http://schemas.openxmlformats.org/officeDocument/2006/relationships/hyperlink" Target="mailto:anign1006@gmail.com" TargetMode="External"/><Relationship Id="rId772" Type="http://schemas.openxmlformats.org/officeDocument/2006/relationships/hyperlink" Target="mailto:alexanderjaramillo2019@hotmail.com" TargetMode="External"/><Relationship Id="rId1195" Type="http://schemas.openxmlformats.org/officeDocument/2006/relationships/hyperlink" Target="mailto:victorlluilemabarba@gmail.com" TargetMode="External"/><Relationship Id="rId1209" Type="http://schemas.openxmlformats.org/officeDocument/2006/relationships/hyperlink" Target="mailto:sandrokaren@yahoo.com" TargetMode="External"/><Relationship Id="rId1416" Type="http://schemas.openxmlformats.org/officeDocument/2006/relationships/hyperlink" Target="mailto:elvisbramore2021@gmail.com" TargetMode="External"/><Relationship Id="rId218" Type="http://schemas.openxmlformats.org/officeDocument/2006/relationships/hyperlink" Target="mailto:julioe1991@hotmail.com" TargetMode="External"/><Relationship Id="rId425" Type="http://schemas.openxmlformats.org/officeDocument/2006/relationships/hyperlink" Target="mailto:rosariofernandez204@hotmail.es" TargetMode="External"/><Relationship Id="rId632" Type="http://schemas.openxmlformats.org/officeDocument/2006/relationships/hyperlink" Target="mailto:jenniferbeltran762@gmail.com" TargetMode="External"/><Relationship Id="rId1055" Type="http://schemas.openxmlformats.org/officeDocument/2006/relationships/hyperlink" Target="mailto:luifeloorvel@hotmail.com" TargetMode="External"/><Relationship Id="rId1262" Type="http://schemas.openxmlformats.org/officeDocument/2006/relationships/hyperlink" Target="mailto:luisanarcisa_25@hotmail.com" TargetMode="External"/><Relationship Id="rId271" Type="http://schemas.openxmlformats.org/officeDocument/2006/relationships/hyperlink" Target="mailto:maria..quinto1962@gmail.com" TargetMode="External"/><Relationship Id="rId937" Type="http://schemas.openxmlformats.org/officeDocument/2006/relationships/hyperlink" Target="mailto:ecaramirez@hotmail.com" TargetMode="External"/><Relationship Id="rId1122" Type="http://schemas.openxmlformats.org/officeDocument/2006/relationships/hyperlink" Target="mailto:gustavonunezprado@gmail.com" TargetMode="External"/><Relationship Id="rId66" Type="http://schemas.openxmlformats.org/officeDocument/2006/relationships/hyperlink" Target="mailto:tenesandra11@hotmail.com" TargetMode="External"/><Relationship Id="rId131" Type="http://schemas.openxmlformats.org/officeDocument/2006/relationships/hyperlink" Target="mailto:paulz78@hotmail.com" TargetMode="External"/><Relationship Id="rId369" Type="http://schemas.openxmlformats.org/officeDocument/2006/relationships/hyperlink" Target="mailto:nellycarrion69@hotmail.com" TargetMode="External"/><Relationship Id="rId576" Type="http://schemas.openxmlformats.org/officeDocument/2006/relationships/hyperlink" Target="mailto:anagomez171279@gmail.com" TargetMode="External"/><Relationship Id="rId783" Type="http://schemas.openxmlformats.org/officeDocument/2006/relationships/hyperlink" Target="mailto:emilizooo@hotmai.com" TargetMode="External"/><Relationship Id="rId990" Type="http://schemas.openxmlformats.org/officeDocument/2006/relationships/hyperlink" Target="mailto:juliobravomacias1984@gmail.com" TargetMode="External"/><Relationship Id="rId1427" Type="http://schemas.openxmlformats.org/officeDocument/2006/relationships/hyperlink" Target="mailto:franciscoposligua1982@gmail.com" TargetMode="External"/><Relationship Id="rId229" Type="http://schemas.openxmlformats.org/officeDocument/2006/relationships/hyperlink" Target="mailto:emarceloc12@gmail.com" TargetMode="External"/><Relationship Id="rId436" Type="http://schemas.openxmlformats.org/officeDocument/2006/relationships/hyperlink" Target="mailto:sorayatorres76@hotmail.com" TargetMode="External"/><Relationship Id="rId643" Type="http://schemas.openxmlformats.org/officeDocument/2006/relationships/hyperlink" Target="mailto:epalacios.ocp.@gmail.com" TargetMode="External"/><Relationship Id="rId1066" Type="http://schemas.openxmlformats.org/officeDocument/2006/relationships/hyperlink" Target="mailto:frnandito1996123@gmail.com" TargetMode="External"/><Relationship Id="rId1273" Type="http://schemas.openxmlformats.org/officeDocument/2006/relationships/hyperlink" Target="mailto:inesgracielab7@gmail.com" TargetMode="External"/><Relationship Id="rId1480" Type="http://schemas.openxmlformats.org/officeDocument/2006/relationships/hyperlink" Target="mailto:darmo7101981@gmail.com" TargetMode="External"/><Relationship Id="rId850" Type="http://schemas.openxmlformats.org/officeDocument/2006/relationships/hyperlink" Target="mailto:nandocamachopineda@gmail.com" TargetMode="External"/><Relationship Id="rId948" Type="http://schemas.openxmlformats.org/officeDocument/2006/relationships/hyperlink" Target="mailto:mejia.wagner@gmail.com" TargetMode="External"/><Relationship Id="rId1133" Type="http://schemas.openxmlformats.org/officeDocument/2006/relationships/hyperlink" Target="mailto:jonathan_aljava@hotmail.com" TargetMode="External"/><Relationship Id="rId77" Type="http://schemas.openxmlformats.org/officeDocument/2006/relationships/hyperlink" Target="mailto:llongobyron@gmail.com" TargetMode="External"/><Relationship Id="rId282" Type="http://schemas.openxmlformats.org/officeDocument/2006/relationships/hyperlink" Target="mailto:abcgarces@gmail.com" TargetMode="External"/><Relationship Id="rId503" Type="http://schemas.openxmlformats.org/officeDocument/2006/relationships/hyperlink" Target="mailto:joseespin82@icloud.com" TargetMode="External"/><Relationship Id="rId587" Type="http://schemas.openxmlformats.org/officeDocument/2006/relationships/hyperlink" Target="mailto:jessy_moran34@hotmail.com" TargetMode="External"/><Relationship Id="rId710" Type="http://schemas.openxmlformats.org/officeDocument/2006/relationships/hyperlink" Target="mailto:boryslexcarpos@hotmail.com" TargetMode="External"/><Relationship Id="rId808" Type="http://schemas.openxmlformats.org/officeDocument/2006/relationships/hyperlink" Target="mailto:mercedes-jimenezp@hotmail.com" TargetMode="External"/><Relationship Id="rId1340" Type="http://schemas.openxmlformats.org/officeDocument/2006/relationships/hyperlink" Target="mailto:gabo00info@gmail.com" TargetMode="External"/><Relationship Id="rId1438" Type="http://schemas.openxmlformats.org/officeDocument/2006/relationships/hyperlink" Target="mailto:mercedes-09876@hotmail.com" TargetMode="External"/><Relationship Id="rId8" Type="http://schemas.openxmlformats.org/officeDocument/2006/relationships/hyperlink" Target="mailto:eneidabast@yahoo.es" TargetMode="External"/><Relationship Id="rId142" Type="http://schemas.openxmlformats.org/officeDocument/2006/relationships/hyperlink" Target="mailto:slenin_pmo7@hotmail.com" TargetMode="External"/><Relationship Id="rId447" Type="http://schemas.openxmlformats.org/officeDocument/2006/relationships/hyperlink" Target="mailto:cmorapatricia@yahoo.com" TargetMode="External"/><Relationship Id="rId794" Type="http://schemas.openxmlformats.org/officeDocument/2006/relationships/hyperlink" Target="mailto:rosaquispe12345678910@hotmail.com" TargetMode="External"/><Relationship Id="rId1077" Type="http://schemas.openxmlformats.org/officeDocument/2006/relationships/hyperlink" Target="mailto:benjaminolmedoserranopalacios@gmail.com" TargetMode="External"/><Relationship Id="rId1200" Type="http://schemas.openxmlformats.org/officeDocument/2006/relationships/hyperlink" Target="mailto:wili_guijarro@hotmail.com" TargetMode="External"/><Relationship Id="rId654" Type="http://schemas.openxmlformats.org/officeDocument/2006/relationships/hyperlink" Target="mailto:jeisonshg@gmail.com" TargetMode="External"/><Relationship Id="rId861" Type="http://schemas.openxmlformats.org/officeDocument/2006/relationships/hyperlink" Target="mailto:jeffersonmacias9@hotmail.com" TargetMode="External"/><Relationship Id="rId959" Type="http://schemas.openxmlformats.org/officeDocument/2006/relationships/hyperlink" Target="mailto:rosagualavisi@gmail.com" TargetMode="External"/><Relationship Id="rId1284" Type="http://schemas.openxmlformats.org/officeDocument/2006/relationships/hyperlink" Target="mailto:mmerchan56@hotmail.com" TargetMode="External"/><Relationship Id="rId1491" Type="http://schemas.openxmlformats.org/officeDocument/2006/relationships/hyperlink" Target="mailto:1962angel.lopez@gmail.com" TargetMode="External"/><Relationship Id="rId1505" Type="http://schemas.openxmlformats.org/officeDocument/2006/relationships/hyperlink" Target="mailto:hugo_hteran@yahoo.com" TargetMode="External"/><Relationship Id="rId293" Type="http://schemas.openxmlformats.org/officeDocument/2006/relationships/hyperlink" Target="mailto:nancy_1982@outlook.es" TargetMode="External"/><Relationship Id="rId307" Type="http://schemas.openxmlformats.org/officeDocument/2006/relationships/hyperlink" Target="mailto:cisne_padilla@yahoo.es" TargetMode="External"/><Relationship Id="rId514" Type="http://schemas.openxmlformats.org/officeDocument/2006/relationships/hyperlink" Target="mailto:pilichin15@gmail.com" TargetMode="External"/><Relationship Id="rId721" Type="http://schemas.openxmlformats.org/officeDocument/2006/relationships/hyperlink" Target="mailto:evm926@gmail.com" TargetMode="External"/><Relationship Id="rId1144" Type="http://schemas.openxmlformats.org/officeDocument/2006/relationships/hyperlink" Target="mailto:uespinoza1@hotmail.com" TargetMode="External"/><Relationship Id="rId1351" Type="http://schemas.openxmlformats.org/officeDocument/2006/relationships/hyperlink" Target="mailto:eliano_1890@hotmail.com" TargetMode="External"/><Relationship Id="rId1449" Type="http://schemas.openxmlformats.org/officeDocument/2006/relationships/hyperlink" Target="mailto:jessicabayas_14@hotmail.com" TargetMode="External"/><Relationship Id="rId88" Type="http://schemas.openxmlformats.org/officeDocument/2006/relationships/hyperlink" Target="mailto:belaharo@outlook.es" TargetMode="External"/><Relationship Id="rId153" Type="http://schemas.openxmlformats.org/officeDocument/2006/relationships/hyperlink" Target="mailto:zelcorro@gmail.com" TargetMode="External"/><Relationship Id="rId360" Type="http://schemas.openxmlformats.org/officeDocument/2006/relationships/hyperlink" Target="mailto:josefranco78@outlook.es" TargetMode="External"/><Relationship Id="rId598" Type="http://schemas.openxmlformats.org/officeDocument/2006/relationships/hyperlink" Target="mailto:katherinsanchez106@hotmail.com" TargetMode="External"/><Relationship Id="rId819" Type="http://schemas.openxmlformats.org/officeDocument/2006/relationships/hyperlink" Target="mailto:carolinacuevav@gmail.com" TargetMode="External"/><Relationship Id="rId1004" Type="http://schemas.openxmlformats.org/officeDocument/2006/relationships/hyperlink" Target="mailto:erikaquispesantosdome@gmail.com" TargetMode="External"/><Relationship Id="rId1211" Type="http://schemas.openxmlformats.org/officeDocument/2006/relationships/hyperlink" Target="mailto:amaguayedu@gmail.com" TargetMode="External"/><Relationship Id="rId220" Type="http://schemas.openxmlformats.org/officeDocument/2006/relationships/hyperlink" Target="mailto:diego1991martos@gmail.com" TargetMode="External"/><Relationship Id="rId458" Type="http://schemas.openxmlformats.org/officeDocument/2006/relationships/hyperlink" Target="mailto:anabell_perez@gmail.com" TargetMode="External"/><Relationship Id="rId665" Type="http://schemas.openxmlformats.org/officeDocument/2006/relationships/hyperlink" Target="mailto:aluminonte3172@gmail.com" TargetMode="External"/><Relationship Id="rId872" Type="http://schemas.openxmlformats.org/officeDocument/2006/relationships/hyperlink" Target="mailto:copasoccer_live@hotmail.com" TargetMode="External"/><Relationship Id="rId1088" Type="http://schemas.openxmlformats.org/officeDocument/2006/relationships/hyperlink" Target="mailto:joseph_1110acos@hotmail.com" TargetMode="External"/><Relationship Id="rId1295" Type="http://schemas.openxmlformats.org/officeDocument/2006/relationships/hyperlink" Target="mailto:enrique_anchundia78@hotmail.com" TargetMode="External"/><Relationship Id="rId1309" Type="http://schemas.openxmlformats.org/officeDocument/2006/relationships/hyperlink" Target="mailto:claraxmejiasalazar@gmail.com" TargetMode="External"/><Relationship Id="rId1516" Type="http://schemas.openxmlformats.org/officeDocument/2006/relationships/hyperlink" Target="mailto:mafer.chaye5@gmail.com" TargetMode="External"/><Relationship Id="rId15" Type="http://schemas.openxmlformats.org/officeDocument/2006/relationships/hyperlink" Target="mailto:sandyelizam@hotmail.com" TargetMode="External"/><Relationship Id="rId318" Type="http://schemas.openxmlformats.org/officeDocument/2006/relationships/hyperlink" Target="mailto:alexami830@gmail.com" TargetMode="External"/><Relationship Id="rId525" Type="http://schemas.openxmlformats.org/officeDocument/2006/relationships/hyperlink" Target="mailto:mvera8747@hotmail.com" TargetMode="External"/><Relationship Id="rId732" Type="http://schemas.openxmlformats.org/officeDocument/2006/relationships/hyperlink" Target="mailto:guachizaracristian85@gmail.com" TargetMode="External"/><Relationship Id="rId1155" Type="http://schemas.openxmlformats.org/officeDocument/2006/relationships/hyperlink" Target="mailto:miguelvalladares797@gmail.com" TargetMode="External"/><Relationship Id="rId1362" Type="http://schemas.openxmlformats.org/officeDocument/2006/relationships/hyperlink" Target="mailto:olracio_@hotmail.com" TargetMode="External"/><Relationship Id="rId99" Type="http://schemas.openxmlformats.org/officeDocument/2006/relationships/hyperlink" Target="mailto:miguel.monar123@gmail.com" TargetMode="External"/><Relationship Id="rId164" Type="http://schemas.openxmlformats.org/officeDocument/2006/relationships/hyperlink" Target="mailto:deyve_1981@gmail.com" TargetMode="External"/><Relationship Id="rId371" Type="http://schemas.openxmlformats.org/officeDocument/2006/relationships/hyperlink" Target="mailto:ehinila_salinas_@hotmail.com" TargetMode="External"/><Relationship Id="rId1015" Type="http://schemas.openxmlformats.org/officeDocument/2006/relationships/hyperlink" Target="mailto:patiperezcordero@gmail.com" TargetMode="External"/><Relationship Id="rId1222" Type="http://schemas.openxmlformats.org/officeDocument/2006/relationships/hyperlink" Target="mailto:robleskatherine1997@gmail.com" TargetMode="External"/><Relationship Id="rId469" Type="http://schemas.openxmlformats.org/officeDocument/2006/relationships/hyperlink" Target="mailto:jenittroncoso@gmail.com" TargetMode="External"/><Relationship Id="rId676" Type="http://schemas.openxmlformats.org/officeDocument/2006/relationships/hyperlink" Target="mailto:jeysonalban95@hotmail.com" TargetMode="External"/><Relationship Id="rId883" Type="http://schemas.openxmlformats.org/officeDocument/2006/relationships/hyperlink" Target="mailto:austinsalinas82@gmail.com" TargetMode="External"/><Relationship Id="rId1099" Type="http://schemas.openxmlformats.org/officeDocument/2006/relationships/hyperlink" Target="mailto:tluega@hotmail.com" TargetMode="External"/><Relationship Id="rId26" Type="http://schemas.openxmlformats.org/officeDocument/2006/relationships/hyperlink" Target="mailto:marco-s16@gmail.com" TargetMode="External"/><Relationship Id="rId231" Type="http://schemas.openxmlformats.org/officeDocument/2006/relationships/hyperlink" Target="mailto:janethchacon1@gmail.com" TargetMode="External"/><Relationship Id="rId329" Type="http://schemas.openxmlformats.org/officeDocument/2006/relationships/hyperlink" Target="mailto:borja.salome@hotmail.com" TargetMode="External"/><Relationship Id="rId536" Type="http://schemas.openxmlformats.org/officeDocument/2006/relationships/hyperlink" Target="mailto:hamilton.anastacio@hotmail.com" TargetMode="External"/><Relationship Id="rId1166" Type="http://schemas.openxmlformats.org/officeDocument/2006/relationships/hyperlink" Target="mailto:amandacastillosamaniego@hotmil.com" TargetMode="External"/><Relationship Id="rId1373" Type="http://schemas.openxmlformats.org/officeDocument/2006/relationships/hyperlink" Target="mailto:josse.jaramillo@hotmail.com" TargetMode="External"/><Relationship Id="rId175" Type="http://schemas.openxmlformats.org/officeDocument/2006/relationships/hyperlink" Target="mailto:joselo_navarrete84@yahoo.com" TargetMode="External"/><Relationship Id="rId743" Type="http://schemas.openxmlformats.org/officeDocument/2006/relationships/hyperlink" Target="mailto:luby2411@hotmail.com" TargetMode="External"/><Relationship Id="rId950" Type="http://schemas.openxmlformats.org/officeDocument/2006/relationships/hyperlink" Target="mailto:looraracely663@gmail.com" TargetMode="External"/><Relationship Id="rId1026" Type="http://schemas.openxmlformats.org/officeDocument/2006/relationships/hyperlink" Target="mailto:willpc@live.com" TargetMode="External"/><Relationship Id="rId382" Type="http://schemas.openxmlformats.org/officeDocument/2006/relationships/hyperlink" Target="mailto:tito-calderon69@hotmail.com" TargetMode="External"/><Relationship Id="rId603" Type="http://schemas.openxmlformats.org/officeDocument/2006/relationships/hyperlink" Target="mailto:lizbethamay@yahoo.es" TargetMode="External"/><Relationship Id="rId687" Type="http://schemas.openxmlformats.org/officeDocument/2006/relationships/hyperlink" Target="mailto:davidrequelme@outlook.com" TargetMode="External"/><Relationship Id="rId810" Type="http://schemas.openxmlformats.org/officeDocument/2006/relationships/hyperlink" Target="mailto:lasinquizajuan00@gmail.com" TargetMode="External"/><Relationship Id="rId908" Type="http://schemas.openxmlformats.org/officeDocument/2006/relationships/hyperlink" Target="mailto:wilson080473@hotmail.com" TargetMode="External"/><Relationship Id="rId1233" Type="http://schemas.openxmlformats.org/officeDocument/2006/relationships/hyperlink" Target="mailto:alcivarholger25@gmail.com" TargetMode="External"/><Relationship Id="rId1440" Type="http://schemas.openxmlformats.org/officeDocument/2006/relationships/hyperlink" Target="mailto:dannia2015.o@gmail.com" TargetMode="External"/><Relationship Id="rId242" Type="http://schemas.openxmlformats.org/officeDocument/2006/relationships/hyperlink" Target="mailto:gonzalezmariela536@gmail.com" TargetMode="External"/><Relationship Id="rId894" Type="http://schemas.openxmlformats.org/officeDocument/2006/relationships/hyperlink" Target="mailto:eli.jime90@hotmail.com" TargetMode="External"/><Relationship Id="rId1177" Type="http://schemas.openxmlformats.org/officeDocument/2006/relationships/hyperlink" Target="mailto:pedrozambranov@outlook.com" TargetMode="External"/><Relationship Id="rId1300" Type="http://schemas.openxmlformats.org/officeDocument/2006/relationships/hyperlink" Target="mailto:lucianocruzpinela@hotmail.com" TargetMode="External"/><Relationship Id="rId37" Type="http://schemas.openxmlformats.org/officeDocument/2006/relationships/hyperlink" Target="mailto:hoja30@gmail.com" TargetMode="External"/><Relationship Id="rId102" Type="http://schemas.openxmlformats.org/officeDocument/2006/relationships/hyperlink" Target="mailto:erick.torito@hotmail.com" TargetMode="External"/><Relationship Id="rId547" Type="http://schemas.openxmlformats.org/officeDocument/2006/relationships/hyperlink" Target="mailto:nandomejia72@hotmail.com" TargetMode="External"/><Relationship Id="rId754" Type="http://schemas.openxmlformats.org/officeDocument/2006/relationships/hyperlink" Target="mailto:joalexandra89@gmail.com" TargetMode="External"/><Relationship Id="rId961" Type="http://schemas.openxmlformats.org/officeDocument/2006/relationships/hyperlink" Target="mailto:pulojeda41@gmail.com" TargetMode="External"/><Relationship Id="rId1384" Type="http://schemas.openxmlformats.org/officeDocument/2006/relationships/hyperlink" Target="mailto:waltermacas321@gmail.com" TargetMode="External"/><Relationship Id="rId90" Type="http://schemas.openxmlformats.org/officeDocument/2006/relationships/hyperlink" Target="mailto:karenacan92@gmail.com" TargetMode="External"/><Relationship Id="rId186" Type="http://schemas.openxmlformats.org/officeDocument/2006/relationships/hyperlink" Target="mailto:jennyjanethmanzano@gmail.com" TargetMode="External"/><Relationship Id="rId393" Type="http://schemas.openxmlformats.org/officeDocument/2006/relationships/hyperlink" Target="mailto:juangls1958@hotmail.com" TargetMode="External"/><Relationship Id="rId407" Type="http://schemas.openxmlformats.org/officeDocument/2006/relationships/hyperlink" Target="mailto:jona251991@gmail.com" TargetMode="External"/><Relationship Id="rId614" Type="http://schemas.openxmlformats.org/officeDocument/2006/relationships/hyperlink" Target="mailto:mechitatroya@hotmail.com" TargetMode="External"/><Relationship Id="rId821" Type="http://schemas.openxmlformats.org/officeDocument/2006/relationships/hyperlink" Target="mailto:letyzai08@gmail.com" TargetMode="External"/><Relationship Id="rId1037" Type="http://schemas.openxmlformats.org/officeDocument/2006/relationships/hyperlink" Target="mailto:justobermudez1@gmail.com" TargetMode="External"/><Relationship Id="rId1244" Type="http://schemas.openxmlformats.org/officeDocument/2006/relationships/hyperlink" Target="mailto:mary50300@hotmail.com" TargetMode="External"/><Relationship Id="rId1451" Type="http://schemas.openxmlformats.org/officeDocument/2006/relationships/hyperlink" Target="mailto:kle_sant@hotmail.com" TargetMode="External"/><Relationship Id="rId253" Type="http://schemas.openxmlformats.org/officeDocument/2006/relationships/hyperlink" Target="mailto:luisfernando.camposruiz@yahoo.ec" TargetMode="External"/><Relationship Id="rId460" Type="http://schemas.openxmlformats.org/officeDocument/2006/relationships/hyperlink" Target="mailto:davidcuji19@gmail.com" TargetMode="External"/><Relationship Id="rId698" Type="http://schemas.openxmlformats.org/officeDocument/2006/relationships/hyperlink" Target="mailto:fabriziocastrob.3@gmail,com" TargetMode="External"/><Relationship Id="rId919" Type="http://schemas.openxmlformats.org/officeDocument/2006/relationships/hyperlink" Target="mailto:kleverniclx92@gmail.com" TargetMode="External"/><Relationship Id="rId1090" Type="http://schemas.openxmlformats.org/officeDocument/2006/relationships/hyperlink" Target="mailto:ivonne.ferrin.s@gmail.com" TargetMode="External"/><Relationship Id="rId1104" Type="http://schemas.openxmlformats.org/officeDocument/2006/relationships/hyperlink" Target="mailto:anasiavichay1975@gmail.com" TargetMode="External"/><Relationship Id="rId1311" Type="http://schemas.openxmlformats.org/officeDocument/2006/relationships/hyperlink" Target="mailto:mgyg2201@gmail.com" TargetMode="External"/><Relationship Id="rId48" Type="http://schemas.openxmlformats.org/officeDocument/2006/relationships/hyperlink" Target="mailto:jhonnyvelez029@gmail.com" TargetMode="External"/><Relationship Id="rId113" Type="http://schemas.openxmlformats.org/officeDocument/2006/relationships/hyperlink" Target="mailto:jeffersoncevallos16@gmail.com" TargetMode="External"/><Relationship Id="rId320" Type="http://schemas.openxmlformats.org/officeDocument/2006/relationships/hyperlink" Target="mailto:victor.alvarez.silva2009@gmail.com" TargetMode="External"/><Relationship Id="rId558" Type="http://schemas.openxmlformats.org/officeDocument/2006/relationships/hyperlink" Target="mailto:jmlarream76@gmail.com" TargetMode="External"/><Relationship Id="rId765" Type="http://schemas.openxmlformats.org/officeDocument/2006/relationships/hyperlink" Target="mailto:patrickandrade733@gmail.com" TargetMode="External"/><Relationship Id="rId972" Type="http://schemas.openxmlformats.org/officeDocument/2006/relationships/hyperlink" Target="mailto:janinatapia@gmail.com" TargetMode="External"/><Relationship Id="rId1188" Type="http://schemas.openxmlformats.org/officeDocument/2006/relationships/hyperlink" Target="mailto:lizchimbo1973@gmail.com" TargetMode="External"/><Relationship Id="rId1395" Type="http://schemas.openxmlformats.org/officeDocument/2006/relationships/hyperlink" Target="mailto:valeriahumanante@hotmail.com" TargetMode="External"/><Relationship Id="rId1409" Type="http://schemas.openxmlformats.org/officeDocument/2006/relationships/hyperlink" Target="mailto:gloriamacias069@gmail.com" TargetMode="External"/><Relationship Id="rId197" Type="http://schemas.openxmlformats.org/officeDocument/2006/relationships/hyperlink" Target="mailto:je_ni_ffer1990@hotmail.com" TargetMode="External"/><Relationship Id="rId418" Type="http://schemas.openxmlformats.org/officeDocument/2006/relationships/hyperlink" Target="mailto:kathy_emy24@hotmail.com" TargetMode="External"/><Relationship Id="rId625" Type="http://schemas.openxmlformats.org/officeDocument/2006/relationships/hyperlink" Target="mailto:alextpa697@gmail.com" TargetMode="External"/><Relationship Id="rId832" Type="http://schemas.openxmlformats.org/officeDocument/2006/relationships/hyperlink" Target="mailto:sanchezfranklin548@gmail.com" TargetMode="External"/><Relationship Id="rId1048" Type="http://schemas.openxmlformats.org/officeDocument/2006/relationships/hyperlink" Target="mailto:poly_m_silva_3@hotmail.com" TargetMode="External"/><Relationship Id="rId1255" Type="http://schemas.openxmlformats.org/officeDocument/2006/relationships/hyperlink" Target="mailto:marjorievj94@gmail.com" TargetMode="External"/><Relationship Id="rId1462" Type="http://schemas.openxmlformats.org/officeDocument/2006/relationships/hyperlink" Target="mailto:natyferla@hotmail.com" TargetMode="External"/><Relationship Id="rId264" Type="http://schemas.openxmlformats.org/officeDocument/2006/relationships/hyperlink" Target="mailto:anedpaga@yahoo.es" TargetMode="External"/><Relationship Id="rId471" Type="http://schemas.openxmlformats.org/officeDocument/2006/relationships/hyperlink" Target="mailto:beatriz_alban21@hotmail.com" TargetMode="External"/><Relationship Id="rId1115" Type="http://schemas.openxmlformats.org/officeDocument/2006/relationships/hyperlink" Target="mailto:hectorjjm02@hotmail.com" TargetMode="External"/><Relationship Id="rId1322" Type="http://schemas.openxmlformats.org/officeDocument/2006/relationships/hyperlink" Target="mailto:gabriel_sud2492@hotmail.com" TargetMode="External"/><Relationship Id="rId59" Type="http://schemas.openxmlformats.org/officeDocument/2006/relationships/hyperlink" Target="mailto:yadira95guzman@gmail.com" TargetMode="External"/><Relationship Id="rId124" Type="http://schemas.openxmlformats.org/officeDocument/2006/relationships/hyperlink" Target="mailto:jheyson747@gmail.com" TargetMode="External"/><Relationship Id="rId569" Type="http://schemas.openxmlformats.org/officeDocument/2006/relationships/hyperlink" Target="mailto:ymorans1960@gmail.com" TargetMode="External"/><Relationship Id="rId776" Type="http://schemas.openxmlformats.org/officeDocument/2006/relationships/hyperlink" Target="mailto:erikaarce9917@gmail.com" TargetMode="External"/><Relationship Id="rId983" Type="http://schemas.openxmlformats.org/officeDocument/2006/relationships/hyperlink" Target="mailto:familydrisna@hotmail.com" TargetMode="External"/><Relationship Id="rId1199" Type="http://schemas.openxmlformats.org/officeDocument/2006/relationships/hyperlink" Target="mailto:eumirytabajo1974@hotmail.com" TargetMode="External"/><Relationship Id="rId331" Type="http://schemas.openxmlformats.org/officeDocument/2006/relationships/hyperlink" Target="mailto:lourdeshinojosa75@hotmail.com" TargetMode="External"/><Relationship Id="rId429" Type="http://schemas.openxmlformats.org/officeDocument/2006/relationships/hyperlink" Target="mailto:mcangomatailo@gmail.com" TargetMode="External"/><Relationship Id="rId636" Type="http://schemas.openxmlformats.org/officeDocument/2006/relationships/hyperlink" Target="mailto:yamiratapuyo@gmail.com" TargetMode="External"/><Relationship Id="rId1059" Type="http://schemas.openxmlformats.org/officeDocument/2006/relationships/hyperlink" Target="mailto:rjaimezarellano@gmail.com" TargetMode="External"/><Relationship Id="rId1266" Type="http://schemas.openxmlformats.org/officeDocument/2006/relationships/hyperlink" Target="mailto:patri9014@gmail.com" TargetMode="External"/><Relationship Id="rId1473" Type="http://schemas.openxmlformats.org/officeDocument/2006/relationships/hyperlink" Target="mailto:oscarmurillozambrano@hotmail.com" TargetMode="External"/><Relationship Id="rId843" Type="http://schemas.openxmlformats.org/officeDocument/2006/relationships/hyperlink" Target="mailto:ricardojbl.85@hotmail.com" TargetMode="External"/><Relationship Id="rId1126" Type="http://schemas.openxmlformats.org/officeDocument/2006/relationships/hyperlink" Target="mailto:jhonnygarciac@outlook.com" TargetMode="External"/><Relationship Id="rId275" Type="http://schemas.openxmlformats.org/officeDocument/2006/relationships/hyperlink" Target="mailto:josehomeroandradeparra@gmail.com" TargetMode="External"/><Relationship Id="rId482" Type="http://schemas.openxmlformats.org/officeDocument/2006/relationships/hyperlink" Target="mailto:miriam_mu&#241;oz@hotmail.com" TargetMode="External"/><Relationship Id="rId703" Type="http://schemas.openxmlformats.org/officeDocument/2006/relationships/hyperlink" Target="mailto:anacrespo407@gmail.com" TargetMode="External"/><Relationship Id="rId910" Type="http://schemas.openxmlformats.org/officeDocument/2006/relationships/hyperlink" Target="mailto:guaman26luis@gmail.com" TargetMode="External"/><Relationship Id="rId1333" Type="http://schemas.openxmlformats.org/officeDocument/2006/relationships/hyperlink" Target="mailto:carlacampoverde68@gmail.com" TargetMode="External"/><Relationship Id="rId135" Type="http://schemas.openxmlformats.org/officeDocument/2006/relationships/hyperlink" Target="mailto:luchitobravo67@hotmail.com" TargetMode="External"/><Relationship Id="rId342" Type="http://schemas.openxmlformats.org/officeDocument/2006/relationships/hyperlink" Target="mailto:irmalastenia35@gmail.com" TargetMode="External"/><Relationship Id="rId787" Type="http://schemas.openxmlformats.org/officeDocument/2006/relationships/hyperlink" Target="mailto:atinoemi26@gmail.com" TargetMode="External"/><Relationship Id="rId994" Type="http://schemas.openxmlformats.org/officeDocument/2006/relationships/hyperlink" Target="mailto:freddygomez1964@yahoo.com" TargetMode="External"/><Relationship Id="rId1400" Type="http://schemas.openxmlformats.org/officeDocument/2006/relationships/hyperlink" Target="mailto:rosariosanchezmoyo8@gmail.com" TargetMode="External"/><Relationship Id="rId202" Type="http://schemas.openxmlformats.org/officeDocument/2006/relationships/hyperlink" Target="mailto:masaes1@hotmail.com" TargetMode="External"/><Relationship Id="rId647" Type="http://schemas.openxmlformats.org/officeDocument/2006/relationships/hyperlink" Target="mailto:williamchaca2179@gmail.com" TargetMode="External"/><Relationship Id="rId854" Type="http://schemas.openxmlformats.org/officeDocument/2006/relationships/hyperlink" Target="mailto:mnguaman01@gmail.com" TargetMode="External"/><Relationship Id="rId1277" Type="http://schemas.openxmlformats.org/officeDocument/2006/relationships/hyperlink" Target="mailto:ana_josue1@hotmail.com" TargetMode="External"/><Relationship Id="rId1484" Type="http://schemas.openxmlformats.org/officeDocument/2006/relationships/hyperlink" Target="mailto:marthaceciliaa115@gmail.com" TargetMode="External"/><Relationship Id="rId286" Type="http://schemas.openxmlformats.org/officeDocument/2006/relationships/hyperlink" Target="mailto:edpozovi@gmail.com" TargetMode="External"/><Relationship Id="rId493" Type="http://schemas.openxmlformats.org/officeDocument/2006/relationships/hyperlink" Target="mailto:giselamor.1996@hotmail.com" TargetMode="External"/><Relationship Id="rId507" Type="http://schemas.openxmlformats.org/officeDocument/2006/relationships/hyperlink" Target="mailto:jacintoheras995@gmail.com" TargetMode="External"/><Relationship Id="rId714" Type="http://schemas.openxmlformats.org/officeDocument/2006/relationships/hyperlink" Target="mailto:ramiro89criollo@hotmail.com" TargetMode="External"/><Relationship Id="rId921" Type="http://schemas.openxmlformats.org/officeDocument/2006/relationships/hyperlink" Target="mailto:kevinbasantes1234jp@gmail.com" TargetMode="External"/><Relationship Id="rId1137" Type="http://schemas.openxmlformats.org/officeDocument/2006/relationships/hyperlink" Target="mailto:gabrlik1994@gmail.com" TargetMode="External"/><Relationship Id="rId1344" Type="http://schemas.openxmlformats.org/officeDocument/2006/relationships/hyperlink" Target="mailto:dayanamero1996@gmail.com" TargetMode="External"/><Relationship Id="rId50" Type="http://schemas.openxmlformats.org/officeDocument/2006/relationships/hyperlink" Target="mailto:amparito.ramirezlopez@gmail.com" TargetMode="External"/><Relationship Id="rId146" Type="http://schemas.openxmlformats.org/officeDocument/2006/relationships/hyperlink" Target="mailto:gladyssisa@yahoo.es" TargetMode="External"/><Relationship Id="rId353" Type="http://schemas.openxmlformats.org/officeDocument/2006/relationships/hyperlink" Target="mailto:tatialexfigueroa2017@gmail.com" TargetMode="External"/><Relationship Id="rId560" Type="http://schemas.openxmlformats.org/officeDocument/2006/relationships/hyperlink" Target="mailto:evelyncalvache1995@gmail.com" TargetMode="External"/><Relationship Id="rId798" Type="http://schemas.openxmlformats.org/officeDocument/2006/relationships/hyperlink" Target="mailto:vicentecajo@gmail.com" TargetMode="External"/><Relationship Id="rId1190" Type="http://schemas.openxmlformats.org/officeDocument/2006/relationships/hyperlink" Target="mailto:josueandsk8@gmail.com" TargetMode="External"/><Relationship Id="rId1204" Type="http://schemas.openxmlformats.org/officeDocument/2006/relationships/hyperlink" Target="mailto:andycolcha09@gmail.com" TargetMode="External"/><Relationship Id="rId1411" Type="http://schemas.openxmlformats.org/officeDocument/2006/relationships/hyperlink" Target="mailto:jeniips@hotmail.com" TargetMode="External"/><Relationship Id="rId213" Type="http://schemas.openxmlformats.org/officeDocument/2006/relationships/hyperlink" Target="mailto:payda1806@gmail.com" TargetMode="External"/><Relationship Id="rId420" Type="http://schemas.openxmlformats.org/officeDocument/2006/relationships/hyperlink" Target="mailto:mariafernandaneiramejia86@gmail.com" TargetMode="External"/><Relationship Id="rId658" Type="http://schemas.openxmlformats.org/officeDocument/2006/relationships/hyperlink" Target="mailto:bcqueline_asan1818@hotmail.com" TargetMode="External"/><Relationship Id="rId865" Type="http://schemas.openxmlformats.org/officeDocument/2006/relationships/hyperlink" Target="mailto:josegarcia-1978@hotmail.com" TargetMode="External"/><Relationship Id="rId1050" Type="http://schemas.openxmlformats.org/officeDocument/2006/relationships/hyperlink" Target="mailto:guapopoll@hotmail.com" TargetMode="External"/><Relationship Id="rId1288" Type="http://schemas.openxmlformats.org/officeDocument/2006/relationships/hyperlink" Target="mailto:jpablo2682@hotmail.com" TargetMode="External"/><Relationship Id="rId1495" Type="http://schemas.openxmlformats.org/officeDocument/2006/relationships/hyperlink" Target="mailto:jorge2583@outlook.com" TargetMode="External"/><Relationship Id="rId1509" Type="http://schemas.openxmlformats.org/officeDocument/2006/relationships/hyperlink" Target="mailto:mdzamorap344@gmail.com" TargetMode="External"/><Relationship Id="rId297" Type="http://schemas.openxmlformats.org/officeDocument/2006/relationships/hyperlink" Target="mailto:mariela11014@gmail.com" TargetMode="External"/><Relationship Id="rId518" Type="http://schemas.openxmlformats.org/officeDocument/2006/relationships/hyperlink" Target="mailto:vallejosanchezdiego@gmail.com" TargetMode="External"/><Relationship Id="rId725" Type="http://schemas.openxmlformats.org/officeDocument/2006/relationships/hyperlink" Target="mailto:carlosbucuilima@hotmail.com" TargetMode="External"/><Relationship Id="rId932" Type="http://schemas.openxmlformats.org/officeDocument/2006/relationships/hyperlink" Target="mailto:juanbustillos77@hotmail.com" TargetMode="External"/><Relationship Id="rId1148" Type="http://schemas.openxmlformats.org/officeDocument/2006/relationships/hyperlink" Target="mailto:marie_ronta3008@yahoo.es" TargetMode="External"/><Relationship Id="rId1355" Type="http://schemas.openxmlformats.org/officeDocument/2006/relationships/hyperlink" Target="mailto:janethchai9@gmail.com" TargetMode="External"/><Relationship Id="rId157" Type="http://schemas.openxmlformats.org/officeDocument/2006/relationships/hyperlink" Target="mailto:annyguzman_16@hotmail.com" TargetMode="External"/><Relationship Id="rId364" Type="http://schemas.openxmlformats.org/officeDocument/2006/relationships/hyperlink" Target="mailto:rl441401@gmail.com" TargetMode="External"/><Relationship Id="rId1008" Type="http://schemas.openxmlformats.org/officeDocument/2006/relationships/hyperlink" Target="mailto:verojaramillosol1390@gmail.com" TargetMode="External"/><Relationship Id="rId1215" Type="http://schemas.openxmlformats.org/officeDocument/2006/relationships/hyperlink" Target="mailto:jonfiallos123@gmail.com" TargetMode="External"/><Relationship Id="rId1422" Type="http://schemas.openxmlformats.org/officeDocument/2006/relationships/hyperlink" Target="mailto:josepaezb@hotmail.com" TargetMode="External"/><Relationship Id="rId61" Type="http://schemas.openxmlformats.org/officeDocument/2006/relationships/hyperlink" Target="mailto:ricky-1989dlt@hotmail.com" TargetMode="External"/><Relationship Id="rId571" Type="http://schemas.openxmlformats.org/officeDocument/2006/relationships/hyperlink" Target="mailto:marcelorizzo16@yahoo.com" TargetMode="External"/><Relationship Id="rId669" Type="http://schemas.openxmlformats.org/officeDocument/2006/relationships/hyperlink" Target="mailto:elias163126suarez@gmail.com" TargetMode="External"/><Relationship Id="rId876" Type="http://schemas.openxmlformats.org/officeDocument/2006/relationships/hyperlink" Target="mailto:marisadeleg@gmail.com" TargetMode="External"/><Relationship Id="rId1299" Type="http://schemas.openxmlformats.org/officeDocument/2006/relationships/hyperlink" Target="mailto:evecanes85@gmail.com" TargetMode="External"/><Relationship Id="rId19" Type="http://schemas.openxmlformats.org/officeDocument/2006/relationships/hyperlink" Target="mailto:erleniortiz@hotmail.com" TargetMode="External"/><Relationship Id="rId224" Type="http://schemas.openxmlformats.org/officeDocument/2006/relationships/hyperlink" Target="mailto:mendezjuanalfa05@gmail.com" TargetMode="External"/><Relationship Id="rId431" Type="http://schemas.openxmlformats.org/officeDocument/2006/relationships/hyperlink" Target="mailto:silviovv18@gmail.com" TargetMode="External"/><Relationship Id="rId529" Type="http://schemas.openxmlformats.org/officeDocument/2006/relationships/hyperlink" Target="mailto:vilmadelrocio-061985@hotmail.com" TargetMode="External"/><Relationship Id="rId736" Type="http://schemas.openxmlformats.org/officeDocument/2006/relationships/hyperlink" Target="mailto:gafitastd@gmail.com" TargetMode="External"/><Relationship Id="rId1061" Type="http://schemas.openxmlformats.org/officeDocument/2006/relationships/hyperlink" Target="mailto:maria.montaleza@hotmail.com" TargetMode="External"/><Relationship Id="rId1159" Type="http://schemas.openxmlformats.org/officeDocument/2006/relationships/hyperlink" Target="mailto:pedroandrescedenoreginfo@gmail.com" TargetMode="External"/><Relationship Id="rId1366" Type="http://schemas.openxmlformats.org/officeDocument/2006/relationships/hyperlink" Target="mailto:midarcuzco@gmail.com" TargetMode="External"/><Relationship Id="rId168" Type="http://schemas.openxmlformats.org/officeDocument/2006/relationships/hyperlink" Target="mailto:renaerazojacome@gmail.com" TargetMode="External"/><Relationship Id="rId943" Type="http://schemas.openxmlformats.org/officeDocument/2006/relationships/hyperlink" Target="mailto:gutierrez-std92@hotmail.com" TargetMode="External"/><Relationship Id="rId1019" Type="http://schemas.openxmlformats.org/officeDocument/2006/relationships/hyperlink" Target="mailto:irmaparco25@gmail.com" TargetMode="External"/><Relationship Id="rId72" Type="http://schemas.openxmlformats.org/officeDocument/2006/relationships/hyperlink" Target="mailto:jessijou8804@gmail.com" TargetMode="External"/><Relationship Id="rId375" Type="http://schemas.openxmlformats.org/officeDocument/2006/relationships/hyperlink" Target="mailto:juliama.garcia2979@gmail.com" TargetMode="External"/><Relationship Id="rId582" Type="http://schemas.openxmlformats.org/officeDocument/2006/relationships/hyperlink" Target="mailto:salajonathan64@hotmail.com" TargetMode="External"/><Relationship Id="rId803" Type="http://schemas.openxmlformats.org/officeDocument/2006/relationships/hyperlink" Target="mailto:herniuxo18@gmail.com" TargetMode="External"/><Relationship Id="rId1226" Type="http://schemas.openxmlformats.org/officeDocument/2006/relationships/hyperlink" Target="mailto:piedadvelez18@gmail.com" TargetMode="External"/><Relationship Id="rId1433" Type="http://schemas.openxmlformats.org/officeDocument/2006/relationships/hyperlink" Target="mailto:isabelramos484@gmail.com" TargetMode="External"/><Relationship Id="rId3" Type="http://schemas.openxmlformats.org/officeDocument/2006/relationships/hyperlink" Target="mailto:jessi.santellan277@hotmail.com" TargetMode="External"/><Relationship Id="rId235" Type="http://schemas.openxmlformats.org/officeDocument/2006/relationships/hyperlink" Target="mailto:luisalbertotocachi@hotmail.com" TargetMode="External"/><Relationship Id="rId442" Type="http://schemas.openxmlformats.org/officeDocument/2006/relationships/hyperlink" Target="mailto:chimboalucho5967@gmail.com" TargetMode="External"/><Relationship Id="rId887" Type="http://schemas.openxmlformats.org/officeDocument/2006/relationships/hyperlink" Target="mailto:aguirregrandal4@gmail.com" TargetMode="External"/><Relationship Id="rId1072" Type="http://schemas.openxmlformats.org/officeDocument/2006/relationships/hyperlink" Target="mailto:davidmunoz190890@gmail.com" TargetMode="External"/><Relationship Id="rId1500" Type="http://schemas.openxmlformats.org/officeDocument/2006/relationships/hyperlink" Target="mailto:margaritacs0759@gmail.com" TargetMode="External"/><Relationship Id="rId302" Type="http://schemas.openxmlformats.org/officeDocument/2006/relationships/hyperlink" Target="mailto:patriciavasquezfg1@gmail.com" TargetMode="External"/><Relationship Id="rId747" Type="http://schemas.openxmlformats.org/officeDocument/2006/relationships/hyperlink" Target="mailto:katherineniccol.gz@gmail.com" TargetMode="External"/><Relationship Id="rId954" Type="http://schemas.openxmlformats.org/officeDocument/2006/relationships/hyperlink" Target="mailto:leoncio_castillo@hotmail.com" TargetMode="External"/><Relationship Id="rId1377" Type="http://schemas.openxmlformats.org/officeDocument/2006/relationships/hyperlink" Target="mailto:roh7-7@hotmail.com" TargetMode="External"/><Relationship Id="rId83" Type="http://schemas.openxmlformats.org/officeDocument/2006/relationships/hyperlink" Target="mailto:karenvintimilla@hotmail.com" TargetMode="External"/><Relationship Id="rId179" Type="http://schemas.openxmlformats.org/officeDocument/2006/relationships/hyperlink" Target="mailto:je-ssy27@hotmail.com" TargetMode="External"/><Relationship Id="rId386" Type="http://schemas.openxmlformats.org/officeDocument/2006/relationships/hyperlink" Target="mailto:seguelectronica.ec@gmail.com" TargetMode="External"/><Relationship Id="rId593" Type="http://schemas.openxmlformats.org/officeDocument/2006/relationships/hyperlink" Target="mailto:maurogarcia323@gmail.com" TargetMode="External"/><Relationship Id="rId607" Type="http://schemas.openxmlformats.org/officeDocument/2006/relationships/hyperlink" Target="mailto:djtjimenez93@gmail.com" TargetMode="External"/><Relationship Id="rId814" Type="http://schemas.openxmlformats.org/officeDocument/2006/relationships/hyperlink" Target="mailto:jifer2505jcm@gmail.com" TargetMode="External"/><Relationship Id="rId1237" Type="http://schemas.openxmlformats.org/officeDocument/2006/relationships/hyperlink" Target="mailto:vivianab1975@hotmail.com" TargetMode="External"/><Relationship Id="rId1444" Type="http://schemas.openxmlformats.org/officeDocument/2006/relationships/hyperlink" Target="mailto:schuquirima28@gmail.com" TargetMode="External"/><Relationship Id="rId246" Type="http://schemas.openxmlformats.org/officeDocument/2006/relationships/hyperlink" Target="mailto:omar77alvarado@gmail.com" TargetMode="External"/><Relationship Id="rId453" Type="http://schemas.openxmlformats.org/officeDocument/2006/relationships/hyperlink" Target="mailto:jpgcgutierrez@gmail.com" TargetMode="External"/><Relationship Id="rId660" Type="http://schemas.openxmlformats.org/officeDocument/2006/relationships/hyperlink" Target="mailto:dianamontuano1983@gmail.com" TargetMode="External"/><Relationship Id="rId898" Type="http://schemas.openxmlformats.org/officeDocument/2006/relationships/hyperlink" Target="mailto:fahuce@gmail.com" TargetMode="External"/><Relationship Id="rId1083" Type="http://schemas.openxmlformats.org/officeDocument/2006/relationships/hyperlink" Target="mailto:janeth212008@hotmail.com" TargetMode="External"/><Relationship Id="rId1290" Type="http://schemas.openxmlformats.org/officeDocument/2006/relationships/hyperlink" Target="mailto:juan_joselema1979@hotmail.com" TargetMode="External"/><Relationship Id="rId1304" Type="http://schemas.openxmlformats.org/officeDocument/2006/relationships/hyperlink" Target="mailto:angietorresio4@hotmail.com" TargetMode="External"/><Relationship Id="rId1511" Type="http://schemas.openxmlformats.org/officeDocument/2006/relationships/hyperlink" Target="mailto:guerrerovalentino1948@gmial.com" TargetMode="External"/><Relationship Id="rId106" Type="http://schemas.openxmlformats.org/officeDocument/2006/relationships/hyperlink" Target="mailto:kristinavelez04@gmail.com" TargetMode="External"/><Relationship Id="rId313" Type="http://schemas.openxmlformats.org/officeDocument/2006/relationships/hyperlink" Target="mailto:carletas.t@gmail.com" TargetMode="External"/><Relationship Id="rId758" Type="http://schemas.openxmlformats.org/officeDocument/2006/relationships/hyperlink" Target="mailto:angelcarrenozamura@gmail.com" TargetMode="External"/><Relationship Id="rId965" Type="http://schemas.openxmlformats.org/officeDocument/2006/relationships/hyperlink" Target="mailto:srpozo1973@gmail.com" TargetMode="External"/><Relationship Id="rId1150" Type="http://schemas.openxmlformats.org/officeDocument/2006/relationships/hyperlink" Target="mailto:karlostetrix@hotmail.com" TargetMode="External"/><Relationship Id="rId1388" Type="http://schemas.openxmlformats.org/officeDocument/2006/relationships/hyperlink" Target="mailto:vetdogtor@gmail.com" TargetMode="External"/><Relationship Id="rId10" Type="http://schemas.openxmlformats.org/officeDocument/2006/relationships/hyperlink" Target="mailto:yayita762@hotmail.com" TargetMode="External"/><Relationship Id="rId94" Type="http://schemas.openxmlformats.org/officeDocument/2006/relationships/hyperlink" Target="mailto:marilyn.sandoval91@gmail.com" TargetMode="External"/><Relationship Id="rId397" Type="http://schemas.openxmlformats.org/officeDocument/2006/relationships/hyperlink" Target="mailto:janethmal@hotmail.es" TargetMode="External"/><Relationship Id="rId520" Type="http://schemas.openxmlformats.org/officeDocument/2006/relationships/hyperlink" Target="mailto:bekitipan@gmail.com" TargetMode="External"/><Relationship Id="rId618" Type="http://schemas.openxmlformats.org/officeDocument/2006/relationships/hyperlink" Target="mailto:emilioplua1@outlook.es" TargetMode="External"/><Relationship Id="rId825" Type="http://schemas.openxmlformats.org/officeDocument/2006/relationships/hyperlink" Target="mailto:maite9508@hotmail.com" TargetMode="External"/><Relationship Id="rId1248" Type="http://schemas.openxmlformats.org/officeDocument/2006/relationships/hyperlink" Target="mailto:cecitandazo96@gmail.com" TargetMode="External"/><Relationship Id="rId1455" Type="http://schemas.openxmlformats.org/officeDocument/2006/relationships/hyperlink" Target="mailto:alexquinatoa26@hotmail.com" TargetMode="External"/><Relationship Id="rId257" Type="http://schemas.openxmlformats.org/officeDocument/2006/relationships/hyperlink" Target="mailto:ginyzavala123@gmail.com" TargetMode="External"/><Relationship Id="rId464" Type="http://schemas.openxmlformats.org/officeDocument/2006/relationships/hyperlink" Target="mailto:RACONT67@HOTMAIL.COM" TargetMode="External"/><Relationship Id="rId1010" Type="http://schemas.openxmlformats.org/officeDocument/2006/relationships/hyperlink" Target="mailto:luisa_dier@hotmail.com" TargetMode="External"/><Relationship Id="rId1094" Type="http://schemas.openxmlformats.org/officeDocument/2006/relationships/hyperlink" Target="mailto:byron_jacome1984@hotmail.com" TargetMode="External"/><Relationship Id="rId1108" Type="http://schemas.openxmlformats.org/officeDocument/2006/relationships/hyperlink" Target="mailto:veromerchanh@gmail.com" TargetMode="External"/><Relationship Id="rId1315" Type="http://schemas.openxmlformats.org/officeDocument/2006/relationships/hyperlink" Target="mailto:faut56martinez@gmail.com" TargetMode="External"/><Relationship Id="rId117" Type="http://schemas.openxmlformats.org/officeDocument/2006/relationships/hyperlink" Target="mailto:silvimrb@hotmail.com" TargetMode="External"/><Relationship Id="rId671" Type="http://schemas.openxmlformats.org/officeDocument/2006/relationships/hyperlink" Target="mailto:wilson_quisatasi@yphaoo.com" TargetMode="External"/><Relationship Id="rId769" Type="http://schemas.openxmlformats.org/officeDocument/2006/relationships/hyperlink" Target="mailto:yorkicardenas@yahoo.com" TargetMode="External"/><Relationship Id="rId976" Type="http://schemas.openxmlformats.org/officeDocument/2006/relationships/hyperlink" Target="mailto:aliciaguamango@hotmail.com" TargetMode="External"/><Relationship Id="rId1399" Type="http://schemas.openxmlformats.org/officeDocument/2006/relationships/hyperlink" Target="mailto:antoniodelgado67@outlook.com" TargetMode="External"/><Relationship Id="rId324" Type="http://schemas.openxmlformats.org/officeDocument/2006/relationships/hyperlink" Target="mailto:alejandranrnjo@gmail.com" TargetMode="External"/><Relationship Id="rId531" Type="http://schemas.openxmlformats.org/officeDocument/2006/relationships/hyperlink" Target="mailto:analore75@hotmail.com" TargetMode="External"/><Relationship Id="rId629" Type="http://schemas.openxmlformats.org/officeDocument/2006/relationships/hyperlink" Target="mailto:alber_car_77@hotmail.com" TargetMode="External"/><Relationship Id="rId1161" Type="http://schemas.openxmlformats.org/officeDocument/2006/relationships/hyperlink" Target="mailto:lindachi970@gmail.com" TargetMode="External"/><Relationship Id="rId1259" Type="http://schemas.openxmlformats.org/officeDocument/2006/relationships/hyperlink" Target="mailto:19961998mayra@gmail.com" TargetMode="External"/><Relationship Id="rId1466" Type="http://schemas.openxmlformats.org/officeDocument/2006/relationships/hyperlink" Target="mailto:fernandacabeza34@gmail.com" TargetMode="External"/><Relationship Id="rId836" Type="http://schemas.openxmlformats.org/officeDocument/2006/relationships/hyperlink" Target="mailto:ivalexiana.6@gmail.com" TargetMode="External"/><Relationship Id="rId1021" Type="http://schemas.openxmlformats.org/officeDocument/2006/relationships/hyperlink" Target="mailto:migallardo79@hotmail.com" TargetMode="External"/><Relationship Id="rId1119" Type="http://schemas.openxmlformats.org/officeDocument/2006/relationships/hyperlink" Target="mailto:ab.cgutierrezr@hotmail.com" TargetMode="External"/><Relationship Id="rId903" Type="http://schemas.openxmlformats.org/officeDocument/2006/relationships/hyperlink" Target="mailto:josuegomezjaime@gmail.com" TargetMode="External"/><Relationship Id="rId1326" Type="http://schemas.openxmlformats.org/officeDocument/2006/relationships/hyperlink" Target="mailto:adan_fabricio@htomail.com" TargetMode="External"/><Relationship Id="rId32" Type="http://schemas.openxmlformats.org/officeDocument/2006/relationships/hyperlink" Target="mailto:marco1942za@gmail.com" TargetMode="External"/><Relationship Id="rId181" Type="http://schemas.openxmlformats.org/officeDocument/2006/relationships/hyperlink" Target="mailto:fatimapalacio0419@gmail.com" TargetMode="External"/><Relationship Id="rId279" Type="http://schemas.openxmlformats.org/officeDocument/2006/relationships/hyperlink" Target="mailto:bonalvibonillajuan@gmail.com" TargetMode="External"/><Relationship Id="rId486" Type="http://schemas.openxmlformats.org/officeDocument/2006/relationships/hyperlink" Target="mailto:elviscevallos98@gmail.com" TargetMode="External"/><Relationship Id="rId693" Type="http://schemas.openxmlformats.org/officeDocument/2006/relationships/hyperlink" Target="mailto:lectymacias@gmail.com" TargetMode="External"/><Relationship Id="rId139" Type="http://schemas.openxmlformats.org/officeDocument/2006/relationships/hyperlink" Target="mailto:letoaguinda@yahoo.es" TargetMode="External"/><Relationship Id="rId346" Type="http://schemas.openxmlformats.org/officeDocument/2006/relationships/hyperlink" Target="mailto:nacoayon@yahoo.es" TargetMode="External"/><Relationship Id="rId553" Type="http://schemas.openxmlformats.org/officeDocument/2006/relationships/hyperlink" Target="mailto:darwinzamora638@yahoo.com" TargetMode="External"/><Relationship Id="rId760" Type="http://schemas.openxmlformats.org/officeDocument/2006/relationships/hyperlink" Target="mailto:neysser.calderon1999@gmail.com" TargetMode="External"/><Relationship Id="rId998" Type="http://schemas.openxmlformats.org/officeDocument/2006/relationships/hyperlink" Target="mailto:1960mauraquintero@gmail.com" TargetMode="External"/><Relationship Id="rId1183" Type="http://schemas.openxmlformats.org/officeDocument/2006/relationships/hyperlink" Target="mailto:andymajo8@hotmail.com" TargetMode="External"/><Relationship Id="rId1390" Type="http://schemas.openxmlformats.org/officeDocument/2006/relationships/hyperlink" Target="mailto:luiscevallos910@gmail.com" TargetMode="External"/><Relationship Id="rId206" Type="http://schemas.openxmlformats.org/officeDocument/2006/relationships/hyperlink" Target="mailto:djavi1990@hotmail.com" TargetMode="External"/><Relationship Id="rId413" Type="http://schemas.openxmlformats.org/officeDocument/2006/relationships/hyperlink" Target="mailto:alegria.toledo.leon@gmail.com" TargetMode="External"/><Relationship Id="rId858" Type="http://schemas.openxmlformats.org/officeDocument/2006/relationships/hyperlink" Target="mailto:santiagomanavad@gmail.com" TargetMode="External"/><Relationship Id="rId1043" Type="http://schemas.openxmlformats.org/officeDocument/2006/relationships/hyperlink" Target="mailto:dra.loly1982@hotmail.com" TargetMode="External"/><Relationship Id="rId1488" Type="http://schemas.openxmlformats.org/officeDocument/2006/relationships/hyperlink" Target="mailto:alejandra1959moreno@gmail.com" TargetMode="External"/><Relationship Id="rId620" Type="http://schemas.openxmlformats.org/officeDocument/2006/relationships/hyperlink" Target="mailto:dreder89@hotmail.com" TargetMode="External"/><Relationship Id="rId718" Type="http://schemas.openxmlformats.org/officeDocument/2006/relationships/hyperlink" Target="mailto:jacqueriera91@gmail.com" TargetMode="External"/><Relationship Id="rId925" Type="http://schemas.openxmlformats.org/officeDocument/2006/relationships/hyperlink" Target="mailto:miltonmonstersoundvgv@gmail.com" TargetMode="External"/><Relationship Id="rId1250" Type="http://schemas.openxmlformats.org/officeDocument/2006/relationships/hyperlink" Target="mailto:carlosvicente1593@gmail.com" TargetMode="External"/><Relationship Id="rId1348" Type="http://schemas.openxmlformats.org/officeDocument/2006/relationships/hyperlink" Target="mailto:javier_pachay@hotmail.com" TargetMode="External"/><Relationship Id="rId1110" Type="http://schemas.openxmlformats.org/officeDocument/2006/relationships/hyperlink" Target="mailto:lojabts@gmail.com" TargetMode="External"/><Relationship Id="rId1208" Type="http://schemas.openxmlformats.org/officeDocument/2006/relationships/hyperlink" Target="mailto:nespaes@gmail.com" TargetMode="External"/><Relationship Id="rId1415" Type="http://schemas.openxmlformats.org/officeDocument/2006/relationships/hyperlink" Target="mailto:angelmora171995@gmail.com" TargetMode="External"/><Relationship Id="rId54" Type="http://schemas.openxmlformats.org/officeDocument/2006/relationships/hyperlink" Target="mailto:flezzg@yahoo.com" TargetMode="External"/><Relationship Id="rId270" Type="http://schemas.openxmlformats.org/officeDocument/2006/relationships/hyperlink" Target="mailto:alexa_210269@hotmail.com" TargetMode="External"/><Relationship Id="rId130" Type="http://schemas.openxmlformats.org/officeDocument/2006/relationships/hyperlink" Target="mailto:chavito_junior@outlook.com" TargetMode="External"/><Relationship Id="rId368" Type="http://schemas.openxmlformats.org/officeDocument/2006/relationships/hyperlink" Target="mailto:galoarevalo@hotmail.com" TargetMode="External"/><Relationship Id="rId575" Type="http://schemas.openxmlformats.org/officeDocument/2006/relationships/hyperlink" Target="mailto:ligiaquijije@hotmail.com" TargetMode="External"/><Relationship Id="rId782" Type="http://schemas.openxmlformats.org/officeDocument/2006/relationships/hyperlink" Target="mailto:lomonifoverever@hotmail.com" TargetMode="External"/><Relationship Id="rId228" Type="http://schemas.openxmlformats.org/officeDocument/2006/relationships/hyperlink" Target="mailto:amaliaangamarca849@gmail.com" TargetMode="External"/><Relationship Id="rId435" Type="http://schemas.openxmlformats.org/officeDocument/2006/relationships/hyperlink" Target="mailto:ramirovaca.8@gmail.com" TargetMode="External"/><Relationship Id="rId642" Type="http://schemas.openxmlformats.org/officeDocument/2006/relationships/hyperlink" Target="mailto:asesoriatotal_@hotmail.com" TargetMode="External"/><Relationship Id="rId1065" Type="http://schemas.openxmlformats.org/officeDocument/2006/relationships/hyperlink" Target="mailto:zoilasinchi1981@gmail.com" TargetMode="External"/><Relationship Id="rId1272" Type="http://schemas.openxmlformats.org/officeDocument/2006/relationships/hyperlink" Target="mailto:edtegomez@hotmail.com" TargetMode="External"/><Relationship Id="rId502" Type="http://schemas.openxmlformats.org/officeDocument/2006/relationships/hyperlink" Target="mailto:wmorocho266@gmail.com" TargetMode="External"/><Relationship Id="rId947" Type="http://schemas.openxmlformats.org/officeDocument/2006/relationships/hyperlink" Target="mailto:chicaiza.graciela@yahoo.es" TargetMode="External"/><Relationship Id="rId1132" Type="http://schemas.openxmlformats.org/officeDocument/2006/relationships/hyperlink" Target="mailto:yoly-hernandez@hotmail.com" TargetMode="External"/><Relationship Id="rId76" Type="http://schemas.openxmlformats.org/officeDocument/2006/relationships/hyperlink" Target="mailto:leslibeli@yahoo.com" TargetMode="External"/><Relationship Id="rId807" Type="http://schemas.openxmlformats.org/officeDocument/2006/relationships/hyperlink" Target="mailto:tocha.49@hotmail.com" TargetMode="External"/><Relationship Id="rId1437" Type="http://schemas.openxmlformats.org/officeDocument/2006/relationships/hyperlink" Target="mailto:arevalodina5@gmail.com" TargetMode="External"/><Relationship Id="rId1504" Type="http://schemas.openxmlformats.org/officeDocument/2006/relationships/hyperlink" Target="mailto:f-en-ix75@hotmail.com" TargetMode="External"/><Relationship Id="rId292" Type="http://schemas.openxmlformats.org/officeDocument/2006/relationships/hyperlink" Target="mailto:omarmorales1210@hotmail.com" TargetMode="External"/><Relationship Id="rId597" Type="http://schemas.openxmlformats.org/officeDocument/2006/relationships/hyperlink" Target="mailto:alexa16082011@hotmail.com" TargetMode="External"/><Relationship Id="rId152" Type="http://schemas.openxmlformats.org/officeDocument/2006/relationships/hyperlink" Target="mailto:fer.creb@hotmail.com" TargetMode="External"/><Relationship Id="rId457" Type="http://schemas.openxmlformats.org/officeDocument/2006/relationships/hyperlink" Target="mailto:talhitabenitez230@gmail.com" TargetMode="External"/><Relationship Id="rId1087" Type="http://schemas.openxmlformats.org/officeDocument/2006/relationships/hyperlink" Target="mailto:bryansocorer@gmail.com" TargetMode="External"/><Relationship Id="rId1294" Type="http://schemas.openxmlformats.org/officeDocument/2006/relationships/hyperlink" Target="mailto:antonellgm17@hotmail.com" TargetMode="External"/><Relationship Id="rId664" Type="http://schemas.openxmlformats.org/officeDocument/2006/relationships/hyperlink" Target="mailto:gemaeras97@gmail.com" TargetMode="External"/><Relationship Id="rId871" Type="http://schemas.openxmlformats.org/officeDocument/2006/relationships/hyperlink" Target="mailto:flaco_santi27@hotmail.com" TargetMode="External"/><Relationship Id="rId969" Type="http://schemas.openxmlformats.org/officeDocument/2006/relationships/hyperlink" Target="mailto:sandracartuchesanmartin@gmail.com" TargetMode="External"/><Relationship Id="rId317" Type="http://schemas.openxmlformats.org/officeDocument/2006/relationships/hyperlink" Target="mailto:mancruzdr@outlokk.com" TargetMode="External"/><Relationship Id="rId524" Type="http://schemas.openxmlformats.org/officeDocument/2006/relationships/hyperlink" Target="mailto:fabian_bravo2009@outlook.com" TargetMode="External"/><Relationship Id="rId731" Type="http://schemas.openxmlformats.org/officeDocument/2006/relationships/hyperlink" Target="mailto:naulanelson1974@gmail.com" TargetMode="External"/><Relationship Id="rId1154" Type="http://schemas.openxmlformats.org/officeDocument/2006/relationships/hyperlink" Target="mailto:jose_moreira1953@hotmail.com" TargetMode="External"/><Relationship Id="rId1361" Type="http://schemas.openxmlformats.org/officeDocument/2006/relationships/hyperlink" Target="mailto:paola.pardomaza@hotmail.com" TargetMode="External"/><Relationship Id="rId1459" Type="http://schemas.openxmlformats.org/officeDocument/2006/relationships/hyperlink" Target="mailto:zambranow@gmail.com" TargetMode="External"/><Relationship Id="rId98" Type="http://schemas.openxmlformats.org/officeDocument/2006/relationships/hyperlink" Target="mailto:Aspiazu.elvis.c@gmail.com" TargetMode="External"/><Relationship Id="rId829" Type="http://schemas.openxmlformats.org/officeDocument/2006/relationships/hyperlink" Target="mailto:normaligiacoba12@gmail.com" TargetMode="External"/><Relationship Id="rId1014" Type="http://schemas.openxmlformats.org/officeDocument/2006/relationships/hyperlink" Target="mailto:darwin.vicen@hotmail.com" TargetMode="External"/><Relationship Id="rId1221" Type="http://schemas.openxmlformats.org/officeDocument/2006/relationships/hyperlink" Target="mailto:cristinacondo@gmail.com" TargetMode="External"/><Relationship Id="rId1319" Type="http://schemas.openxmlformats.org/officeDocument/2006/relationships/hyperlink" Target="mailto:araguerrero1972@gmail.com" TargetMode="External"/><Relationship Id="rId25" Type="http://schemas.openxmlformats.org/officeDocument/2006/relationships/hyperlink" Target="mailto:roniev0808@gmail.com" TargetMode="External"/><Relationship Id="rId174" Type="http://schemas.openxmlformats.org/officeDocument/2006/relationships/hyperlink" Target="mailto:marco2t@hotmail.com" TargetMode="External"/><Relationship Id="rId381" Type="http://schemas.openxmlformats.org/officeDocument/2006/relationships/hyperlink" Target="mailto:ledy-yadira@hotmaial.com" TargetMode="External"/><Relationship Id="rId241" Type="http://schemas.openxmlformats.org/officeDocument/2006/relationships/hyperlink" Target="mailto:cristhian.cr@outlook.es" TargetMode="External"/><Relationship Id="rId479" Type="http://schemas.openxmlformats.org/officeDocument/2006/relationships/hyperlink" Target="mailto:fgrdencaladadaysi@gmai.com" TargetMode="External"/><Relationship Id="rId686" Type="http://schemas.openxmlformats.org/officeDocument/2006/relationships/hyperlink" Target="mailto:cris-gonzalez@outlook.es" TargetMode="External"/><Relationship Id="rId893" Type="http://schemas.openxmlformats.org/officeDocument/2006/relationships/hyperlink" Target="mailto:rhuman1986@hotmail.com" TargetMode="External"/><Relationship Id="rId339" Type="http://schemas.openxmlformats.org/officeDocument/2006/relationships/hyperlink" Target="mailto:karymag99@gmail.com" TargetMode="External"/><Relationship Id="rId546" Type="http://schemas.openxmlformats.org/officeDocument/2006/relationships/hyperlink" Target="mailto:juanalbrbr@gmail.com" TargetMode="External"/><Relationship Id="rId753" Type="http://schemas.openxmlformats.org/officeDocument/2006/relationships/hyperlink" Target="mailto:jeag71@hotmail.com" TargetMode="External"/><Relationship Id="rId1176" Type="http://schemas.openxmlformats.org/officeDocument/2006/relationships/hyperlink" Target="mailto:tanta_aquilar_64@hotmail.com" TargetMode="External"/><Relationship Id="rId1383" Type="http://schemas.openxmlformats.org/officeDocument/2006/relationships/hyperlink" Target="mailto:rositatc_b2@yahoo.es" TargetMode="External"/><Relationship Id="rId101" Type="http://schemas.openxmlformats.org/officeDocument/2006/relationships/hyperlink" Target="mailto:arq.jordanbarahona@gmail.com" TargetMode="External"/><Relationship Id="rId406" Type="http://schemas.openxmlformats.org/officeDocument/2006/relationships/hyperlink" Target="mailto:leonelsornoza271@gmail.com" TargetMode="External"/><Relationship Id="rId960" Type="http://schemas.openxmlformats.org/officeDocument/2006/relationships/hyperlink" Target="mailto:violeta_vera_m@hotmail.com" TargetMode="External"/><Relationship Id="rId1036" Type="http://schemas.openxmlformats.org/officeDocument/2006/relationships/hyperlink" Target="mailto:annabell_30lb@hotmail.com" TargetMode="External"/><Relationship Id="rId1243" Type="http://schemas.openxmlformats.org/officeDocument/2006/relationships/hyperlink" Target="mailto:leoparangelmanuel@hotmail.com" TargetMode="External"/><Relationship Id="rId613" Type="http://schemas.openxmlformats.org/officeDocument/2006/relationships/hyperlink" Target="mailto:janetmoran32@gmail.com" TargetMode="External"/><Relationship Id="rId820" Type="http://schemas.openxmlformats.org/officeDocument/2006/relationships/hyperlink" Target="mailto:juancarlosbarbas@hotmail.es" TargetMode="External"/><Relationship Id="rId918" Type="http://schemas.openxmlformats.org/officeDocument/2006/relationships/hyperlink" Target="mailto:miguelateagaceron@gmail.com" TargetMode="External"/><Relationship Id="rId1450" Type="http://schemas.openxmlformats.org/officeDocument/2006/relationships/hyperlink" Target="mailto:toamarco1983@gmail.com" TargetMode="External"/><Relationship Id="rId1103" Type="http://schemas.openxmlformats.org/officeDocument/2006/relationships/hyperlink" Target="mailto:angelmat@gmail.com" TargetMode="External"/><Relationship Id="rId1310" Type="http://schemas.openxmlformats.org/officeDocument/2006/relationships/hyperlink" Target="mailto:guillermovillafuertes@gmail.com" TargetMode="External"/><Relationship Id="rId1408" Type="http://schemas.openxmlformats.org/officeDocument/2006/relationships/hyperlink" Target="mailto:jhonnyloor1992@outlook.com" TargetMode="External"/><Relationship Id="rId47" Type="http://schemas.openxmlformats.org/officeDocument/2006/relationships/hyperlink" Target="mailto:juanaviles2806@gmail.com" TargetMode="External"/><Relationship Id="rId196" Type="http://schemas.openxmlformats.org/officeDocument/2006/relationships/hyperlink" Target="mailto:jonathanarreaga@gmail.com" TargetMode="External"/><Relationship Id="rId263" Type="http://schemas.openxmlformats.org/officeDocument/2006/relationships/hyperlink" Target="mailto:cdiego_1512@yahoo.es" TargetMode="External"/><Relationship Id="rId470" Type="http://schemas.openxmlformats.org/officeDocument/2006/relationships/hyperlink" Target="mailto:claraguerrero956@gmail.com" TargetMode="External"/><Relationship Id="rId123" Type="http://schemas.openxmlformats.org/officeDocument/2006/relationships/hyperlink" Target="mailto:stefyalcastro07@gmail.com" TargetMode="External"/><Relationship Id="rId330" Type="http://schemas.openxmlformats.org/officeDocument/2006/relationships/hyperlink" Target="mailto:joa.torres28@gmail.com" TargetMode="External"/><Relationship Id="rId568" Type="http://schemas.openxmlformats.org/officeDocument/2006/relationships/hyperlink" Target="mailto:galogarcia1993@gmail.com" TargetMode="External"/><Relationship Id="rId775" Type="http://schemas.openxmlformats.org/officeDocument/2006/relationships/hyperlink" Target="mailto:edugm91@yahoo.es" TargetMode="External"/><Relationship Id="rId982" Type="http://schemas.openxmlformats.org/officeDocument/2006/relationships/hyperlink" Target="mailto:maggy233j@hotmail.com" TargetMode="External"/><Relationship Id="rId1198" Type="http://schemas.openxmlformats.org/officeDocument/2006/relationships/hyperlink" Target="mailto:israelgt47@gmail.com" TargetMode="External"/><Relationship Id="rId428" Type="http://schemas.openxmlformats.org/officeDocument/2006/relationships/hyperlink" Target="mailto:maricela1967granizo@gmail.com" TargetMode="External"/><Relationship Id="rId635" Type="http://schemas.openxmlformats.org/officeDocument/2006/relationships/hyperlink" Target="mailto:wilsonserrano2010@hotmail.com" TargetMode="External"/><Relationship Id="rId842" Type="http://schemas.openxmlformats.org/officeDocument/2006/relationships/hyperlink" Target="mailto:caicedohernan1978@gmail.com" TargetMode="External"/><Relationship Id="rId1058" Type="http://schemas.openxmlformats.org/officeDocument/2006/relationships/hyperlink" Target="mailto:hugosantosdj@hotmail.com" TargetMode="External"/><Relationship Id="rId1265" Type="http://schemas.openxmlformats.org/officeDocument/2006/relationships/hyperlink" Target="mailto:elsycuero@hotmail.com" TargetMode="External"/><Relationship Id="rId1472" Type="http://schemas.openxmlformats.org/officeDocument/2006/relationships/hyperlink" Target="mailto:jhonnyvalverde2315@hotmail.com" TargetMode="External"/><Relationship Id="rId702" Type="http://schemas.openxmlformats.org/officeDocument/2006/relationships/hyperlink" Target="mailto:paracapatran1980@hotmail.com" TargetMode="External"/><Relationship Id="rId1125" Type="http://schemas.openxmlformats.org/officeDocument/2006/relationships/hyperlink" Target="mailto:marcoloort@hotmail.com" TargetMode="External"/><Relationship Id="rId1332" Type="http://schemas.openxmlformats.org/officeDocument/2006/relationships/hyperlink" Target="mailto:kathiavinueza@hotmail.com" TargetMode="External"/><Relationship Id="rId69" Type="http://schemas.openxmlformats.org/officeDocument/2006/relationships/hyperlink" Target="mailto:wendy_love19@hotmail.com" TargetMode="External"/><Relationship Id="rId285" Type="http://schemas.openxmlformats.org/officeDocument/2006/relationships/hyperlink" Target="mailto:santyf28k.19@hotmail.com" TargetMode="External"/><Relationship Id="rId492" Type="http://schemas.openxmlformats.org/officeDocument/2006/relationships/hyperlink" Target="mailto:oswaldogarcesv@gmail.com" TargetMode="External"/><Relationship Id="rId797" Type="http://schemas.openxmlformats.org/officeDocument/2006/relationships/hyperlink" Target="mailto:monserratearevalo@gmail.com" TargetMode="External"/><Relationship Id="rId145" Type="http://schemas.openxmlformats.org/officeDocument/2006/relationships/hyperlink" Target="mailto:llanosdigna@yahoo.es" TargetMode="External"/><Relationship Id="rId352" Type="http://schemas.openxmlformats.org/officeDocument/2006/relationships/hyperlink" Target="mailto:machaza_@hotmail.com" TargetMode="External"/><Relationship Id="rId1287" Type="http://schemas.openxmlformats.org/officeDocument/2006/relationships/hyperlink" Target="mailto:emmaortega648@gmail.com" TargetMode="External"/><Relationship Id="rId212" Type="http://schemas.openxmlformats.org/officeDocument/2006/relationships/hyperlink" Target="mailto:dpillcod86@hotmail.com" TargetMode="External"/><Relationship Id="rId657" Type="http://schemas.openxmlformats.org/officeDocument/2006/relationships/hyperlink" Target="mailto:kegmtor@hotmail.com" TargetMode="External"/><Relationship Id="rId864" Type="http://schemas.openxmlformats.org/officeDocument/2006/relationships/hyperlink" Target="mailto:juaguilarm1@outlook.es" TargetMode="External"/><Relationship Id="rId1494" Type="http://schemas.openxmlformats.org/officeDocument/2006/relationships/hyperlink" Target="mailto:enri.olivo@gmail.com" TargetMode="External"/><Relationship Id="rId517" Type="http://schemas.openxmlformats.org/officeDocument/2006/relationships/hyperlink" Target="mailto:villacresmiguel91@gmail.com" TargetMode="External"/><Relationship Id="rId724" Type="http://schemas.openxmlformats.org/officeDocument/2006/relationships/hyperlink" Target="mailto:mauriciovasquei@hotmail.com" TargetMode="External"/><Relationship Id="rId931" Type="http://schemas.openxmlformats.org/officeDocument/2006/relationships/hyperlink" Target="mailto:mifaval2004@yahoo.es" TargetMode="External"/><Relationship Id="rId1147" Type="http://schemas.openxmlformats.org/officeDocument/2006/relationships/hyperlink" Target="mailto:paulquevedo_94@hotmail.com" TargetMode="External"/><Relationship Id="rId1354" Type="http://schemas.openxmlformats.org/officeDocument/2006/relationships/hyperlink" Target="mailto:andreipao_95@hotmail.com" TargetMode="External"/><Relationship Id="rId60" Type="http://schemas.openxmlformats.org/officeDocument/2006/relationships/hyperlink" Target="mailto:gabbibp87-@gmail.com" TargetMode="External"/><Relationship Id="rId1007" Type="http://schemas.openxmlformats.org/officeDocument/2006/relationships/hyperlink" Target="mailto:epazmino@avipaz.com" TargetMode="External"/><Relationship Id="rId1214" Type="http://schemas.openxmlformats.org/officeDocument/2006/relationships/hyperlink" Target="mailto:lgulial1957@gmail.com" TargetMode="External"/><Relationship Id="rId1421" Type="http://schemas.openxmlformats.org/officeDocument/2006/relationships/hyperlink" Target="mailto:jpierreb@gmail.com" TargetMode="External"/><Relationship Id="rId1519" Type="http://schemas.openxmlformats.org/officeDocument/2006/relationships/hyperlink" Target="mailto:ldtfv88@gmail.com" TargetMode="External"/><Relationship Id="rId18" Type="http://schemas.openxmlformats.org/officeDocument/2006/relationships/hyperlink" Target="mailto:lsrualesg@hotmail.com" TargetMode="External"/><Relationship Id="rId167" Type="http://schemas.openxmlformats.org/officeDocument/2006/relationships/hyperlink" Target="mailto:ruthcitalicuy@gmail.com" TargetMode="External"/><Relationship Id="rId374" Type="http://schemas.openxmlformats.org/officeDocument/2006/relationships/hyperlink" Target="mailto:carlosalfredo77espinoza@gmail.com" TargetMode="External"/><Relationship Id="rId581" Type="http://schemas.openxmlformats.org/officeDocument/2006/relationships/hyperlink" Target="mailto:greyandi_869@hotmail.com" TargetMode="External"/><Relationship Id="rId234" Type="http://schemas.openxmlformats.org/officeDocument/2006/relationships/hyperlink" Target="mailto:vishuei6@hotmail.com" TargetMode="External"/><Relationship Id="rId679" Type="http://schemas.openxmlformats.org/officeDocument/2006/relationships/hyperlink" Target="mailto:joycetrujillo22@gmail.com" TargetMode="External"/><Relationship Id="rId886" Type="http://schemas.openxmlformats.org/officeDocument/2006/relationships/hyperlink" Target="mailto:anaramon24@hotmail.com" TargetMode="External"/><Relationship Id="rId2" Type="http://schemas.openxmlformats.org/officeDocument/2006/relationships/hyperlink" Target="mailto:atropinqvazquez@yahoo.com" TargetMode="External"/><Relationship Id="rId441" Type="http://schemas.openxmlformats.org/officeDocument/2006/relationships/hyperlink" Target="mailto:toreesyolanda1968@gmail.com" TargetMode="External"/><Relationship Id="rId539" Type="http://schemas.openxmlformats.org/officeDocument/2006/relationships/hyperlink" Target="mailto:vilmarodriguez71lopez@gmail.com" TargetMode="External"/><Relationship Id="rId746" Type="http://schemas.openxmlformats.org/officeDocument/2006/relationships/hyperlink" Target="mailto:keniatomala-96@gmail.com" TargetMode="External"/><Relationship Id="rId1071" Type="http://schemas.openxmlformats.org/officeDocument/2006/relationships/hyperlink" Target="mailto:chaconmirian2@gmail.com" TargetMode="External"/><Relationship Id="rId1169" Type="http://schemas.openxmlformats.org/officeDocument/2006/relationships/hyperlink" Target="mailto:mantuanoadzla2016@gmail.com" TargetMode="External"/><Relationship Id="rId1376" Type="http://schemas.openxmlformats.org/officeDocument/2006/relationships/hyperlink" Target="mailto:edirodriguez2978@hotmail.com" TargetMode="External"/><Relationship Id="rId301" Type="http://schemas.openxmlformats.org/officeDocument/2006/relationships/hyperlink" Target="mailto:rosagalvezochoa1960@gmail.com" TargetMode="External"/><Relationship Id="rId953" Type="http://schemas.openxmlformats.org/officeDocument/2006/relationships/hyperlink" Target="mailto:potosiemmi59@gmail.com" TargetMode="External"/><Relationship Id="rId1029" Type="http://schemas.openxmlformats.org/officeDocument/2006/relationships/hyperlink" Target="mailto:vicentehidalgolive@gmail.com" TargetMode="External"/><Relationship Id="rId1236" Type="http://schemas.openxmlformats.org/officeDocument/2006/relationships/hyperlink" Target="mailto:jacqueal01@hotmail.com" TargetMode="External"/><Relationship Id="rId82" Type="http://schemas.openxmlformats.org/officeDocument/2006/relationships/hyperlink" Target="mailto:pilar.vinueza@hotmail.com" TargetMode="External"/><Relationship Id="rId606" Type="http://schemas.openxmlformats.org/officeDocument/2006/relationships/hyperlink" Target="mailto:gisellastudy@hotmail.com" TargetMode="External"/><Relationship Id="rId813" Type="http://schemas.openxmlformats.org/officeDocument/2006/relationships/hyperlink" Target="mailto:juanguano-1@hotmail.com" TargetMode="External"/><Relationship Id="rId1443" Type="http://schemas.openxmlformats.org/officeDocument/2006/relationships/hyperlink" Target="mailto:cawilmer669@gmail.com" TargetMode="External"/><Relationship Id="rId1303" Type="http://schemas.openxmlformats.org/officeDocument/2006/relationships/hyperlink" Target="mailto:fannyrosalesv15@gmail." TargetMode="External"/><Relationship Id="rId1510" Type="http://schemas.openxmlformats.org/officeDocument/2006/relationships/hyperlink" Target="mailto:eduardoalvarado5018@gmail.com" TargetMode="External"/><Relationship Id="rId189" Type="http://schemas.openxmlformats.org/officeDocument/2006/relationships/hyperlink" Target="mailto:jorgeluism_88@outlook.com" TargetMode="External"/><Relationship Id="rId396" Type="http://schemas.openxmlformats.org/officeDocument/2006/relationships/hyperlink" Target="mailto:pfrancisco70@hotmail.com" TargetMode="External"/><Relationship Id="rId256" Type="http://schemas.openxmlformats.org/officeDocument/2006/relationships/hyperlink" Target="mailto:davidyupangui10@gmail.com" TargetMode="External"/><Relationship Id="rId463" Type="http://schemas.openxmlformats.org/officeDocument/2006/relationships/hyperlink" Target="mailto:dyngeniaec@hotmail.com" TargetMode="External"/><Relationship Id="rId670" Type="http://schemas.openxmlformats.org/officeDocument/2006/relationships/hyperlink" Target="mailto:pablobarlon341@gmail.com" TargetMode="External"/><Relationship Id="rId1093" Type="http://schemas.openxmlformats.org/officeDocument/2006/relationships/hyperlink" Target="mailto:janethheroux@hotmail.com" TargetMode="External"/><Relationship Id="rId116" Type="http://schemas.openxmlformats.org/officeDocument/2006/relationships/hyperlink" Target="mailto:hgermania1965@hotmail.com" TargetMode="External"/><Relationship Id="rId323" Type="http://schemas.openxmlformats.org/officeDocument/2006/relationships/hyperlink" Target="mailto:hugoquilca184@gmail.com" TargetMode="External"/><Relationship Id="rId530" Type="http://schemas.openxmlformats.org/officeDocument/2006/relationships/hyperlink" Target="mailto:jbalcazar987@gmail.com" TargetMode="External"/><Relationship Id="rId768" Type="http://schemas.openxmlformats.org/officeDocument/2006/relationships/hyperlink" Target="mailto:lomberiapaty@gmail.com" TargetMode="External"/><Relationship Id="rId975" Type="http://schemas.openxmlformats.org/officeDocument/2006/relationships/hyperlink" Target="mailto:magalysa89@hotmail.com" TargetMode="External"/><Relationship Id="rId1160" Type="http://schemas.openxmlformats.org/officeDocument/2006/relationships/hyperlink" Target="mailto:darlinvelez82@gmail.com" TargetMode="External"/><Relationship Id="rId1398" Type="http://schemas.openxmlformats.org/officeDocument/2006/relationships/hyperlink" Target="mailto:erimatute@gmail.com" TargetMode="External"/><Relationship Id="rId628" Type="http://schemas.openxmlformats.org/officeDocument/2006/relationships/hyperlink" Target="mailto:hermelinda1000@hotmail.com" TargetMode="External"/><Relationship Id="rId835" Type="http://schemas.openxmlformats.org/officeDocument/2006/relationships/hyperlink" Target="mailto:marco.chusipanta@hotmail.com" TargetMode="External"/><Relationship Id="rId1258" Type="http://schemas.openxmlformats.org/officeDocument/2006/relationships/hyperlink" Target="mailto:quizhpeangel04@gmail.com" TargetMode="External"/><Relationship Id="rId1465" Type="http://schemas.openxmlformats.org/officeDocument/2006/relationships/hyperlink" Target="mailto:estrellitafugaz1995@hotmail.com" TargetMode="External"/><Relationship Id="rId1020" Type="http://schemas.openxmlformats.org/officeDocument/2006/relationships/hyperlink" Target="mailto:dalika.dis@gmail.com" TargetMode="External"/><Relationship Id="rId1118" Type="http://schemas.openxmlformats.org/officeDocument/2006/relationships/hyperlink" Target="mailto:joelmoreiraescoar@gmail.com" TargetMode="External"/><Relationship Id="rId1325" Type="http://schemas.openxmlformats.org/officeDocument/2006/relationships/hyperlink" Target="mailto:luisfer1bustamante@gmail.com" TargetMode="External"/><Relationship Id="rId902" Type="http://schemas.openxmlformats.org/officeDocument/2006/relationships/hyperlink" Target="mailto:sharon_nicoll_1801@hotmail.com" TargetMode="External"/><Relationship Id="rId31" Type="http://schemas.openxmlformats.org/officeDocument/2006/relationships/hyperlink" Target="mailto:marco1942za@gmail.com" TargetMode="External"/><Relationship Id="rId180" Type="http://schemas.openxmlformats.org/officeDocument/2006/relationships/hyperlink" Target="mailto:lebasimendoza@hotmail.com" TargetMode="External"/><Relationship Id="rId278" Type="http://schemas.openxmlformats.org/officeDocument/2006/relationships/hyperlink" Target="mailto:estelasalavarria9@gmail.com" TargetMode="External"/><Relationship Id="rId485" Type="http://schemas.openxmlformats.org/officeDocument/2006/relationships/hyperlink" Target="mailto:holpajass_vera@hotmail.com" TargetMode="External"/><Relationship Id="rId692" Type="http://schemas.openxmlformats.org/officeDocument/2006/relationships/hyperlink" Target="mailto:josuefranco555@gmail.com" TargetMode="External"/><Relationship Id="rId138" Type="http://schemas.openxmlformats.org/officeDocument/2006/relationships/hyperlink" Target="mailto:kachitasuarez@gmail.com" TargetMode="External"/><Relationship Id="rId345" Type="http://schemas.openxmlformats.org/officeDocument/2006/relationships/hyperlink" Target="mailto:baviangy@hotmail.com" TargetMode="External"/><Relationship Id="rId552" Type="http://schemas.openxmlformats.org/officeDocument/2006/relationships/hyperlink" Target="mailto:vicent-jcrist@hotmail.com" TargetMode="External"/><Relationship Id="rId997" Type="http://schemas.openxmlformats.org/officeDocument/2006/relationships/hyperlink" Target="mailto:dovelitalinda@hotmail.com" TargetMode="External"/><Relationship Id="rId1182" Type="http://schemas.openxmlformats.org/officeDocument/2006/relationships/hyperlink" Target="mailto:b3n1dizadios@gmail.com" TargetMode="External"/><Relationship Id="rId205" Type="http://schemas.openxmlformats.org/officeDocument/2006/relationships/hyperlink" Target="mailto:mavanetr@hotmail.com" TargetMode="External"/><Relationship Id="rId412" Type="http://schemas.openxmlformats.org/officeDocument/2006/relationships/hyperlink" Target="mailto:diegofg1808@gmail.com" TargetMode="External"/><Relationship Id="rId857" Type="http://schemas.openxmlformats.org/officeDocument/2006/relationships/hyperlink" Target="mailto:dianamarizolvaldiviezo@gmail.com" TargetMode="External"/><Relationship Id="rId1042" Type="http://schemas.openxmlformats.org/officeDocument/2006/relationships/hyperlink" Target="mailto:keniastefania1993@hotmail.com" TargetMode="External"/><Relationship Id="rId1487" Type="http://schemas.openxmlformats.org/officeDocument/2006/relationships/hyperlink" Target="mailto:fannycuenca1980@gmail.com" TargetMode="External"/><Relationship Id="rId717" Type="http://schemas.openxmlformats.org/officeDocument/2006/relationships/hyperlink" Target="mailto:edel0154@outlook.es" TargetMode="External"/><Relationship Id="rId924" Type="http://schemas.openxmlformats.org/officeDocument/2006/relationships/hyperlink" Target="mailto:tlousher@gmail.com" TargetMode="External"/><Relationship Id="rId1347" Type="http://schemas.openxmlformats.org/officeDocument/2006/relationships/hyperlink" Target="mailto:g.2000_mag@hotmail.com" TargetMode="External"/><Relationship Id="rId53" Type="http://schemas.openxmlformats.org/officeDocument/2006/relationships/hyperlink" Target="mailto:luisa0910guzman@gmail.com" TargetMode="External"/><Relationship Id="rId1207" Type="http://schemas.openxmlformats.org/officeDocument/2006/relationships/hyperlink" Target="mailto:maitebromerop@gmail.com" TargetMode="External"/><Relationship Id="rId1414" Type="http://schemas.openxmlformats.org/officeDocument/2006/relationships/hyperlink" Target="mailto:edgargarciam@outlook.com" TargetMode="External"/><Relationship Id="rId367" Type="http://schemas.openxmlformats.org/officeDocument/2006/relationships/hyperlink" Target="mailto:cisneros.scarlet@gmail.com" TargetMode="External"/><Relationship Id="rId574" Type="http://schemas.openxmlformats.org/officeDocument/2006/relationships/hyperlink" Target="mailto:mariaisabelgiles@gmail.com" TargetMode="External"/><Relationship Id="rId227" Type="http://schemas.openxmlformats.org/officeDocument/2006/relationships/hyperlink" Target="mailto:jaimeballadares1973@gmail.com" TargetMode="External"/><Relationship Id="rId781" Type="http://schemas.openxmlformats.org/officeDocument/2006/relationships/hyperlink" Target="mailto:andres-castaneda001@hotmail.com" TargetMode="External"/><Relationship Id="rId879" Type="http://schemas.openxmlformats.org/officeDocument/2006/relationships/hyperlink" Target="mailto:sunmee2803@gmail.com" TargetMode="External"/><Relationship Id="rId434" Type="http://schemas.openxmlformats.org/officeDocument/2006/relationships/hyperlink" Target="mailto:diegocpb@hotmail.com" TargetMode="External"/><Relationship Id="rId641" Type="http://schemas.openxmlformats.org/officeDocument/2006/relationships/hyperlink" Target="mailto:david.meza1636@gmail.com" TargetMode="External"/><Relationship Id="rId739" Type="http://schemas.openxmlformats.org/officeDocument/2006/relationships/hyperlink" Target="mailto:balontonny754@gmail.com" TargetMode="External"/><Relationship Id="rId1064" Type="http://schemas.openxmlformats.org/officeDocument/2006/relationships/hyperlink" Target="mailto:lest26@hotmail.com" TargetMode="External"/><Relationship Id="rId1271" Type="http://schemas.openxmlformats.org/officeDocument/2006/relationships/hyperlink" Target="mailto:graseortiz83@gmail.com" TargetMode="External"/><Relationship Id="rId1369" Type="http://schemas.openxmlformats.org/officeDocument/2006/relationships/hyperlink" Target="mailto:mendietadimas@hotmail.com" TargetMode="External"/><Relationship Id="rId501" Type="http://schemas.openxmlformats.org/officeDocument/2006/relationships/hyperlink" Target="mailto:eliza_arevalo89@hotmail.com" TargetMode="External"/><Relationship Id="rId946" Type="http://schemas.openxmlformats.org/officeDocument/2006/relationships/hyperlink" Target="mailto:frovi2018@hotmail.com" TargetMode="External"/><Relationship Id="rId1131" Type="http://schemas.openxmlformats.org/officeDocument/2006/relationships/hyperlink" Target="mailto:angelmarcaangel@outlook.com" TargetMode="External"/><Relationship Id="rId1229" Type="http://schemas.openxmlformats.org/officeDocument/2006/relationships/hyperlink" Target="mailto:cristinamedina27@gmail.com" TargetMode="External"/><Relationship Id="rId75" Type="http://schemas.openxmlformats.org/officeDocument/2006/relationships/hyperlink" Target="mailto:sandraveronicarodriguezbuena&#241;o@gmail.com" TargetMode="External"/><Relationship Id="rId806" Type="http://schemas.openxmlformats.org/officeDocument/2006/relationships/hyperlink" Target="mailto:fabri.mera@hotmail.com" TargetMode="External"/><Relationship Id="rId1436" Type="http://schemas.openxmlformats.org/officeDocument/2006/relationships/hyperlink" Target="mailto:majoseminario@gmail.com" TargetMode="External"/><Relationship Id="rId1503" Type="http://schemas.openxmlformats.org/officeDocument/2006/relationships/hyperlink" Target="mailto:jc2876967@gmail.com" TargetMode="External"/><Relationship Id="rId291" Type="http://schemas.openxmlformats.org/officeDocument/2006/relationships/hyperlink" Target="mailto:alejandiego12@yahoo.com" TargetMode="External"/><Relationship Id="rId151" Type="http://schemas.openxmlformats.org/officeDocument/2006/relationships/hyperlink" Target="mailto:rvillacism@hotmail.com" TargetMode="External"/><Relationship Id="rId389" Type="http://schemas.openxmlformats.org/officeDocument/2006/relationships/hyperlink" Target="mailto:wsimbana265@puce.edu.ec" TargetMode="External"/><Relationship Id="rId596" Type="http://schemas.openxmlformats.org/officeDocument/2006/relationships/hyperlink" Target="mailto:h.arley78@hotmail.com" TargetMode="External"/><Relationship Id="rId249" Type="http://schemas.openxmlformats.org/officeDocument/2006/relationships/hyperlink" Target="mailto:gabrieljordanchiki@hotmail.com" TargetMode="External"/><Relationship Id="rId456" Type="http://schemas.openxmlformats.org/officeDocument/2006/relationships/hyperlink" Target="mailto:robertojcordov@hotmail.com" TargetMode="External"/><Relationship Id="rId663" Type="http://schemas.openxmlformats.org/officeDocument/2006/relationships/hyperlink" Target="mailto:alexduman74@yahoo.com" TargetMode="External"/><Relationship Id="rId870" Type="http://schemas.openxmlformats.org/officeDocument/2006/relationships/hyperlink" Target="mailto:marthaceciliatenesaca@gmail.com" TargetMode="External"/><Relationship Id="rId1086" Type="http://schemas.openxmlformats.org/officeDocument/2006/relationships/hyperlink" Target="mailto:alexisantoniodelgado8@gmail.com" TargetMode="External"/><Relationship Id="rId1293" Type="http://schemas.openxmlformats.org/officeDocument/2006/relationships/hyperlink" Target="mailto:akbc_1990@hotmail.com" TargetMode="External"/><Relationship Id="rId109" Type="http://schemas.openxmlformats.org/officeDocument/2006/relationships/hyperlink" Target="mailto:shampier25pozo@gmail.com" TargetMode="External"/><Relationship Id="rId316" Type="http://schemas.openxmlformats.org/officeDocument/2006/relationships/hyperlink" Target="mailto:pedrom505_@hotmail.com" TargetMode="External"/><Relationship Id="rId523" Type="http://schemas.openxmlformats.org/officeDocument/2006/relationships/hyperlink" Target="mailto:alcideschancay@gmail.com" TargetMode="External"/><Relationship Id="rId968" Type="http://schemas.openxmlformats.org/officeDocument/2006/relationships/hyperlink" Target="mailto:irmag6129@gmail.com" TargetMode="External"/><Relationship Id="rId1153" Type="http://schemas.openxmlformats.org/officeDocument/2006/relationships/hyperlink" Target="mailto:rocard-emelec@live.com.ar" TargetMode="External"/><Relationship Id="rId97" Type="http://schemas.openxmlformats.org/officeDocument/2006/relationships/hyperlink" Target="mailto:terry.91.borja.@gmail.com" TargetMode="External"/><Relationship Id="rId730" Type="http://schemas.openxmlformats.org/officeDocument/2006/relationships/hyperlink" Target="mailto:jerocoronel17@gmail.com" TargetMode="External"/><Relationship Id="rId828" Type="http://schemas.openxmlformats.org/officeDocument/2006/relationships/hyperlink" Target="mailto:pabarcabonilla@hotmail.com" TargetMode="External"/><Relationship Id="rId1013" Type="http://schemas.openxmlformats.org/officeDocument/2006/relationships/hyperlink" Target="mailto:arielapunte7@gmail.com" TargetMode="External"/><Relationship Id="rId1360" Type="http://schemas.openxmlformats.org/officeDocument/2006/relationships/hyperlink" Target="mailto:acostaesthela230@gmail.com" TargetMode="External"/><Relationship Id="rId1458" Type="http://schemas.openxmlformats.org/officeDocument/2006/relationships/hyperlink" Target="mailto:danilocarrasco288@gmail.com" TargetMode="External"/><Relationship Id="rId1220" Type="http://schemas.openxmlformats.org/officeDocument/2006/relationships/hyperlink" Target="mailto:andreinasalazar1992@gmail.com" TargetMode="External"/><Relationship Id="rId1318" Type="http://schemas.openxmlformats.org/officeDocument/2006/relationships/hyperlink" Target="mailto:fdavalos14@hotmail.com" TargetMode="External"/><Relationship Id="rId24" Type="http://schemas.openxmlformats.org/officeDocument/2006/relationships/hyperlink" Target="mailto:hugo.valencia@gmail.com" TargetMode="External"/><Relationship Id="rId173" Type="http://schemas.openxmlformats.org/officeDocument/2006/relationships/hyperlink" Target="mailto:mary_n32@gmail.com" TargetMode="External"/><Relationship Id="rId380" Type="http://schemas.openxmlformats.org/officeDocument/2006/relationships/hyperlink" Target="mailto:ivanaviles250274@hotmail.com" TargetMode="External"/><Relationship Id="rId240" Type="http://schemas.openxmlformats.org/officeDocument/2006/relationships/hyperlink" Target="mailto:andresprietoo@hotmail.com" TargetMode="External"/><Relationship Id="rId478" Type="http://schemas.openxmlformats.org/officeDocument/2006/relationships/hyperlink" Target="mailto:johana.mora@ucuenca.edu.ec" TargetMode="External"/><Relationship Id="rId685" Type="http://schemas.openxmlformats.org/officeDocument/2006/relationships/hyperlink" Target="mailto:joelcuevap@gmaimail.com" TargetMode="External"/><Relationship Id="rId892" Type="http://schemas.openxmlformats.org/officeDocument/2006/relationships/hyperlink" Target="mailto:lojanorocio689@gmail.com" TargetMode="External"/><Relationship Id="rId100" Type="http://schemas.openxmlformats.org/officeDocument/2006/relationships/hyperlink" Target="mailto:Valeriaalmeida120@gmail.com" TargetMode="External"/><Relationship Id="rId338" Type="http://schemas.openxmlformats.org/officeDocument/2006/relationships/hyperlink" Target="mailto:dayan_1448@hotmail.com" TargetMode="External"/><Relationship Id="rId545" Type="http://schemas.openxmlformats.org/officeDocument/2006/relationships/hyperlink" Target="mailto:jc_avila71@hotmail.com" TargetMode="External"/><Relationship Id="rId752" Type="http://schemas.openxmlformats.org/officeDocument/2006/relationships/hyperlink" Target="mailto:luis1211zam@hotmail.com" TargetMode="External"/><Relationship Id="rId1175" Type="http://schemas.openxmlformats.org/officeDocument/2006/relationships/hyperlink" Target="mailto:yuyafalvin@gmail.com" TargetMode="External"/><Relationship Id="rId1382" Type="http://schemas.openxmlformats.org/officeDocument/2006/relationships/hyperlink" Target="mailto:mafer.guevara654@gmail.com" TargetMode="External"/><Relationship Id="rId405" Type="http://schemas.openxmlformats.org/officeDocument/2006/relationships/hyperlink" Target="mailto:adriana.babyos@hotmail.com" TargetMode="External"/><Relationship Id="rId612" Type="http://schemas.openxmlformats.org/officeDocument/2006/relationships/hyperlink" Target="mailto:santiagomary202035@gmail.com" TargetMode="External"/><Relationship Id="rId1035" Type="http://schemas.openxmlformats.org/officeDocument/2006/relationships/hyperlink" Target="mailto:marimarlenet@hotmail.com" TargetMode="External"/><Relationship Id="rId1242" Type="http://schemas.openxmlformats.org/officeDocument/2006/relationships/hyperlink" Target="mailto:angelicasamaniego81@gmail.com" TargetMode="External"/><Relationship Id="rId917" Type="http://schemas.openxmlformats.org/officeDocument/2006/relationships/hyperlink" Target="mailto:jorgedavila35@gmail.com" TargetMode="External"/><Relationship Id="rId1102" Type="http://schemas.openxmlformats.org/officeDocument/2006/relationships/hyperlink" Target="mailto:christianjsa1996@gmail.com" TargetMode="External"/><Relationship Id="rId46" Type="http://schemas.openxmlformats.org/officeDocument/2006/relationships/hyperlink" Target="mailto:lucyangamarca@hotmail.com" TargetMode="External"/><Relationship Id="rId1407" Type="http://schemas.openxmlformats.org/officeDocument/2006/relationships/hyperlink" Target="mailto:erikamendes@hotmail.com" TargetMode="External"/><Relationship Id="rId195" Type="http://schemas.openxmlformats.org/officeDocument/2006/relationships/hyperlink" Target="mailto:magdalenacarrera706@gmail.com" TargetMode="External"/><Relationship Id="rId262" Type="http://schemas.openxmlformats.org/officeDocument/2006/relationships/hyperlink" Target="mailto:santoniopiray@gmail.com" TargetMode="External"/><Relationship Id="rId567" Type="http://schemas.openxmlformats.org/officeDocument/2006/relationships/hyperlink" Target="mailto:tatianaxavierramirezsalazar@gmail.com" TargetMode="External"/><Relationship Id="rId1197" Type="http://schemas.openxmlformats.org/officeDocument/2006/relationships/hyperlink" Target="mailto:amelia2019@gmail.com" TargetMode="External"/><Relationship Id="rId122" Type="http://schemas.openxmlformats.org/officeDocument/2006/relationships/hyperlink" Target="mailto:guilca_1990@hotmail.com" TargetMode="External"/><Relationship Id="rId774" Type="http://schemas.openxmlformats.org/officeDocument/2006/relationships/hyperlink" Target="mailto:oscaraltamirano06@hotmail.com" TargetMode="External"/><Relationship Id="rId981" Type="http://schemas.openxmlformats.org/officeDocument/2006/relationships/hyperlink" Target="mailto:miguel_rp@outlook.com" TargetMode="External"/><Relationship Id="rId1057" Type="http://schemas.openxmlformats.org/officeDocument/2006/relationships/hyperlink" Target="mailto:joseguille_123@hotmail.com" TargetMode="External"/><Relationship Id="rId427" Type="http://schemas.openxmlformats.org/officeDocument/2006/relationships/hyperlink" Target="mailto:irmahb_69@hotmail.com" TargetMode="External"/><Relationship Id="rId634" Type="http://schemas.openxmlformats.org/officeDocument/2006/relationships/hyperlink" Target="mailto:jennyaguirre796@gmail.com" TargetMode="External"/><Relationship Id="rId841" Type="http://schemas.openxmlformats.org/officeDocument/2006/relationships/hyperlink" Target="mailto:ivan_invest@yahoo.com" TargetMode="External"/><Relationship Id="rId1264" Type="http://schemas.openxmlformats.org/officeDocument/2006/relationships/hyperlink" Target="mailto:aliciaportocarrero81@gmail.com" TargetMode="External"/><Relationship Id="rId1471" Type="http://schemas.openxmlformats.org/officeDocument/2006/relationships/hyperlink" Target="mailto:peterangulo@hotmail.com" TargetMode="External"/><Relationship Id="rId701" Type="http://schemas.openxmlformats.org/officeDocument/2006/relationships/hyperlink" Target="mailto:isabel-98261@hotmail.com" TargetMode="External"/><Relationship Id="rId939" Type="http://schemas.openxmlformats.org/officeDocument/2006/relationships/hyperlink" Target="mailto:digna.guano@hotmail.com" TargetMode="External"/><Relationship Id="rId1124" Type="http://schemas.openxmlformats.org/officeDocument/2006/relationships/hyperlink" Target="mailto:abogadojosefinaaraujo@gmail.com" TargetMode="External"/><Relationship Id="rId1331" Type="http://schemas.openxmlformats.org/officeDocument/2006/relationships/hyperlink" Target="mailto:vanessavarga1997@gmail.com" TargetMode="External"/><Relationship Id="rId68" Type="http://schemas.openxmlformats.org/officeDocument/2006/relationships/hyperlink" Target="mailto:patycis1984@hotmail.com" TargetMode="External"/><Relationship Id="rId1429" Type="http://schemas.openxmlformats.org/officeDocument/2006/relationships/hyperlink" Target="mailto:angel_10zambrano@hotmail.com" TargetMode="External"/><Relationship Id="rId284" Type="http://schemas.openxmlformats.org/officeDocument/2006/relationships/hyperlink" Target="mailto:irene.molina.pacheco@hotmail.com" TargetMode="External"/><Relationship Id="rId491" Type="http://schemas.openxmlformats.org/officeDocument/2006/relationships/hyperlink" Target="mailto:JPATTYJZ@HOTMAISL.COM" TargetMode="External"/><Relationship Id="rId144" Type="http://schemas.openxmlformats.org/officeDocument/2006/relationships/hyperlink" Target="mailto:masnatural@gmail.com" TargetMode="External"/><Relationship Id="rId589" Type="http://schemas.openxmlformats.org/officeDocument/2006/relationships/hyperlink" Target="mailto:erickaoviedo96@gmail.com" TargetMode="External"/><Relationship Id="rId796" Type="http://schemas.openxmlformats.org/officeDocument/2006/relationships/hyperlink" Target="mailto:alismogon@gmail.com" TargetMode="External"/><Relationship Id="rId351" Type="http://schemas.openxmlformats.org/officeDocument/2006/relationships/hyperlink" Target="mailto:moisespincay30@gmail.com" TargetMode="External"/><Relationship Id="rId449" Type="http://schemas.openxmlformats.org/officeDocument/2006/relationships/hyperlink" Target="mailto:margarita_li295@hotmail.com" TargetMode="External"/><Relationship Id="rId656" Type="http://schemas.openxmlformats.org/officeDocument/2006/relationships/hyperlink" Target="mailto:lealveri@hotmail.com" TargetMode="External"/><Relationship Id="rId863" Type="http://schemas.openxmlformats.org/officeDocument/2006/relationships/hyperlink" Target="mailto:junitobravo@outlook.com" TargetMode="External"/><Relationship Id="rId1079" Type="http://schemas.openxmlformats.org/officeDocument/2006/relationships/hyperlink" Target="mailto:nquito1975@hotmail.com" TargetMode="External"/><Relationship Id="rId1286" Type="http://schemas.openxmlformats.org/officeDocument/2006/relationships/hyperlink" Target="mailto:karys-91@hotmail.com" TargetMode="External"/><Relationship Id="rId1493" Type="http://schemas.openxmlformats.org/officeDocument/2006/relationships/hyperlink" Target="mailto:jacinto_mendoza@hotmail.com" TargetMode="External"/><Relationship Id="rId211" Type="http://schemas.openxmlformats.org/officeDocument/2006/relationships/hyperlink" Target="mailto:mandres8958@gmail.com" TargetMode="External"/><Relationship Id="rId309" Type="http://schemas.openxmlformats.org/officeDocument/2006/relationships/hyperlink" Target="mailto:jorgejumbo@gmail.com" TargetMode="External"/><Relationship Id="rId516" Type="http://schemas.openxmlformats.org/officeDocument/2006/relationships/hyperlink" Target="mailto:dannyllanga@gmail.com" TargetMode="External"/><Relationship Id="rId1146" Type="http://schemas.openxmlformats.org/officeDocument/2006/relationships/hyperlink" Target="mailto:cede&#241;ochristian1991@gmail.com" TargetMode="External"/><Relationship Id="rId723" Type="http://schemas.openxmlformats.org/officeDocument/2006/relationships/hyperlink" Target="mailto:javiereinaldo@outlook.es" TargetMode="External"/><Relationship Id="rId930" Type="http://schemas.openxmlformats.org/officeDocument/2006/relationships/hyperlink" Target="mailto:luiscarranzahan@gmail.com" TargetMode="External"/><Relationship Id="rId1006" Type="http://schemas.openxmlformats.org/officeDocument/2006/relationships/hyperlink" Target="mailto:jeanethvrdsoto@gmail.com" TargetMode="External"/><Relationship Id="rId1353" Type="http://schemas.openxmlformats.org/officeDocument/2006/relationships/hyperlink" Target="mailto:joys1994zambrano@gmail.com" TargetMode="External"/><Relationship Id="rId1213" Type="http://schemas.openxmlformats.org/officeDocument/2006/relationships/hyperlink" Target="mailto:martin.acurio@gmail.com" TargetMode="External"/><Relationship Id="rId1420" Type="http://schemas.openxmlformats.org/officeDocument/2006/relationships/hyperlink" Target="mailto:kainahurtado10@gmail.com" TargetMode="External"/><Relationship Id="rId1518" Type="http://schemas.openxmlformats.org/officeDocument/2006/relationships/hyperlink" Target="mailto:dariomasabanda@hotmail.com" TargetMode="External"/><Relationship Id="rId17" Type="http://schemas.openxmlformats.org/officeDocument/2006/relationships/hyperlink" Target="mailto:miguelgamer26.2@gmail.com" TargetMode="External"/><Relationship Id="rId166" Type="http://schemas.openxmlformats.org/officeDocument/2006/relationships/hyperlink" Target="mailto:edison96arellano@hotmial.com" TargetMode="External"/><Relationship Id="rId373" Type="http://schemas.openxmlformats.org/officeDocument/2006/relationships/hyperlink" Target="mailto:marit.1392@hotmail.com" TargetMode="External"/><Relationship Id="rId580" Type="http://schemas.openxmlformats.org/officeDocument/2006/relationships/hyperlink" Target="mailto:jorge772008@hotmail.com" TargetMode="External"/><Relationship Id="rId1" Type="http://schemas.openxmlformats.org/officeDocument/2006/relationships/hyperlink" Target="mailto:lolibas2009@hotmail.com" TargetMode="External"/><Relationship Id="rId233" Type="http://schemas.openxmlformats.org/officeDocument/2006/relationships/hyperlink" Target="mailto:santitapia@hotmail.com" TargetMode="External"/><Relationship Id="rId440" Type="http://schemas.openxmlformats.org/officeDocument/2006/relationships/hyperlink" Target="mailto:vinicioquilligana96@gmail.com" TargetMode="External"/><Relationship Id="rId678" Type="http://schemas.openxmlformats.org/officeDocument/2006/relationships/hyperlink" Target="mailto:juliethgorriezruiz@gmail.com" TargetMode="External"/><Relationship Id="rId885" Type="http://schemas.openxmlformats.org/officeDocument/2006/relationships/hyperlink" Target="mailto:castrog.95@gmail.com" TargetMode="External"/><Relationship Id="rId1070" Type="http://schemas.openxmlformats.org/officeDocument/2006/relationships/hyperlink" Target="mailto:ketty1989@gmail.com" TargetMode="External"/><Relationship Id="rId300" Type="http://schemas.openxmlformats.org/officeDocument/2006/relationships/hyperlink" Target="mailto:gaby.ms2102@gmail.com" TargetMode="External"/><Relationship Id="rId538" Type="http://schemas.openxmlformats.org/officeDocument/2006/relationships/hyperlink" Target="mailto:mauriciochavezlinares@gmail.com" TargetMode="External"/><Relationship Id="rId745" Type="http://schemas.openxmlformats.org/officeDocument/2006/relationships/hyperlink" Target="mailto:jgmerazy@hotmail.com" TargetMode="External"/><Relationship Id="rId952" Type="http://schemas.openxmlformats.org/officeDocument/2006/relationships/hyperlink" Target="mailto:jennybeatriz0707@hotmail.com" TargetMode="External"/><Relationship Id="rId1168" Type="http://schemas.openxmlformats.org/officeDocument/2006/relationships/hyperlink" Target="mailto:gracemayorga20@yahoo.com" TargetMode="External"/><Relationship Id="rId1375" Type="http://schemas.openxmlformats.org/officeDocument/2006/relationships/hyperlink" Target="mailto:ximenamesias80@gmail.com" TargetMode="External"/><Relationship Id="rId81" Type="http://schemas.openxmlformats.org/officeDocument/2006/relationships/hyperlink" Target="mailto:gerardkenji91@gmail.com" TargetMode="External"/><Relationship Id="rId605" Type="http://schemas.openxmlformats.org/officeDocument/2006/relationships/hyperlink" Target="mailto:marcominga82@gmail.com" TargetMode="External"/><Relationship Id="rId812" Type="http://schemas.openxmlformats.org/officeDocument/2006/relationships/hyperlink" Target="mailto:gustavopx1267@gmail.com" TargetMode="External"/><Relationship Id="rId1028" Type="http://schemas.openxmlformats.org/officeDocument/2006/relationships/hyperlink" Target="mailto:m.caminos@hotmail.com" TargetMode="External"/><Relationship Id="rId1235" Type="http://schemas.openxmlformats.org/officeDocument/2006/relationships/hyperlink" Target="mailto:hsrb1972@hotmail.com" TargetMode="External"/><Relationship Id="rId1442" Type="http://schemas.openxmlformats.org/officeDocument/2006/relationships/hyperlink" Target="mailto:jadiramichu96@gmail.com" TargetMode="External"/><Relationship Id="rId1302" Type="http://schemas.openxmlformats.org/officeDocument/2006/relationships/hyperlink" Target="mailto:eliza27life@hotmail.com" TargetMode="External"/><Relationship Id="rId39" Type="http://schemas.openxmlformats.org/officeDocument/2006/relationships/hyperlink" Target="mailto:marisol.orellana.t@gmail.com" TargetMode="External"/><Relationship Id="rId188" Type="http://schemas.openxmlformats.org/officeDocument/2006/relationships/hyperlink" Target="mailto:alejomario136@hotmail.com" TargetMode="External"/><Relationship Id="rId395" Type="http://schemas.openxmlformats.org/officeDocument/2006/relationships/hyperlink" Target="mailto:richarth_pozo@hotmail.com" TargetMode="External"/><Relationship Id="rId255" Type="http://schemas.openxmlformats.org/officeDocument/2006/relationships/hyperlink" Target="mailto:farmacialosandes20@hotmail.com" TargetMode="External"/><Relationship Id="rId462" Type="http://schemas.openxmlformats.org/officeDocument/2006/relationships/hyperlink" Target="mailto:tibankleber46@gmail.com" TargetMode="External"/><Relationship Id="rId1092" Type="http://schemas.openxmlformats.org/officeDocument/2006/relationships/hyperlink" Target="mailto:roberthandres07@gmail.com" TargetMode="External"/><Relationship Id="rId1397" Type="http://schemas.openxmlformats.org/officeDocument/2006/relationships/hyperlink" Target="mailto:xanalaxavier29@hotmail.com" TargetMode="External"/><Relationship Id="rId115" Type="http://schemas.openxmlformats.org/officeDocument/2006/relationships/hyperlink" Target="mailto:henrryxx87@hotmail.com" TargetMode="External"/><Relationship Id="rId322" Type="http://schemas.openxmlformats.org/officeDocument/2006/relationships/hyperlink" Target="mailto:freddypato_gonzalez@yahoo.com" TargetMode="External"/><Relationship Id="rId767" Type="http://schemas.openxmlformats.org/officeDocument/2006/relationships/hyperlink" Target="mailto:leonardosanchez744@gmail.com" TargetMode="External"/><Relationship Id="rId974" Type="http://schemas.openxmlformats.org/officeDocument/2006/relationships/hyperlink" Target="mailto:wilmanfernando1995@gmail.com" TargetMode="External"/><Relationship Id="rId627" Type="http://schemas.openxmlformats.org/officeDocument/2006/relationships/hyperlink" Target="mailto:h_suarez@espoch.edu.ec" TargetMode="External"/><Relationship Id="rId834" Type="http://schemas.openxmlformats.org/officeDocument/2006/relationships/hyperlink" Target="mailto:anedpc_1977@hotmail.com" TargetMode="External"/><Relationship Id="rId1257" Type="http://schemas.openxmlformats.org/officeDocument/2006/relationships/hyperlink" Target="mailto:gutierresveronica098@gmail.com" TargetMode="External"/><Relationship Id="rId1464" Type="http://schemas.openxmlformats.org/officeDocument/2006/relationships/hyperlink" Target="mailto:elsitavasconez@gmail.com" TargetMode="External"/><Relationship Id="rId901" Type="http://schemas.openxmlformats.org/officeDocument/2006/relationships/hyperlink" Target="mailto:ginalina29@gmail.com" TargetMode="External"/><Relationship Id="rId1117" Type="http://schemas.openxmlformats.org/officeDocument/2006/relationships/hyperlink" Target="mailto:javisaca48@yahoo.com" TargetMode="External"/><Relationship Id="rId1324" Type="http://schemas.openxmlformats.org/officeDocument/2006/relationships/hyperlink" Target="mailto:orlandojesus031291@gmail.com" TargetMode="External"/><Relationship Id="rId30" Type="http://schemas.openxmlformats.org/officeDocument/2006/relationships/hyperlink" Target="mailto:jhonzeas06@gmail.com" TargetMode="External"/><Relationship Id="rId277" Type="http://schemas.openxmlformats.org/officeDocument/2006/relationships/hyperlink" Target="mailto:gladysrociozo@gmail.com" TargetMode="External"/><Relationship Id="rId484" Type="http://schemas.openxmlformats.org/officeDocument/2006/relationships/hyperlink" Target="mailto:leonelpalacios85@hotmail.com" TargetMode="External"/><Relationship Id="rId137" Type="http://schemas.openxmlformats.org/officeDocument/2006/relationships/hyperlink" Target="mailto:munozamira967@gmail.com" TargetMode="External"/><Relationship Id="rId344" Type="http://schemas.openxmlformats.org/officeDocument/2006/relationships/hyperlink" Target="mailto:tituanaveronica21@gmail.com" TargetMode="External"/><Relationship Id="rId691" Type="http://schemas.openxmlformats.org/officeDocument/2006/relationships/hyperlink" Target="mailto:selenaperez-25@hotmail.com" TargetMode="External"/><Relationship Id="rId789" Type="http://schemas.openxmlformats.org/officeDocument/2006/relationships/hyperlink" Target="mailto:felipemorandiaz@gmail.com" TargetMode="External"/><Relationship Id="rId996" Type="http://schemas.openxmlformats.org/officeDocument/2006/relationships/hyperlink" Target="mailto:zairaespinoza358@gmail.com" TargetMode="External"/><Relationship Id="rId551" Type="http://schemas.openxmlformats.org/officeDocument/2006/relationships/hyperlink" Target="mailto:veronicacalvo68@gmail.com" TargetMode="External"/><Relationship Id="rId649" Type="http://schemas.openxmlformats.org/officeDocument/2006/relationships/hyperlink" Target="mailto:luly_9012@hotmail.com" TargetMode="External"/><Relationship Id="rId856" Type="http://schemas.openxmlformats.org/officeDocument/2006/relationships/hyperlink" Target="mailto:topohenry.balcazal@hotmail.com" TargetMode="External"/><Relationship Id="rId1181" Type="http://schemas.openxmlformats.org/officeDocument/2006/relationships/hyperlink" Target="mailto:lusricadoraromy@outlook.com" TargetMode="External"/><Relationship Id="rId1279" Type="http://schemas.openxmlformats.org/officeDocument/2006/relationships/hyperlink" Target="mailto:vickygomez7@yahoo.com" TargetMode="External"/><Relationship Id="rId1486" Type="http://schemas.openxmlformats.org/officeDocument/2006/relationships/hyperlink" Target="mailto:juanita19011@hotmail.com" TargetMode="External"/><Relationship Id="rId204" Type="http://schemas.openxmlformats.org/officeDocument/2006/relationships/hyperlink" Target="mailto:danieldelpeso1975@gmail.com" TargetMode="External"/><Relationship Id="rId411" Type="http://schemas.openxmlformats.org/officeDocument/2006/relationships/hyperlink" Target="mailto:flaco.pepe12@gmail.com" TargetMode="External"/><Relationship Id="rId509" Type="http://schemas.openxmlformats.org/officeDocument/2006/relationships/hyperlink" Target="mailto:t9torresjuan@hotmail.com" TargetMode="External"/><Relationship Id="rId1041" Type="http://schemas.openxmlformats.org/officeDocument/2006/relationships/hyperlink" Target="mailto:gabrielsebastian1992@hotmail.com" TargetMode="External"/><Relationship Id="rId1139" Type="http://schemas.openxmlformats.org/officeDocument/2006/relationships/hyperlink" Target="mailto:jo_88arevalo@hotmail.com" TargetMode="External"/><Relationship Id="rId1346" Type="http://schemas.openxmlformats.org/officeDocument/2006/relationships/hyperlink" Target="mailto:jhoan.calderon35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75CAE-423A-4A81-8B39-601843B7209D}">
  <dimension ref="A1:V1642"/>
  <sheetViews>
    <sheetView tabSelected="1" zoomScale="55" zoomScaleNormal="55" workbookViewId="0">
      <pane ySplit="1" topLeftCell="A1607" activePane="bottomLeft" state="frozen"/>
      <selection pane="bottomLeft" activeCell="J1648" sqref="J1648"/>
    </sheetView>
  </sheetViews>
  <sheetFormatPr baseColWidth="10" defaultRowHeight="14.4" x14ac:dyDescent="0.3"/>
  <cols>
    <col min="1" max="1" width="11.77734375" bestFit="1" customWidth="1"/>
    <col min="2" max="2" width="20.88671875" bestFit="1" customWidth="1"/>
    <col min="3" max="3" width="31.21875" bestFit="1" customWidth="1"/>
    <col min="4" max="4" width="28.77734375" customWidth="1"/>
    <col min="5" max="5" width="16.6640625" bestFit="1" customWidth="1"/>
    <col min="6" max="6" width="13.44140625" bestFit="1" customWidth="1"/>
    <col min="7" max="7" width="7.5546875" customWidth="1"/>
    <col min="8" max="8" width="8.88671875" customWidth="1"/>
    <col min="9" max="9" width="36.44140625" bestFit="1" customWidth="1"/>
    <col min="10" max="10" width="48" bestFit="1" customWidth="1"/>
    <col min="11" max="11" width="65" bestFit="1" customWidth="1"/>
    <col min="12" max="12" width="15" customWidth="1"/>
    <col min="13" max="13" width="11.44140625" customWidth="1"/>
    <col min="14" max="14" width="19.33203125" customWidth="1"/>
    <col min="15" max="15" width="45.5546875" bestFit="1" customWidth="1"/>
    <col min="16" max="16" width="17.5546875" customWidth="1"/>
    <col min="17" max="17" width="23.109375" bestFit="1" customWidth="1"/>
    <col min="18" max="18" width="115.44140625" bestFit="1" customWidth="1"/>
  </cols>
  <sheetData>
    <row r="1" spans="1:18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4" t="s">
        <v>12</v>
      </c>
      <c r="N1" s="4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5">
        <v>44971</v>
      </c>
      <c r="B2" s="6" t="s">
        <v>18</v>
      </c>
      <c r="C2" s="6" t="s">
        <v>19</v>
      </c>
      <c r="D2" s="6" t="s">
        <v>20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s="9">
        <v>892.86</v>
      </c>
      <c r="M2" s="9">
        <f t="shared" ref="M2:M22" si="0">+L2*12%</f>
        <v>107.14319999999999</v>
      </c>
      <c r="N2" s="9">
        <f>+L2+M2</f>
        <v>1000.0032</v>
      </c>
      <c r="O2" s="11">
        <v>0</v>
      </c>
      <c r="P2" s="6" t="s">
        <v>57</v>
      </c>
      <c r="Q2" s="6" t="s">
        <v>58</v>
      </c>
      <c r="R2">
        <v>0</v>
      </c>
    </row>
    <row r="3" spans="1:18" x14ac:dyDescent="0.3">
      <c r="A3" s="5">
        <v>44971</v>
      </c>
      <c r="B3" s="6" t="s">
        <v>21</v>
      </c>
      <c r="C3" s="6" t="s">
        <v>22</v>
      </c>
      <c r="D3" s="6" t="s">
        <v>23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s="9">
        <f t="shared" ref="L3:L22" si="1">+N3/1.12</f>
        <v>1071.4285714285713</v>
      </c>
      <c r="M3" s="9">
        <f t="shared" si="0"/>
        <v>128.57142857142856</v>
      </c>
      <c r="N3" s="9">
        <v>1200</v>
      </c>
      <c r="O3" s="11">
        <v>0</v>
      </c>
      <c r="P3" s="5" t="s">
        <v>59</v>
      </c>
      <c r="Q3" s="5" t="s">
        <v>58</v>
      </c>
      <c r="R3">
        <v>0</v>
      </c>
    </row>
    <row r="4" spans="1:18" x14ac:dyDescent="0.3">
      <c r="A4" s="5">
        <v>44972</v>
      </c>
      <c r="B4" s="6" t="s">
        <v>24</v>
      </c>
      <c r="C4" s="6" t="s">
        <v>25</v>
      </c>
      <c r="D4" s="6" t="s">
        <v>26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s="9">
        <f t="shared" si="1"/>
        <v>892.85714285714278</v>
      </c>
      <c r="M4" s="9">
        <f t="shared" si="0"/>
        <v>107.14285714285712</v>
      </c>
      <c r="N4" s="9">
        <v>1000</v>
      </c>
      <c r="O4" s="11">
        <v>0</v>
      </c>
      <c r="P4" s="6" t="s">
        <v>60</v>
      </c>
      <c r="Q4" s="6" t="s">
        <v>61</v>
      </c>
      <c r="R4">
        <v>0</v>
      </c>
    </row>
    <row r="5" spans="1:18" x14ac:dyDescent="0.3">
      <c r="A5" s="5">
        <v>44972</v>
      </c>
      <c r="B5" s="6" t="s">
        <v>27</v>
      </c>
      <c r="C5" s="6" t="s">
        <v>28</v>
      </c>
      <c r="D5" s="6" t="s">
        <v>29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s="9">
        <f t="shared" si="1"/>
        <v>892.85714285714278</v>
      </c>
      <c r="M5" s="9">
        <f t="shared" si="0"/>
        <v>107.14285714285712</v>
      </c>
      <c r="N5" s="9">
        <v>1000</v>
      </c>
      <c r="O5" s="11">
        <v>0</v>
      </c>
      <c r="P5" s="6" t="s">
        <v>62</v>
      </c>
      <c r="Q5" s="6" t="s">
        <v>63</v>
      </c>
      <c r="R5">
        <v>0</v>
      </c>
    </row>
    <row r="6" spans="1:18" x14ac:dyDescent="0.3">
      <c r="A6" s="5">
        <v>44972</v>
      </c>
      <c r="B6" s="6" t="s">
        <v>30</v>
      </c>
      <c r="C6" s="6" t="s">
        <v>31</v>
      </c>
      <c r="D6" s="6" t="s">
        <v>32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s="9">
        <f t="shared" si="1"/>
        <v>892.85714285714278</v>
      </c>
      <c r="M6" s="9">
        <f t="shared" si="0"/>
        <v>107.14285714285712</v>
      </c>
      <c r="N6" s="9">
        <v>1000</v>
      </c>
      <c r="O6" s="11">
        <v>0</v>
      </c>
      <c r="P6" s="6" t="s">
        <v>64</v>
      </c>
      <c r="Q6" s="6" t="s">
        <v>61</v>
      </c>
      <c r="R6">
        <v>0</v>
      </c>
    </row>
    <row r="7" spans="1:18" x14ac:dyDescent="0.3">
      <c r="A7" s="5">
        <v>44974</v>
      </c>
      <c r="B7" s="6" t="s">
        <v>33</v>
      </c>
      <c r="C7" s="6" t="s">
        <v>34</v>
      </c>
      <c r="D7" s="6" t="s">
        <v>35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s="9">
        <f t="shared" si="1"/>
        <v>2678.5714285714284</v>
      </c>
      <c r="M7" s="9">
        <f t="shared" si="0"/>
        <v>321.42857142857139</v>
      </c>
      <c r="N7" s="9">
        <v>3000</v>
      </c>
      <c r="O7" s="11">
        <v>0</v>
      </c>
      <c r="P7" s="6" t="s">
        <v>62</v>
      </c>
      <c r="Q7" s="6" t="s">
        <v>65</v>
      </c>
      <c r="R7">
        <v>0</v>
      </c>
    </row>
    <row r="8" spans="1:18" x14ac:dyDescent="0.3">
      <c r="A8" s="7">
        <v>44980</v>
      </c>
      <c r="B8" s="8" t="s">
        <v>36</v>
      </c>
      <c r="C8" s="8" t="s">
        <v>37</v>
      </c>
      <c r="D8" s="8" t="s">
        <v>38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s="10">
        <f t="shared" si="1"/>
        <v>446.42857142857139</v>
      </c>
      <c r="M8" s="10">
        <f t="shared" si="0"/>
        <v>53.571428571428562</v>
      </c>
      <c r="N8" s="10">
        <v>500</v>
      </c>
      <c r="O8" s="11">
        <v>0</v>
      </c>
      <c r="P8" s="8" t="s">
        <v>62</v>
      </c>
      <c r="Q8" s="8" t="s">
        <v>65</v>
      </c>
      <c r="R8">
        <v>0</v>
      </c>
    </row>
    <row r="9" spans="1:18" x14ac:dyDescent="0.3">
      <c r="A9" s="7">
        <v>44980</v>
      </c>
      <c r="B9" s="8" t="s">
        <v>39</v>
      </c>
      <c r="C9" s="8" t="s">
        <v>40</v>
      </c>
      <c r="D9" s="8" t="s">
        <v>41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s="10">
        <f t="shared" si="1"/>
        <v>3562.4999999999995</v>
      </c>
      <c r="M9" s="10">
        <f t="shared" si="0"/>
        <v>427.49999999999994</v>
      </c>
      <c r="N9" s="10">
        <v>3990</v>
      </c>
      <c r="O9" s="11">
        <v>0</v>
      </c>
      <c r="P9" s="8" t="s">
        <v>64</v>
      </c>
      <c r="Q9" s="8" t="s">
        <v>61</v>
      </c>
      <c r="R9">
        <v>0</v>
      </c>
    </row>
    <row r="10" spans="1:18" x14ac:dyDescent="0.3">
      <c r="A10" s="7">
        <v>44980</v>
      </c>
      <c r="B10" s="8" t="s">
        <v>42</v>
      </c>
      <c r="C10" s="8" t="s">
        <v>43</v>
      </c>
      <c r="D10" s="8" t="s">
        <v>44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s="10">
        <f t="shared" si="1"/>
        <v>714.28571428571422</v>
      </c>
      <c r="M10" s="10">
        <f t="shared" si="0"/>
        <v>85.714285714285708</v>
      </c>
      <c r="N10" s="10">
        <v>800</v>
      </c>
      <c r="O10" s="11">
        <v>0</v>
      </c>
      <c r="P10" s="8" t="s">
        <v>66</v>
      </c>
      <c r="Q10" s="8" t="s">
        <v>67</v>
      </c>
      <c r="R10">
        <v>0</v>
      </c>
    </row>
    <row r="11" spans="1:18" x14ac:dyDescent="0.3">
      <c r="A11" s="7">
        <v>44980</v>
      </c>
      <c r="B11" s="8" t="s">
        <v>45</v>
      </c>
      <c r="C11" s="8" t="s">
        <v>46</v>
      </c>
      <c r="D11" s="8" t="s">
        <v>47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s="10">
        <f t="shared" si="1"/>
        <v>1339.2857142857142</v>
      </c>
      <c r="M11" s="10">
        <f t="shared" si="0"/>
        <v>160.71428571428569</v>
      </c>
      <c r="N11" s="10">
        <v>1500</v>
      </c>
      <c r="O11" s="11">
        <v>0</v>
      </c>
      <c r="P11" s="8" t="s">
        <v>68</v>
      </c>
      <c r="Q11" s="8" t="s">
        <v>69</v>
      </c>
      <c r="R11">
        <v>0</v>
      </c>
    </row>
    <row r="12" spans="1:18" x14ac:dyDescent="0.3">
      <c r="A12" s="7">
        <v>44981</v>
      </c>
      <c r="B12" s="8" t="s">
        <v>48</v>
      </c>
      <c r="C12" s="8" t="s">
        <v>49</v>
      </c>
      <c r="D12" s="8" t="s">
        <v>50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s="10">
        <f t="shared" si="1"/>
        <v>1776.7857142857142</v>
      </c>
      <c r="M12" s="10">
        <f t="shared" si="0"/>
        <v>213.21428571428569</v>
      </c>
      <c r="N12" s="10">
        <v>1990</v>
      </c>
      <c r="O12" s="11">
        <v>0</v>
      </c>
      <c r="P12" s="8" t="s">
        <v>66</v>
      </c>
      <c r="Q12" s="8" t="s">
        <v>67</v>
      </c>
      <c r="R12">
        <v>0</v>
      </c>
    </row>
    <row r="13" spans="1:18" x14ac:dyDescent="0.3">
      <c r="A13" s="7">
        <v>44981</v>
      </c>
      <c r="B13" s="8" t="s">
        <v>51</v>
      </c>
      <c r="C13" s="8" t="s">
        <v>52</v>
      </c>
      <c r="D13" s="8" t="s">
        <v>53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s="10">
        <f t="shared" si="1"/>
        <v>624.99999999999989</v>
      </c>
      <c r="M13" s="10">
        <f t="shared" si="0"/>
        <v>74.999999999999986</v>
      </c>
      <c r="N13" s="10">
        <v>700</v>
      </c>
      <c r="O13" s="11">
        <v>0</v>
      </c>
      <c r="P13" s="8" t="s">
        <v>70</v>
      </c>
      <c r="Q13" s="8" t="s">
        <v>70</v>
      </c>
      <c r="R13">
        <v>0</v>
      </c>
    </row>
    <row r="14" spans="1:18" x14ac:dyDescent="0.3">
      <c r="A14" s="7">
        <v>44982</v>
      </c>
      <c r="B14" s="8" t="s">
        <v>54</v>
      </c>
      <c r="C14" s="8" t="s">
        <v>55</v>
      </c>
      <c r="D14" s="8" t="s">
        <v>56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s="10">
        <f t="shared" si="1"/>
        <v>892.85714285714278</v>
      </c>
      <c r="M14" s="10">
        <f t="shared" si="0"/>
        <v>107.14285714285712</v>
      </c>
      <c r="N14" s="10">
        <v>1000</v>
      </c>
      <c r="O14" s="11">
        <v>0</v>
      </c>
      <c r="P14" s="8" t="s">
        <v>68</v>
      </c>
      <c r="Q14" s="8" t="s">
        <v>61</v>
      </c>
      <c r="R14">
        <v>0</v>
      </c>
    </row>
    <row r="15" spans="1:18" x14ac:dyDescent="0.3">
      <c r="A15" s="12">
        <v>44985</v>
      </c>
      <c r="B15" s="13" t="s">
        <v>71</v>
      </c>
      <c r="C15" s="13" t="s">
        <v>72</v>
      </c>
      <c r="D15" s="13" t="s">
        <v>73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 s="21" t="s">
        <v>197</v>
      </c>
      <c r="L15" s="21">
        <f t="shared" si="1"/>
        <v>982.142857142857</v>
      </c>
      <c r="M15" s="21">
        <f t="shared" si="0"/>
        <v>117.85714285714283</v>
      </c>
      <c r="N15" s="21">
        <v>1100</v>
      </c>
      <c r="O15" s="11">
        <v>0</v>
      </c>
      <c r="P15" s="13" t="s">
        <v>212</v>
      </c>
      <c r="Q15" s="13" t="s">
        <v>67</v>
      </c>
      <c r="R15">
        <v>0</v>
      </c>
    </row>
    <row r="16" spans="1:18" x14ac:dyDescent="0.3">
      <c r="A16" s="14">
        <v>44985</v>
      </c>
      <c r="B16" s="15" t="s">
        <v>74</v>
      </c>
      <c r="C16" s="15" t="s">
        <v>75</v>
      </c>
      <c r="D16" s="15" t="s">
        <v>76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 s="22" t="s">
        <v>198</v>
      </c>
      <c r="L16" s="22">
        <f t="shared" si="1"/>
        <v>1785.7142857142856</v>
      </c>
      <c r="M16" s="22">
        <f t="shared" si="0"/>
        <v>214.28571428571425</v>
      </c>
      <c r="N16" s="22">
        <v>2000</v>
      </c>
      <c r="O16" s="11">
        <v>0</v>
      </c>
      <c r="P16" s="15" t="s">
        <v>213</v>
      </c>
      <c r="Q16" s="15" t="s">
        <v>61</v>
      </c>
      <c r="R16">
        <v>0</v>
      </c>
    </row>
    <row r="17" spans="1:18" x14ac:dyDescent="0.3">
      <c r="A17" s="12">
        <v>44985</v>
      </c>
      <c r="B17" s="13" t="s">
        <v>77</v>
      </c>
      <c r="C17" s="13" t="s">
        <v>78</v>
      </c>
      <c r="D17" s="13" t="s">
        <v>79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 s="21" t="s">
        <v>199</v>
      </c>
      <c r="L17" s="21">
        <f t="shared" si="1"/>
        <v>446.42857142857139</v>
      </c>
      <c r="M17" s="21">
        <f t="shared" si="0"/>
        <v>53.571428571428562</v>
      </c>
      <c r="N17" s="21">
        <v>500</v>
      </c>
      <c r="O17" s="11">
        <v>0</v>
      </c>
      <c r="P17" s="13" t="s">
        <v>70</v>
      </c>
      <c r="Q17" s="13" t="s">
        <v>69</v>
      </c>
      <c r="R17">
        <v>0</v>
      </c>
    </row>
    <row r="18" spans="1:18" x14ac:dyDescent="0.3">
      <c r="A18" s="12">
        <v>44985</v>
      </c>
      <c r="B18" s="13" t="s">
        <v>80</v>
      </c>
      <c r="C18" s="13" t="s">
        <v>81</v>
      </c>
      <c r="D18" s="13" t="s">
        <v>82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 s="21" t="s">
        <v>200</v>
      </c>
      <c r="L18" s="21">
        <f t="shared" si="1"/>
        <v>2589.2857142857142</v>
      </c>
      <c r="M18" s="21">
        <f t="shared" si="0"/>
        <v>310.71428571428572</v>
      </c>
      <c r="N18" s="21">
        <v>2900</v>
      </c>
      <c r="O18" s="11">
        <v>0</v>
      </c>
      <c r="P18" s="13" t="s">
        <v>70</v>
      </c>
      <c r="Q18" s="13" t="s">
        <v>214</v>
      </c>
      <c r="R18">
        <v>0</v>
      </c>
    </row>
    <row r="19" spans="1:18" x14ac:dyDescent="0.3">
      <c r="A19" s="12">
        <v>44621</v>
      </c>
      <c r="B19" s="13" t="s">
        <v>83</v>
      </c>
      <c r="C19" s="13" t="s">
        <v>84</v>
      </c>
      <c r="D19" s="13" t="s">
        <v>85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 s="21" t="s">
        <v>201</v>
      </c>
      <c r="L19" s="21">
        <f t="shared" si="1"/>
        <v>1776.7857142857142</v>
      </c>
      <c r="M19" s="21">
        <f t="shared" si="0"/>
        <v>213.21428571428569</v>
      </c>
      <c r="N19" s="21">
        <v>1990</v>
      </c>
      <c r="O19" s="11">
        <v>0</v>
      </c>
      <c r="P19" s="13" t="s">
        <v>70</v>
      </c>
      <c r="Q19" s="13" t="s">
        <v>214</v>
      </c>
      <c r="R19">
        <v>0</v>
      </c>
    </row>
    <row r="20" spans="1:18" x14ac:dyDescent="0.3">
      <c r="A20" s="12">
        <v>44621</v>
      </c>
      <c r="B20" s="13" t="s">
        <v>86</v>
      </c>
      <c r="C20" s="13" t="s">
        <v>87</v>
      </c>
      <c r="D20" s="13" t="s">
        <v>88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 s="21" t="s">
        <v>202</v>
      </c>
      <c r="L20" s="21">
        <f t="shared" si="1"/>
        <v>2677.6785714285711</v>
      </c>
      <c r="M20" s="21">
        <f t="shared" si="0"/>
        <v>321.3214285714285</v>
      </c>
      <c r="N20" s="21">
        <v>2999</v>
      </c>
      <c r="O20" s="11">
        <v>0</v>
      </c>
      <c r="P20" s="13" t="s">
        <v>68</v>
      </c>
      <c r="Q20" s="13" t="s">
        <v>67</v>
      </c>
      <c r="R20">
        <v>0</v>
      </c>
    </row>
    <row r="21" spans="1:18" x14ac:dyDescent="0.3">
      <c r="A21" s="12">
        <v>44621</v>
      </c>
      <c r="B21" s="13" t="s">
        <v>89</v>
      </c>
      <c r="C21" s="13" t="s">
        <v>90</v>
      </c>
      <c r="D21" s="13" t="s">
        <v>91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 s="21" t="s">
        <v>203</v>
      </c>
      <c r="L21" s="21">
        <f t="shared" si="1"/>
        <v>2669.6428571428569</v>
      </c>
      <c r="M21" s="21">
        <f t="shared" si="0"/>
        <v>320.35714285714283</v>
      </c>
      <c r="N21" s="21">
        <v>2990</v>
      </c>
      <c r="O21" s="11">
        <v>0</v>
      </c>
      <c r="P21" s="13" t="s">
        <v>60</v>
      </c>
      <c r="Q21" s="13" t="s">
        <v>63</v>
      </c>
      <c r="R21">
        <v>0</v>
      </c>
    </row>
    <row r="22" spans="1:18" x14ac:dyDescent="0.3">
      <c r="A22" s="16">
        <v>44988</v>
      </c>
      <c r="B22" s="17" t="s">
        <v>92</v>
      </c>
      <c r="C22" s="17" t="s">
        <v>93</v>
      </c>
      <c r="D22" s="17" t="s">
        <v>94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 s="23" t="s">
        <v>204</v>
      </c>
      <c r="L22" s="23">
        <f t="shared" si="1"/>
        <v>892.85714285714278</v>
      </c>
      <c r="M22" s="23">
        <f t="shared" si="0"/>
        <v>107.14285714285712</v>
      </c>
      <c r="N22" s="23">
        <v>1000</v>
      </c>
      <c r="O22" s="11">
        <v>0</v>
      </c>
      <c r="P22" s="17" t="s">
        <v>215</v>
      </c>
      <c r="Q22" s="17" t="s">
        <v>69</v>
      </c>
      <c r="R22">
        <v>0</v>
      </c>
    </row>
    <row r="23" spans="1:18" x14ac:dyDescent="0.3">
      <c r="A23" s="16">
        <v>44988</v>
      </c>
      <c r="B23" s="17" t="s">
        <v>95</v>
      </c>
      <c r="C23" s="17" t="s">
        <v>96</v>
      </c>
      <c r="D23" s="17" t="s">
        <v>97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 s="23" t="s">
        <v>202</v>
      </c>
      <c r="L23" s="23">
        <f>+N23/1.12</f>
        <v>2767.8571428571427</v>
      </c>
      <c r="M23" s="23">
        <f>+L23*12%</f>
        <v>332.14285714285711</v>
      </c>
      <c r="N23" s="23">
        <v>3100</v>
      </c>
      <c r="O23" s="11">
        <v>0</v>
      </c>
      <c r="P23" s="17" t="s">
        <v>70</v>
      </c>
      <c r="Q23" s="17" t="s">
        <v>214</v>
      </c>
      <c r="R23">
        <v>0</v>
      </c>
    </row>
    <row r="24" spans="1:18" x14ac:dyDescent="0.3">
      <c r="A24" s="18">
        <v>44992</v>
      </c>
      <c r="B24" s="19" t="s">
        <v>98</v>
      </c>
      <c r="C24" s="19" t="s">
        <v>99</v>
      </c>
      <c r="D24" s="19" t="s">
        <v>100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 s="19" t="s">
        <v>202</v>
      </c>
      <c r="L24" s="23">
        <f>+N24/1.12</f>
        <v>982.142857142857</v>
      </c>
      <c r="M24" s="23">
        <f>+L24*12%</f>
        <v>117.85714285714283</v>
      </c>
      <c r="N24" s="23">
        <v>1100</v>
      </c>
      <c r="O24" s="11">
        <v>0</v>
      </c>
      <c r="P24" s="19" t="s">
        <v>68</v>
      </c>
      <c r="Q24" s="19" t="s">
        <v>216</v>
      </c>
      <c r="R24">
        <v>0</v>
      </c>
    </row>
    <row r="25" spans="1:18" x14ac:dyDescent="0.3">
      <c r="A25" s="18">
        <v>44992</v>
      </c>
      <c r="B25" s="19" t="s">
        <v>101</v>
      </c>
      <c r="C25" s="19" t="s">
        <v>102</v>
      </c>
      <c r="D25" s="19" t="s">
        <v>103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 s="19" t="s">
        <v>197</v>
      </c>
      <c r="L25" s="23">
        <f>+N25/1.12</f>
        <v>1205.3571428571427</v>
      </c>
      <c r="M25" s="23">
        <f>+L25*12%</f>
        <v>144.64285714285711</v>
      </c>
      <c r="N25" s="23">
        <v>1350</v>
      </c>
      <c r="O25" s="11">
        <v>0</v>
      </c>
      <c r="P25" s="19" t="s">
        <v>60</v>
      </c>
      <c r="Q25" s="19" t="s">
        <v>217</v>
      </c>
      <c r="R25">
        <v>0</v>
      </c>
    </row>
    <row r="26" spans="1:18" x14ac:dyDescent="0.3">
      <c r="A26" s="18">
        <v>44992</v>
      </c>
      <c r="B26" s="19" t="s">
        <v>104</v>
      </c>
      <c r="C26" s="19" t="s">
        <v>105</v>
      </c>
      <c r="D26" s="19" t="s">
        <v>106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 s="19" t="s">
        <v>197</v>
      </c>
      <c r="L26" s="23">
        <f t="shared" ref="L26:L56" si="2">+N26/1.12</f>
        <v>2678.5714285714284</v>
      </c>
      <c r="M26" s="23">
        <f t="shared" ref="M26:M56" si="3">+L26*12%</f>
        <v>321.42857142857139</v>
      </c>
      <c r="N26" s="23">
        <v>3000</v>
      </c>
      <c r="O26" s="11">
        <v>0</v>
      </c>
      <c r="P26" s="19" t="s">
        <v>62</v>
      </c>
      <c r="Q26" s="19" t="s">
        <v>69</v>
      </c>
      <c r="R26">
        <v>0</v>
      </c>
    </row>
    <row r="27" spans="1:18" x14ac:dyDescent="0.3">
      <c r="A27" s="18">
        <v>44992</v>
      </c>
      <c r="B27" s="19" t="s">
        <v>107</v>
      </c>
      <c r="C27" s="19" t="s">
        <v>108</v>
      </c>
      <c r="D27" s="19" t="s">
        <v>109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 s="19" t="s">
        <v>205</v>
      </c>
      <c r="L27" s="23">
        <f t="shared" si="2"/>
        <v>1071.4285714285713</v>
      </c>
      <c r="M27" s="23">
        <f t="shared" si="3"/>
        <v>128.57142857142856</v>
      </c>
      <c r="N27" s="23">
        <v>1200</v>
      </c>
      <c r="O27" s="11">
        <v>0</v>
      </c>
      <c r="P27" s="19" t="s">
        <v>68</v>
      </c>
      <c r="Q27" s="19" t="s">
        <v>63</v>
      </c>
      <c r="R27">
        <v>0</v>
      </c>
    </row>
    <row r="28" spans="1:18" x14ac:dyDescent="0.3">
      <c r="A28" s="18">
        <v>44992</v>
      </c>
      <c r="B28" s="19" t="s">
        <v>110</v>
      </c>
      <c r="C28" s="19" t="s">
        <v>111</v>
      </c>
      <c r="D28" s="19" t="s">
        <v>112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 s="19" t="s">
        <v>197</v>
      </c>
      <c r="L28" s="23">
        <f t="shared" si="2"/>
        <v>892.85714285714278</v>
      </c>
      <c r="M28" s="23">
        <f t="shared" si="3"/>
        <v>107.14285714285712</v>
      </c>
      <c r="N28" s="23">
        <v>1000</v>
      </c>
      <c r="O28" s="11">
        <v>0</v>
      </c>
      <c r="P28" s="19" t="s">
        <v>70</v>
      </c>
      <c r="Q28" s="19" t="s">
        <v>214</v>
      </c>
      <c r="R28">
        <v>0</v>
      </c>
    </row>
    <row r="29" spans="1:18" x14ac:dyDescent="0.3">
      <c r="A29" s="18">
        <v>44992</v>
      </c>
      <c r="B29" s="19" t="s">
        <v>113</v>
      </c>
      <c r="C29" s="19" t="s">
        <v>114</v>
      </c>
      <c r="D29" s="19" t="s">
        <v>115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 s="19" t="s">
        <v>197</v>
      </c>
      <c r="L29" s="23">
        <f t="shared" si="2"/>
        <v>892.85714285714278</v>
      </c>
      <c r="M29" s="23">
        <f t="shared" si="3"/>
        <v>107.14285714285712</v>
      </c>
      <c r="N29" s="23">
        <v>1000</v>
      </c>
      <c r="O29" s="11">
        <v>0</v>
      </c>
      <c r="P29" s="19" t="s">
        <v>68</v>
      </c>
      <c r="Q29" s="19" t="s">
        <v>63</v>
      </c>
      <c r="R29">
        <v>0</v>
      </c>
    </row>
    <row r="30" spans="1:18" x14ac:dyDescent="0.3">
      <c r="A30" s="18">
        <v>44992</v>
      </c>
      <c r="B30" s="19" t="s">
        <v>116</v>
      </c>
      <c r="C30" s="19" t="s">
        <v>117</v>
      </c>
      <c r="D30" s="19" t="s">
        <v>118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 s="19" t="s">
        <v>206</v>
      </c>
      <c r="L30" s="23">
        <f t="shared" si="2"/>
        <v>2669.6428571428569</v>
      </c>
      <c r="M30" s="23">
        <f t="shared" si="3"/>
        <v>320.35714285714283</v>
      </c>
      <c r="N30" s="23">
        <v>2990</v>
      </c>
      <c r="O30" s="11">
        <v>0</v>
      </c>
      <c r="P30" s="19" t="s">
        <v>66</v>
      </c>
      <c r="Q30" s="19" t="s">
        <v>61</v>
      </c>
      <c r="R30">
        <v>0</v>
      </c>
    </row>
    <row r="31" spans="1:18" x14ac:dyDescent="0.3">
      <c r="A31" s="18">
        <v>44992</v>
      </c>
      <c r="B31" s="19" t="s">
        <v>119</v>
      </c>
      <c r="C31" s="19" t="s">
        <v>120</v>
      </c>
      <c r="D31" s="19" t="s">
        <v>121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s="19" t="s">
        <v>207</v>
      </c>
      <c r="L31" s="23">
        <f t="shared" si="2"/>
        <v>223.21428571428569</v>
      </c>
      <c r="M31" s="23">
        <f t="shared" si="3"/>
        <v>26.785714285714281</v>
      </c>
      <c r="N31" s="23">
        <v>250</v>
      </c>
      <c r="O31" s="11">
        <v>0</v>
      </c>
      <c r="P31" s="19" t="s">
        <v>59</v>
      </c>
      <c r="Q31" s="19" t="s">
        <v>67</v>
      </c>
      <c r="R31">
        <v>0</v>
      </c>
    </row>
    <row r="32" spans="1:18" x14ac:dyDescent="0.3">
      <c r="A32" s="18">
        <v>44992</v>
      </c>
      <c r="B32" s="19" t="s">
        <v>122</v>
      </c>
      <c r="C32" s="19" t="s">
        <v>123</v>
      </c>
      <c r="D32" s="19" t="s">
        <v>124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 s="19" t="s">
        <v>208</v>
      </c>
      <c r="L32" s="23">
        <f t="shared" si="2"/>
        <v>1249.9999999999998</v>
      </c>
      <c r="M32" s="23">
        <f t="shared" si="3"/>
        <v>149.99999999999997</v>
      </c>
      <c r="N32" s="23">
        <v>1400</v>
      </c>
      <c r="O32" s="11">
        <v>0</v>
      </c>
      <c r="P32" s="19" t="s">
        <v>218</v>
      </c>
      <c r="Q32" s="19" t="s">
        <v>67</v>
      </c>
      <c r="R32">
        <v>0</v>
      </c>
    </row>
    <row r="33" spans="1:18" x14ac:dyDescent="0.3">
      <c r="A33" s="18">
        <v>44994</v>
      </c>
      <c r="B33" s="19" t="s">
        <v>125</v>
      </c>
      <c r="C33" s="19" t="s">
        <v>126</v>
      </c>
      <c r="D33" s="19" t="s">
        <v>127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 s="19" t="s">
        <v>197</v>
      </c>
      <c r="L33" s="23">
        <f t="shared" si="2"/>
        <v>535.71428571428567</v>
      </c>
      <c r="M33" s="23">
        <f t="shared" si="3"/>
        <v>64.285714285714278</v>
      </c>
      <c r="N33" s="23">
        <v>600</v>
      </c>
      <c r="O33" s="11">
        <v>0</v>
      </c>
      <c r="P33" s="19" t="s">
        <v>60</v>
      </c>
      <c r="Q33" s="19" t="s">
        <v>67</v>
      </c>
      <c r="R33">
        <v>0</v>
      </c>
    </row>
    <row r="34" spans="1:18" x14ac:dyDescent="0.3">
      <c r="A34" s="18">
        <v>44994</v>
      </c>
      <c r="B34" s="19" t="s">
        <v>128</v>
      </c>
      <c r="C34" s="19" t="s">
        <v>129</v>
      </c>
      <c r="D34" s="19" t="s">
        <v>130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 s="19" t="s">
        <v>197</v>
      </c>
      <c r="L34" s="23">
        <f t="shared" si="2"/>
        <v>1776.7857142857142</v>
      </c>
      <c r="M34" s="23">
        <f t="shared" si="3"/>
        <v>213.21428571428569</v>
      </c>
      <c r="N34" s="23">
        <v>1990</v>
      </c>
      <c r="O34" s="11">
        <v>0</v>
      </c>
      <c r="P34" s="19" t="s">
        <v>213</v>
      </c>
      <c r="Q34" s="19" t="s">
        <v>69</v>
      </c>
      <c r="R34">
        <v>0</v>
      </c>
    </row>
    <row r="35" spans="1:18" x14ac:dyDescent="0.3">
      <c r="A35" s="18">
        <v>44994</v>
      </c>
      <c r="B35" s="19" t="s">
        <v>131</v>
      </c>
      <c r="C35" s="19" t="s">
        <v>132</v>
      </c>
      <c r="D35" s="19" t="s">
        <v>133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 s="19" t="s">
        <v>202</v>
      </c>
      <c r="L35" s="23">
        <f t="shared" si="2"/>
        <v>1071.4285714285713</v>
      </c>
      <c r="M35" s="23">
        <f t="shared" si="3"/>
        <v>128.57142857142856</v>
      </c>
      <c r="N35" s="23">
        <v>1200</v>
      </c>
      <c r="O35" s="11">
        <v>0</v>
      </c>
      <c r="P35" s="19" t="s">
        <v>59</v>
      </c>
      <c r="Q35" s="19" t="s">
        <v>67</v>
      </c>
      <c r="R35">
        <v>0</v>
      </c>
    </row>
    <row r="36" spans="1:18" x14ac:dyDescent="0.3">
      <c r="A36" s="18">
        <v>44994</v>
      </c>
      <c r="B36" s="19" t="s">
        <v>134</v>
      </c>
      <c r="C36" s="19" t="s">
        <v>135</v>
      </c>
      <c r="D36" s="19" t="s">
        <v>136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 s="19" t="s">
        <v>197</v>
      </c>
      <c r="L36" s="23">
        <f t="shared" si="2"/>
        <v>1687.4999999999998</v>
      </c>
      <c r="M36" s="23">
        <f t="shared" si="3"/>
        <v>202.49999999999997</v>
      </c>
      <c r="N36" s="23">
        <v>1890</v>
      </c>
      <c r="O36" s="11">
        <v>0</v>
      </c>
      <c r="P36" s="19" t="s">
        <v>213</v>
      </c>
      <c r="Q36" s="19" t="s">
        <v>69</v>
      </c>
      <c r="R36">
        <v>0</v>
      </c>
    </row>
    <row r="37" spans="1:18" x14ac:dyDescent="0.3">
      <c r="A37" s="18">
        <v>44994</v>
      </c>
      <c r="B37" s="19" t="s">
        <v>137</v>
      </c>
      <c r="C37" s="19" t="s">
        <v>138</v>
      </c>
      <c r="D37" s="19" t="s">
        <v>139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 s="19" t="s">
        <v>208</v>
      </c>
      <c r="L37" s="23">
        <f t="shared" si="2"/>
        <v>1607.1428571428569</v>
      </c>
      <c r="M37" s="23">
        <f t="shared" si="3"/>
        <v>192.85714285714283</v>
      </c>
      <c r="N37" s="23">
        <v>1800</v>
      </c>
      <c r="O37" s="11">
        <v>0</v>
      </c>
      <c r="P37" s="19" t="s">
        <v>219</v>
      </c>
      <c r="Q37" s="19" t="s">
        <v>214</v>
      </c>
      <c r="R37">
        <v>0</v>
      </c>
    </row>
    <row r="38" spans="1:18" x14ac:dyDescent="0.3">
      <c r="A38" s="18">
        <v>44994</v>
      </c>
      <c r="B38" s="19" t="s">
        <v>140</v>
      </c>
      <c r="C38" s="19" t="s">
        <v>141</v>
      </c>
      <c r="D38" s="19" t="s">
        <v>142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 s="19" t="s">
        <v>209</v>
      </c>
      <c r="L38" s="23">
        <f t="shared" si="2"/>
        <v>803.57142857142844</v>
      </c>
      <c r="M38" s="23">
        <f t="shared" si="3"/>
        <v>96.428571428571416</v>
      </c>
      <c r="N38" s="23">
        <v>900</v>
      </c>
      <c r="O38" s="11">
        <v>0</v>
      </c>
      <c r="P38" s="19" t="s">
        <v>68</v>
      </c>
      <c r="Q38" s="19" t="s">
        <v>63</v>
      </c>
      <c r="R38">
        <v>0</v>
      </c>
    </row>
    <row r="39" spans="1:18" x14ac:dyDescent="0.3">
      <c r="A39" s="18">
        <v>44994</v>
      </c>
      <c r="B39" s="19" t="s">
        <v>143</v>
      </c>
      <c r="C39" s="19" t="s">
        <v>144</v>
      </c>
      <c r="D39" s="19" t="s">
        <v>145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 s="19" t="s">
        <v>202</v>
      </c>
      <c r="L39" s="23">
        <f t="shared" si="2"/>
        <v>1339.2857142857142</v>
      </c>
      <c r="M39" s="23">
        <f t="shared" si="3"/>
        <v>160.71428571428569</v>
      </c>
      <c r="N39" s="23">
        <v>1500</v>
      </c>
      <c r="O39" s="11">
        <v>0</v>
      </c>
      <c r="P39" s="19" t="s">
        <v>219</v>
      </c>
      <c r="Q39" s="19" t="s">
        <v>67</v>
      </c>
      <c r="R39">
        <v>0</v>
      </c>
    </row>
    <row r="40" spans="1:18" x14ac:dyDescent="0.3">
      <c r="A40" s="18">
        <v>44994</v>
      </c>
      <c r="B40" s="19" t="s">
        <v>146</v>
      </c>
      <c r="C40" s="19" t="s">
        <v>147</v>
      </c>
      <c r="D40" s="19" t="s">
        <v>148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 s="19" t="s">
        <v>197</v>
      </c>
      <c r="L40" s="23">
        <f t="shared" si="2"/>
        <v>1607.1428571428569</v>
      </c>
      <c r="M40" s="23">
        <f t="shared" si="3"/>
        <v>192.85714285714283</v>
      </c>
      <c r="N40" s="23">
        <v>1800</v>
      </c>
      <c r="O40" s="11">
        <v>0</v>
      </c>
      <c r="P40" s="19" t="s">
        <v>62</v>
      </c>
      <c r="Q40" s="19" t="s">
        <v>61</v>
      </c>
      <c r="R40">
        <v>0</v>
      </c>
    </row>
    <row r="41" spans="1:18" x14ac:dyDescent="0.3">
      <c r="A41" s="18">
        <v>44994</v>
      </c>
      <c r="B41" s="19" t="s">
        <v>149</v>
      </c>
      <c r="C41" s="19" t="s">
        <v>150</v>
      </c>
      <c r="D41" s="19" t="s">
        <v>151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 s="19" t="s">
        <v>202</v>
      </c>
      <c r="L41" s="23">
        <f t="shared" si="2"/>
        <v>892.85714285714278</v>
      </c>
      <c r="M41" s="23">
        <f t="shared" si="3"/>
        <v>107.14285714285712</v>
      </c>
      <c r="N41" s="23">
        <v>1000</v>
      </c>
      <c r="O41" s="11">
        <v>0</v>
      </c>
      <c r="P41" s="19" t="s">
        <v>220</v>
      </c>
      <c r="Q41" s="19" t="s">
        <v>69</v>
      </c>
      <c r="R41">
        <v>0</v>
      </c>
    </row>
    <row r="42" spans="1:18" x14ac:dyDescent="0.3">
      <c r="A42" s="18">
        <v>44994</v>
      </c>
      <c r="B42" s="19" t="s">
        <v>152</v>
      </c>
      <c r="C42" s="19" t="s">
        <v>153</v>
      </c>
      <c r="D42" s="19" t="s">
        <v>154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 s="19" t="s">
        <v>197</v>
      </c>
      <c r="L42" s="23">
        <f t="shared" si="2"/>
        <v>1607.1428571428569</v>
      </c>
      <c r="M42" s="23">
        <f t="shared" si="3"/>
        <v>192.85714285714283</v>
      </c>
      <c r="N42" s="23">
        <v>1800</v>
      </c>
      <c r="O42" s="11">
        <v>0</v>
      </c>
      <c r="P42" s="19" t="s">
        <v>62</v>
      </c>
      <c r="Q42" s="19" t="s">
        <v>69</v>
      </c>
      <c r="R42">
        <v>0</v>
      </c>
    </row>
    <row r="43" spans="1:18" x14ac:dyDescent="0.3">
      <c r="A43" s="18">
        <v>44994</v>
      </c>
      <c r="B43" s="19" t="s">
        <v>155</v>
      </c>
      <c r="C43" s="19" t="s">
        <v>156</v>
      </c>
      <c r="D43" s="19" t="s">
        <v>157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 s="19" t="s">
        <v>210</v>
      </c>
      <c r="L43" s="23">
        <f t="shared" si="2"/>
        <v>223.21428571428569</v>
      </c>
      <c r="M43" s="23">
        <f t="shared" si="3"/>
        <v>26.785714285714281</v>
      </c>
      <c r="N43" s="23">
        <v>250</v>
      </c>
      <c r="O43" s="11">
        <v>0</v>
      </c>
      <c r="P43" s="19" t="s">
        <v>215</v>
      </c>
      <c r="Q43" s="19" t="s">
        <v>67</v>
      </c>
      <c r="R43">
        <v>0</v>
      </c>
    </row>
    <row r="44" spans="1:18" x14ac:dyDescent="0.3">
      <c r="A44" s="18">
        <v>44994</v>
      </c>
      <c r="B44" s="19" t="s">
        <v>158</v>
      </c>
      <c r="C44" s="19" t="s">
        <v>159</v>
      </c>
      <c r="D44" s="19" t="s">
        <v>160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 s="19" t="s">
        <v>197</v>
      </c>
      <c r="L44" s="23">
        <f t="shared" si="2"/>
        <v>1071.4285714285713</v>
      </c>
      <c r="M44" s="23">
        <f t="shared" si="3"/>
        <v>128.57142857142856</v>
      </c>
      <c r="N44" s="23">
        <v>1200</v>
      </c>
      <c r="O44" s="11">
        <v>0</v>
      </c>
      <c r="P44" s="19" t="s">
        <v>60</v>
      </c>
      <c r="Q44" s="19" t="s">
        <v>69</v>
      </c>
      <c r="R44">
        <v>0</v>
      </c>
    </row>
    <row r="45" spans="1:18" x14ac:dyDescent="0.3">
      <c r="A45" s="18">
        <v>44999</v>
      </c>
      <c r="B45" s="19" t="s">
        <v>161</v>
      </c>
      <c r="C45" s="19" t="s">
        <v>162</v>
      </c>
      <c r="D45" s="19" t="s">
        <v>163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 s="19" t="s">
        <v>211</v>
      </c>
      <c r="L45" s="23">
        <f t="shared" si="2"/>
        <v>55.357142857142854</v>
      </c>
      <c r="M45" s="23">
        <f t="shared" si="3"/>
        <v>6.6428571428571423</v>
      </c>
      <c r="N45" s="23">
        <v>62</v>
      </c>
      <c r="O45" s="11">
        <v>0</v>
      </c>
      <c r="P45" s="19" t="s">
        <v>62</v>
      </c>
      <c r="Q45" s="19" t="s">
        <v>65</v>
      </c>
      <c r="R45">
        <v>0</v>
      </c>
    </row>
    <row r="46" spans="1:18" x14ac:dyDescent="0.3">
      <c r="A46" s="18">
        <v>44999</v>
      </c>
      <c r="B46" s="19" t="s">
        <v>164</v>
      </c>
      <c r="C46" s="19" t="s">
        <v>165</v>
      </c>
      <c r="D46" s="19" t="s">
        <v>166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 s="19" t="s">
        <v>204</v>
      </c>
      <c r="L46" s="23">
        <f t="shared" si="2"/>
        <v>1785.7142857142856</v>
      </c>
      <c r="M46" s="23">
        <f t="shared" si="3"/>
        <v>214.28571428571425</v>
      </c>
      <c r="N46" s="23">
        <v>2000</v>
      </c>
      <c r="O46" s="11">
        <v>0</v>
      </c>
      <c r="P46" s="19" t="s">
        <v>221</v>
      </c>
      <c r="Q46" s="19" t="s">
        <v>65</v>
      </c>
      <c r="R46">
        <v>0</v>
      </c>
    </row>
    <row r="47" spans="1:18" x14ac:dyDescent="0.3">
      <c r="A47" s="18">
        <v>44999</v>
      </c>
      <c r="B47" s="19" t="s">
        <v>167</v>
      </c>
      <c r="C47" s="19" t="s">
        <v>168</v>
      </c>
      <c r="D47" s="19" t="s">
        <v>169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 s="19" t="s">
        <v>202</v>
      </c>
      <c r="L47" s="23">
        <f t="shared" si="2"/>
        <v>982.142857142857</v>
      </c>
      <c r="M47" s="23">
        <f t="shared" si="3"/>
        <v>117.85714285714283</v>
      </c>
      <c r="N47" s="23">
        <v>1100</v>
      </c>
      <c r="O47" s="11">
        <v>0</v>
      </c>
      <c r="P47" s="19" t="s">
        <v>68</v>
      </c>
      <c r="Q47" s="19" t="s">
        <v>68</v>
      </c>
      <c r="R47">
        <v>0</v>
      </c>
    </row>
    <row r="48" spans="1:18" x14ac:dyDescent="0.3">
      <c r="A48" s="18">
        <v>44999</v>
      </c>
      <c r="B48" s="19" t="s">
        <v>170</v>
      </c>
      <c r="C48" s="19" t="s">
        <v>171</v>
      </c>
      <c r="D48" s="19" t="s">
        <v>172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 s="19" t="s">
        <v>207</v>
      </c>
      <c r="L48" s="23">
        <f t="shared" si="2"/>
        <v>1776.7857142857142</v>
      </c>
      <c r="M48" s="23">
        <f t="shared" si="3"/>
        <v>213.21428571428569</v>
      </c>
      <c r="N48" s="23">
        <v>1990</v>
      </c>
      <c r="O48" s="11">
        <v>0</v>
      </c>
      <c r="P48" s="19" t="s">
        <v>222</v>
      </c>
      <c r="Q48" s="19" t="s">
        <v>214</v>
      </c>
      <c r="R48">
        <v>0</v>
      </c>
    </row>
    <row r="49" spans="1:18" x14ac:dyDescent="0.3">
      <c r="A49" s="18">
        <v>45001</v>
      </c>
      <c r="B49" s="19" t="s">
        <v>173</v>
      </c>
      <c r="C49" s="19" t="s">
        <v>174</v>
      </c>
      <c r="D49" s="19" t="s">
        <v>175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 s="19" t="s">
        <v>199</v>
      </c>
      <c r="L49" s="23">
        <f t="shared" si="2"/>
        <v>669.64285714285711</v>
      </c>
      <c r="M49" s="23">
        <f t="shared" si="3"/>
        <v>80.357142857142847</v>
      </c>
      <c r="N49" s="23">
        <v>750</v>
      </c>
      <c r="O49" s="11">
        <v>0</v>
      </c>
      <c r="P49" s="19" t="s">
        <v>62</v>
      </c>
      <c r="Q49" s="19" t="s">
        <v>65</v>
      </c>
      <c r="R49">
        <v>0</v>
      </c>
    </row>
    <row r="50" spans="1:18" x14ac:dyDescent="0.3">
      <c r="A50" s="18">
        <v>45001</v>
      </c>
      <c r="B50" s="19" t="s">
        <v>176</v>
      </c>
      <c r="C50" s="19" t="s">
        <v>177</v>
      </c>
      <c r="D50" s="19" t="s">
        <v>178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 s="19" t="s">
        <v>197</v>
      </c>
      <c r="L50" s="23">
        <f t="shared" si="2"/>
        <v>937.49999999999989</v>
      </c>
      <c r="M50" s="23">
        <f t="shared" si="3"/>
        <v>112.49999999999999</v>
      </c>
      <c r="N50" s="23">
        <v>1050</v>
      </c>
      <c r="O50" s="11">
        <v>0</v>
      </c>
      <c r="P50" s="19" t="s">
        <v>59</v>
      </c>
      <c r="Q50" s="19" t="s">
        <v>63</v>
      </c>
      <c r="R50">
        <v>0</v>
      </c>
    </row>
    <row r="51" spans="1:18" x14ac:dyDescent="0.3">
      <c r="A51" s="18">
        <v>45001</v>
      </c>
      <c r="B51" s="19" t="s">
        <v>179</v>
      </c>
      <c r="C51" s="19" t="s">
        <v>180</v>
      </c>
      <c r="D51" s="19" t="s">
        <v>181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s="19" t="s">
        <v>197</v>
      </c>
      <c r="L51" s="23">
        <f t="shared" si="2"/>
        <v>892.85714285714278</v>
      </c>
      <c r="M51" s="23">
        <f t="shared" si="3"/>
        <v>107.14285714285712</v>
      </c>
      <c r="N51" s="23">
        <v>1000</v>
      </c>
      <c r="O51" s="11">
        <v>0</v>
      </c>
      <c r="P51" s="19" t="s">
        <v>62</v>
      </c>
      <c r="Q51" s="19" t="s">
        <v>63</v>
      </c>
      <c r="R51">
        <v>0</v>
      </c>
    </row>
    <row r="52" spans="1:18" x14ac:dyDescent="0.3">
      <c r="A52" s="20">
        <v>45015</v>
      </c>
      <c r="B52" s="19" t="s">
        <v>182</v>
      </c>
      <c r="C52" s="19" t="s">
        <v>183</v>
      </c>
      <c r="D52" s="19" t="s">
        <v>184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 s="24" t="s">
        <v>200</v>
      </c>
      <c r="L52" s="23">
        <f t="shared" si="2"/>
        <v>892.85714285714278</v>
      </c>
      <c r="M52" s="23">
        <f t="shared" si="3"/>
        <v>107.14285714285712</v>
      </c>
      <c r="N52" s="23">
        <v>1000</v>
      </c>
      <c r="O52" s="11">
        <v>0</v>
      </c>
      <c r="P52" s="19" t="s">
        <v>223</v>
      </c>
      <c r="Q52" s="19" t="s">
        <v>58</v>
      </c>
      <c r="R52">
        <v>0</v>
      </c>
    </row>
    <row r="53" spans="1:18" x14ac:dyDescent="0.3">
      <c r="A53" s="20">
        <v>45016</v>
      </c>
      <c r="B53" s="19" t="s">
        <v>185</v>
      </c>
      <c r="C53" s="19" t="s">
        <v>186</v>
      </c>
      <c r="D53" s="19" t="s">
        <v>187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 s="25" t="s">
        <v>200</v>
      </c>
      <c r="L53" s="23">
        <f t="shared" si="2"/>
        <v>937.80357142857122</v>
      </c>
      <c r="M53" s="23">
        <f t="shared" si="3"/>
        <v>112.53642857142854</v>
      </c>
      <c r="N53" s="23">
        <v>1050.3399999999999</v>
      </c>
      <c r="O53" s="11">
        <v>0</v>
      </c>
      <c r="P53" s="19" t="s">
        <v>224</v>
      </c>
      <c r="Q53" s="19" t="s">
        <v>225</v>
      </c>
      <c r="R53">
        <v>0</v>
      </c>
    </row>
    <row r="54" spans="1:18" x14ac:dyDescent="0.3">
      <c r="A54" s="20">
        <v>45016</v>
      </c>
      <c r="B54" s="19" t="s">
        <v>188</v>
      </c>
      <c r="C54" s="19" t="s">
        <v>189</v>
      </c>
      <c r="D54" s="19" t="s">
        <v>190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 s="25" t="s">
        <v>204</v>
      </c>
      <c r="L54" s="23">
        <f t="shared" si="2"/>
        <v>3085.2678571428569</v>
      </c>
      <c r="M54" s="23">
        <f t="shared" si="3"/>
        <v>370.23214285714283</v>
      </c>
      <c r="N54" s="23">
        <v>3455.5</v>
      </c>
      <c r="O54" s="11">
        <v>0</v>
      </c>
      <c r="P54" s="19" t="s">
        <v>68</v>
      </c>
      <c r="Q54" s="19" t="s">
        <v>226</v>
      </c>
      <c r="R54">
        <v>0</v>
      </c>
    </row>
    <row r="55" spans="1:18" x14ac:dyDescent="0.3">
      <c r="A55" s="20">
        <v>45016</v>
      </c>
      <c r="B55" s="19" t="s">
        <v>191</v>
      </c>
      <c r="C55" s="19" t="s">
        <v>192</v>
      </c>
      <c r="D55" s="19" t="s">
        <v>193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 s="25" t="s">
        <v>204</v>
      </c>
      <c r="L55" s="23">
        <f t="shared" si="2"/>
        <v>446.42857142857139</v>
      </c>
      <c r="M55" s="23">
        <f t="shared" si="3"/>
        <v>53.571428571428562</v>
      </c>
      <c r="N55" s="23">
        <v>500</v>
      </c>
      <c r="O55" s="11">
        <v>0</v>
      </c>
      <c r="P55" s="19" t="s">
        <v>223</v>
      </c>
      <c r="Q55" s="19" t="s">
        <v>63</v>
      </c>
      <c r="R55">
        <v>0</v>
      </c>
    </row>
    <row r="56" spans="1:18" x14ac:dyDescent="0.3">
      <c r="A56" s="20">
        <v>45016</v>
      </c>
      <c r="B56" s="19" t="s">
        <v>194</v>
      </c>
      <c r="C56" s="19" t="s">
        <v>195</v>
      </c>
      <c r="D56" s="19" t="s">
        <v>196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 s="25" t="s">
        <v>200</v>
      </c>
      <c r="L56" s="23">
        <f t="shared" si="2"/>
        <v>655.88392857142856</v>
      </c>
      <c r="M56" s="23">
        <f t="shared" si="3"/>
        <v>78.70607142857142</v>
      </c>
      <c r="N56" s="23">
        <v>734.59</v>
      </c>
      <c r="O56" s="11">
        <v>0</v>
      </c>
      <c r="P56" s="19" t="s">
        <v>68</v>
      </c>
      <c r="Q56" s="19" t="s">
        <v>65</v>
      </c>
      <c r="R56">
        <v>0</v>
      </c>
    </row>
    <row r="57" spans="1:18" x14ac:dyDescent="0.3">
      <c r="A57" s="20">
        <v>45017</v>
      </c>
      <c r="B57" s="19" t="s">
        <v>227</v>
      </c>
      <c r="C57" s="25" t="s">
        <v>228</v>
      </c>
      <c r="D57" s="25" t="s">
        <v>229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 s="26" t="s">
        <v>326</v>
      </c>
      <c r="L57" s="23">
        <f>+N57/1.12</f>
        <v>892.85714285714278</v>
      </c>
      <c r="M57" s="23">
        <f>+L57*12%</f>
        <v>107.14285714285712</v>
      </c>
      <c r="N57" s="23">
        <v>1000</v>
      </c>
      <c r="O57" s="27" t="s">
        <v>333</v>
      </c>
      <c r="P57" s="25" t="s">
        <v>221</v>
      </c>
      <c r="Q57" s="25" t="s">
        <v>225</v>
      </c>
      <c r="R57">
        <v>0</v>
      </c>
    </row>
    <row r="58" spans="1:18" x14ac:dyDescent="0.3">
      <c r="A58" s="20">
        <v>45017</v>
      </c>
      <c r="B58" s="19" t="s">
        <v>230</v>
      </c>
      <c r="C58" s="25" t="s">
        <v>231</v>
      </c>
      <c r="D58" s="25" t="s">
        <v>232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 s="26" t="s">
        <v>326</v>
      </c>
      <c r="L58" s="23">
        <f t="shared" ref="L58:L90" si="4">+N58/1.12</f>
        <v>2678.5714285714284</v>
      </c>
      <c r="M58" s="23">
        <f t="shared" ref="M58:M90" si="5">+L58*12%</f>
        <v>321.42857142857139</v>
      </c>
      <c r="N58" s="23">
        <v>3000</v>
      </c>
      <c r="O58" s="27" t="s">
        <v>334</v>
      </c>
      <c r="P58" s="25" t="s">
        <v>335</v>
      </c>
      <c r="Q58" s="25" t="s">
        <v>65</v>
      </c>
      <c r="R58">
        <v>0</v>
      </c>
    </row>
    <row r="59" spans="1:18" x14ac:dyDescent="0.3">
      <c r="A59" s="20">
        <v>45017</v>
      </c>
      <c r="B59" s="19" t="s">
        <v>233</v>
      </c>
      <c r="C59" s="25" t="s">
        <v>234</v>
      </c>
      <c r="D59" s="25" t="s">
        <v>235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 s="26" t="s">
        <v>327</v>
      </c>
      <c r="L59" s="23">
        <f t="shared" si="4"/>
        <v>892.85714285714278</v>
      </c>
      <c r="M59" s="23">
        <f t="shared" si="5"/>
        <v>107.14285714285712</v>
      </c>
      <c r="N59" s="23">
        <v>1000</v>
      </c>
      <c r="O59" s="27" t="s">
        <v>336</v>
      </c>
      <c r="P59" s="25" t="s">
        <v>337</v>
      </c>
      <c r="Q59" s="25" t="s">
        <v>226</v>
      </c>
      <c r="R59">
        <v>0</v>
      </c>
    </row>
    <row r="60" spans="1:18" x14ac:dyDescent="0.3">
      <c r="A60" s="20">
        <v>45017</v>
      </c>
      <c r="B60" s="19" t="s">
        <v>236</v>
      </c>
      <c r="C60" s="25" t="s">
        <v>237</v>
      </c>
      <c r="D60" s="25" t="s">
        <v>238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 s="26" t="s">
        <v>326</v>
      </c>
      <c r="L60" s="23">
        <f t="shared" si="4"/>
        <v>2499.9999999999995</v>
      </c>
      <c r="M60" s="23">
        <f t="shared" si="5"/>
        <v>299.99999999999994</v>
      </c>
      <c r="N60" s="23">
        <v>2800</v>
      </c>
      <c r="O60" s="27" t="s">
        <v>338</v>
      </c>
      <c r="P60" s="25" t="s">
        <v>339</v>
      </c>
      <c r="Q60" s="25" t="s">
        <v>340</v>
      </c>
      <c r="R60">
        <v>0</v>
      </c>
    </row>
    <row r="61" spans="1:18" x14ac:dyDescent="0.3">
      <c r="A61" s="20">
        <v>45019</v>
      </c>
      <c r="B61" s="19" t="s">
        <v>239</v>
      </c>
      <c r="C61" s="25" t="s">
        <v>240</v>
      </c>
      <c r="D61" s="25" t="s">
        <v>241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 s="26" t="s">
        <v>326</v>
      </c>
      <c r="L61" s="23">
        <f t="shared" si="4"/>
        <v>892.85714285714278</v>
      </c>
      <c r="M61" s="23">
        <f t="shared" si="5"/>
        <v>107.14285714285712</v>
      </c>
      <c r="N61" s="23">
        <v>1000</v>
      </c>
      <c r="O61" s="27" t="s">
        <v>341</v>
      </c>
      <c r="P61" s="25" t="s">
        <v>339</v>
      </c>
      <c r="Q61" s="25" t="s">
        <v>340</v>
      </c>
      <c r="R61">
        <v>0</v>
      </c>
    </row>
    <row r="62" spans="1:18" x14ac:dyDescent="0.3">
      <c r="A62" s="20">
        <v>45019</v>
      </c>
      <c r="B62" s="19" t="s">
        <v>242</v>
      </c>
      <c r="C62" s="25" t="s">
        <v>243</v>
      </c>
      <c r="D62" s="25" t="s">
        <v>244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 s="26" t="s">
        <v>328</v>
      </c>
      <c r="L62" s="23">
        <f t="shared" si="4"/>
        <v>892.85714285714278</v>
      </c>
      <c r="M62" s="23">
        <f t="shared" si="5"/>
        <v>107.14285714285712</v>
      </c>
      <c r="N62" s="23">
        <v>1000</v>
      </c>
      <c r="O62" s="27" t="s">
        <v>342</v>
      </c>
      <c r="P62" s="25" t="s">
        <v>343</v>
      </c>
      <c r="Q62" s="25" t="s">
        <v>343</v>
      </c>
      <c r="R62">
        <v>0</v>
      </c>
    </row>
    <row r="63" spans="1:18" x14ac:dyDescent="0.3">
      <c r="A63" s="20">
        <v>45019</v>
      </c>
      <c r="B63" s="19" t="s">
        <v>245</v>
      </c>
      <c r="C63" s="25" t="s">
        <v>246</v>
      </c>
      <c r="D63" s="25" t="s">
        <v>247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 s="26" t="s">
        <v>326</v>
      </c>
      <c r="L63" s="23">
        <f t="shared" si="4"/>
        <v>1339.2857142857142</v>
      </c>
      <c r="M63" s="23">
        <f t="shared" si="5"/>
        <v>160.71428571428569</v>
      </c>
      <c r="N63" s="23">
        <v>1500</v>
      </c>
      <c r="O63" s="27" t="s">
        <v>344</v>
      </c>
      <c r="P63" s="25" t="s">
        <v>220</v>
      </c>
      <c r="Q63" s="25" t="s">
        <v>225</v>
      </c>
      <c r="R63">
        <v>0</v>
      </c>
    </row>
    <row r="64" spans="1:18" x14ac:dyDescent="0.3">
      <c r="A64" s="20">
        <v>45019</v>
      </c>
      <c r="B64" s="19" t="s">
        <v>248</v>
      </c>
      <c r="C64" s="25" t="s">
        <v>249</v>
      </c>
      <c r="D64" s="25" t="s">
        <v>250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 s="26" t="s">
        <v>210</v>
      </c>
      <c r="L64" s="23">
        <f t="shared" si="4"/>
        <v>446.42857142857139</v>
      </c>
      <c r="M64" s="23">
        <f t="shared" si="5"/>
        <v>53.571428571428562</v>
      </c>
      <c r="N64" s="23">
        <v>500</v>
      </c>
      <c r="O64" s="27" t="s">
        <v>345</v>
      </c>
      <c r="P64" s="25" t="s">
        <v>60</v>
      </c>
      <c r="Q64" s="25" t="s">
        <v>340</v>
      </c>
      <c r="R64">
        <v>0</v>
      </c>
    </row>
    <row r="65" spans="1:18" x14ac:dyDescent="0.3">
      <c r="A65" s="20">
        <v>45020</v>
      </c>
      <c r="B65" s="19" t="s">
        <v>251</v>
      </c>
      <c r="C65" s="25" t="s">
        <v>252</v>
      </c>
      <c r="D65" s="25" t="s">
        <v>253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 s="26" t="s">
        <v>326</v>
      </c>
      <c r="L65" s="23">
        <f t="shared" si="4"/>
        <v>1919.6428571428569</v>
      </c>
      <c r="M65" s="23">
        <f t="shared" si="5"/>
        <v>230.3571428571428</v>
      </c>
      <c r="N65" s="23">
        <v>2150</v>
      </c>
      <c r="O65" s="27" t="s">
        <v>346</v>
      </c>
      <c r="P65" s="25" t="s">
        <v>347</v>
      </c>
      <c r="Q65" s="25" t="s">
        <v>348</v>
      </c>
      <c r="R65">
        <v>0</v>
      </c>
    </row>
    <row r="66" spans="1:18" x14ac:dyDescent="0.3">
      <c r="A66" s="20">
        <v>45020</v>
      </c>
      <c r="B66" s="19" t="s">
        <v>254</v>
      </c>
      <c r="C66" s="25" t="s">
        <v>255</v>
      </c>
      <c r="D66" s="25" t="s">
        <v>256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 s="26" t="s">
        <v>326</v>
      </c>
      <c r="L66" s="23">
        <f t="shared" si="4"/>
        <v>892.85714285714278</v>
      </c>
      <c r="M66" s="23">
        <f t="shared" si="5"/>
        <v>107.14285714285712</v>
      </c>
      <c r="N66" s="23">
        <v>1000</v>
      </c>
      <c r="O66" s="27" t="s">
        <v>349</v>
      </c>
      <c r="P66" s="25" t="s">
        <v>221</v>
      </c>
      <c r="Q66" s="25" t="s">
        <v>225</v>
      </c>
      <c r="R66">
        <v>0</v>
      </c>
    </row>
    <row r="67" spans="1:18" x14ac:dyDescent="0.3">
      <c r="A67" s="20">
        <v>45022</v>
      </c>
      <c r="B67" s="19" t="s">
        <v>257</v>
      </c>
      <c r="C67" s="25" t="s">
        <v>258</v>
      </c>
      <c r="D67" s="25" t="s">
        <v>259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 s="26" t="s">
        <v>329</v>
      </c>
      <c r="L67" s="23">
        <f t="shared" si="4"/>
        <v>0</v>
      </c>
      <c r="M67" s="23">
        <f t="shared" si="5"/>
        <v>0</v>
      </c>
      <c r="N67" s="23">
        <v>0</v>
      </c>
      <c r="O67" s="27" t="s">
        <v>350</v>
      </c>
      <c r="P67" s="25" t="s">
        <v>339</v>
      </c>
      <c r="Q67" s="25" t="s">
        <v>225</v>
      </c>
      <c r="R67">
        <v>0</v>
      </c>
    </row>
    <row r="68" spans="1:18" x14ac:dyDescent="0.3">
      <c r="A68" s="20">
        <v>45028</v>
      </c>
      <c r="B68" s="19" t="s">
        <v>260</v>
      </c>
      <c r="C68" s="25" t="s">
        <v>261</v>
      </c>
      <c r="D68" s="25" t="s">
        <v>262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 s="26" t="s">
        <v>199</v>
      </c>
      <c r="L68" s="23">
        <f t="shared" si="4"/>
        <v>2669.6428571428569</v>
      </c>
      <c r="M68" s="23">
        <f t="shared" si="5"/>
        <v>320.35714285714283</v>
      </c>
      <c r="N68" s="23">
        <v>2990</v>
      </c>
      <c r="O68" s="27" t="s">
        <v>351</v>
      </c>
      <c r="P68" s="25" t="s">
        <v>343</v>
      </c>
      <c r="Q68" s="25" t="s">
        <v>65</v>
      </c>
      <c r="R68">
        <v>0</v>
      </c>
    </row>
    <row r="69" spans="1:18" x14ac:dyDescent="0.3">
      <c r="A69" s="20">
        <v>45029</v>
      </c>
      <c r="B69" s="19" t="s">
        <v>263</v>
      </c>
      <c r="C69" s="25" t="s">
        <v>264</v>
      </c>
      <c r="D69" s="25" t="s">
        <v>265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 s="26" t="s">
        <v>329</v>
      </c>
      <c r="L69" s="23">
        <f t="shared" si="4"/>
        <v>0</v>
      </c>
      <c r="M69" s="23">
        <f t="shared" si="5"/>
        <v>0</v>
      </c>
      <c r="N69" s="23">
        <v>0</v>
      </c>
      <c r="O69" s="25"/>
      <c r="P69" s="25"/>
      <c r="Q69" s="25"/>
      <c r="R69">
        <v>0</v>
      </c>
    </row>
    <row r="70" spans="1:18" x14ac:dyDescent="0.3">
      <c r="A70" s="20">
        <v>45029</v>
      </c>
      <c r="B70" s="19" t="s">
        <v>266</v>
      </c>
      <c r="C70" s="25" t="s">
        <v>267</v>
      </c>
      <c r="D70" s="25" t="s">
        <v>268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 s="26" t="s">
        <v>330</v>
      </c>
      <c r="L70" s="23">
        <f t="shared" si="4"/>
        <v>0</v>
      </c>
      <c r="M70" s="23">
        <f t="shared" si="5"/>
        <v>0</v>
      </c>
      <c r="N70" s="23">
        <v>0</v>
      </c>
      <c r="O70" s="27" t="s">
        <v>352</v>
      </c>
      <c r="P70" s="25" t="s">
        <v>335</v>
      </c>
      <c r="Q70" s="25" t="s">
        <v>65</v>
      </c>
      <c r="R70">
        <v>0</v>
      </c>
    </row>
    <row r="71" spans="1:18" x14ac:dyDescent="0.3">
      <c r="A71" s="20">
        <v>45030</v>
      </c>
      <c r="B71" s="19" t="s">
        <v>269</v>
      </c>
      <c r="C71" s="25" t="s">
        <v>270</v>
      </c>
      <c r="D71" s="25" t="s">
        <v>271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 s="26" t="s">
        <v>210</v>
      </c>
      <c r="L71" s="23">
        <f t="shared" si="4"/>
        <v>892.85714285714278</v>
      </c>
      <c r="M71" s="23">
        <f t="shared" si="5"/>
        <v>107.14285714285712</v>
      </c>
      <c r="N71" s="23">
        <v>1000</v>
      </c>
      <c r="O71" s="27" t="s">
        <v>353</v>
      </c>
      <c r="P71" s="25" t="s">
        <v>224</v>
      </c>
      <c r="Q71" s="25" t="s">
        <v>65</v>
      </c>
      <c r="R71">
        <v>0</v>
      </c>
    </row>
    <row r="72" spans="1:18" x14ac:dyDescent="0.3">
      <c r="A72" s="20">
        <v>45030</v>
      </c>
      <c r="B72" s="19" t="s">
        <v>272</v>
      </c>
      <c r="C72" s="25" t="s">
        <v>273</v>
      </c>
      <c r="D72" s="25" t="s">
        <v>274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 s="26" t="s">
        <v>331</v>
      </c>
      <c r="L72" s="23">
        <f t="shared" si="4"/>
        <v>1071.4285714285713</v>
      </c>
      <c r="M72" s="23">
        <f t="shared" si="5"/>
        <v>128.57142857142856</v>
      </c>
      <c r="N72" s="23">
        <v>1200</v>
      </c>
      <c r="O72" s="27" t="s">
        <v>354</v>
      </c>
      <c r="P72" s="25" t="s">
        <v>337</v>
      </c>
      <c r="Q72" s="25" t="s">
        <v>225</v>
      </c>
      <c r="R72">
        <v>0</v>
      </c>
    </row>
    <row r="73" spans="1:18" x14ac:dyDescent="0.3">
      <c r="A73" s="20">
        <v>45030</v>
      </c>
      <c r="B73" s="25" t="s">
        <v>275</v>
      </c>
      <c r="C73" s="25" t="s">
        <v>276</v>
      </c>
      <c r="D73" s="25" t="s">
        <v>277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 s="26" t="s">
        <v>331</v>
      </c>
      <c r="L73" s="23">
        <f t="shared" si="4"/>
        <v>1339.2857142857142</v>
      </c>
      <c r="M73" s="23">
        <f t="shared" si="5"/>
        <v>160.71428571428569</v>
      </c>
      <c r="N73" s="23">
        <v>1500</v>
      </c>
      <c r="O73" s="27" t="s">
        <v>355</v>
      </c>
      <c r="P73" s="25" t="s">
        <v>66</v>
      </c>
      <c r="Q73" s="25" t="s">
        <v>356</v>
      </c>
      <c r="R73">
        <v>0</v>
      </c>
    </row>
    <row r="74" spans="1:18" x14ac:dyDescent="0.3">
      <c r="A74" s="20">
        <v>45035</v>
      </c>
      <c r="B74" s="25" t="s">
        <v>278</v>
      </c>
      <c r="C74" s="25" t="s">
        <v>279</v>
      </c>
      <c r="D74" s="25" t="s">
        <v>280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 s="26" t="s">
        <v>326</v>
      </c>
      <c r="L74" s="23">
        <f t="shared" si="4"/>
        <v>535.71428571428567</v>
      </c>
      <c r="M74" s="23">
        <f t="shared" si="5"/>
        <v>64.285714285714278</v>
      </c>
      <c r="N74" s="23">
        <v>600</v>
      </c>
      <c r="O74" s="27" t="s">
        <v>357</v>
      </c>
      <c r="P74" s="25" t="s">
        <v>223</v>
      </c>
      <c r="Q74" s="25" t="s">
        <v>225</v>
      </c>
      <c r="R74">
        <v>0</v>
      </c>
    </row>
    <row r="75" spans="1:18" x14ac:dyDescent="0.3">
      <c r="A75" s="20">
        <v>45035</v>
      </c>
      <c r="B75" s="25" t="s">
        <v>281</v>
      </c>
      <c r="C75" s="25" t="s">
        <v>282</v>
      </c>
      <c r="D75" s="25" t="s">
        <v>283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 s="26">
        <v>0</v>
      </c>
      <c r="L75" s="23">
        <f t="shared" si="4"/>
        <v>3124.9999999999995</v>
      </c>
      <c r="M75" s="23">
        <f t="shared" si="5"/>
        <v>374.99999999999994</v>
      </c>
      <c r="N75" s="23">
        <v>3500</v>
      </c>
      <c r="O75" s="25"/>
      <c r="P75" s="25" t="s">
        <v>224</v>
      </c>
      <c r="Q75" s="25" t="s">
        <v>358</v>
      </c>
      <c r="R75">
        <v>0</v>
      </c>
    </row>
    <row r="76" spans="1:18" x14ac:dyDescent="0.3">
      <c r="A76" s="20">
        <v>45035</v>
      </c>
      <c r="B76" s="25" t="s">
        <v>284</v>
      </c>
      <c r="C76" s="25" t="s">
        <v>285</v>
      </c>
      <c r="D76" s="25" t="s">
        <v>286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 s="26" t="s">
        <v>332</v>
      </c>
      <c r="L76" s="23">
        <f t="shared" si="4"/>
        <v>2669.6428571428569</v>
      </c>
      <c r="M76" s="23">
        <f t="shared" si="5"/>
        <v>320.35714285714283</v>
      </c>
      <c r="N76" s="23">
        <v>2990</v>
      </c>
      <c r="O76" s="27" t="s">
        <v>359</v>
      </c>
      <c r="P76" s="25" t="s">
        <v>343</v>
      </c>
      <c r="Q76" s="25" t="s">
        <v>343</v>
      </c>
      <c r="R76">
        <v>0</v>
      </c>
    </row>
    <row r="77" spans="1:18" x14ac:dyDescent="0.3">
      <c r="A77" s="20">
        <v>45038</v>
      </c>
      <c r="B77" s="25" t="s">
        <v>287</v>
      </c>
      <c r="C77" s="25" t="s">
        <v>288</v>
      </c>
      <c r="D77" s="25" t="s">
        <v>289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 s="26" t="s">
        <v>203</v>
      </c>
      <c r="L77" s="23">
        <f t="shared" si="4"/>
        <v>446.42857142857139</v>
      </c>
      <c r="M77" s="23">
        <f t="shared" si="5"/>
        <v>53.571428571428562</v>
      </c>
      <c r="N77" s="23">
        <v>500</v>
      </c>
      <c r="O77" s="27" t="s">
        <v>360</v>
      </c>
      <c r="P77" s="25"/>
      <c r="Q77" s="25"/>
      <c r="R77">
        <v>0</v>
      </c>
    </row>
    <row r="78" spans="1:18" x14ac:dyDescent="0.3">
      <c r="A78" s="20">
        <v>45038</v>
      </c>
      <c r="B78" s="25" t="s">
        <v>290</v>
      </c>
      <c r="C78" s="25" t="s">
        <v>291</v>
      </c>
      <c r="D78" s="25" t="s">
        <v>292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 s="26" t="s">
        <v>331</v>
      </c>
      <c r="L78" s="23">
        <f t="shared" si="4"/>
        <v>1874.9999999999998</v>
      </c>
      <c r="M78" s="23">
        <f t="shared" si="5"/>
        <v>224.99999999999997</v>
      </c>
      <c r="N78" s="23">
        <v>2100</v>
      </c>
      <c r="O78" s="27" t="s">
        <v>361</v>
      </c>
      <c r="P78" s="25" t="s">
        <v>221</v>
      </c>
      <c r="Q78" s="25" t="s">
        <v>340</v>
      </c>
      <c r="R78">
        <v>0</v>
      </c>
    </row>
    <row r="79" spans="1:18" x14ac:dyDescent="0.3">
      <c r="A79" s="20">
        <v>45042</v>
      </c>
      <c r="B79" s="25" t="s">
        <v>293</v>
      </c>
      <c r="C79" s="25" t="s">
        <v>294</v>
      </c>
      <c r="D79" s="25" t="s">
        <v>295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 s="26" t="s">
        <v>331</v>
      </c>
      <c r="L79" s="23">
        <f t="shared" si="4"/>
        <v>2669.6428571428569</v>
      </c>
      <c r="M79" s="23">
        <f t="shared" si="5"/>
        <v>320.35714285714283</v>
      </c>
      <c r="N79" s="23">
        <v>2990</v>
      </c>
      <c r="O79" s="27" t="s">
        <v>362</v>
      </c>
      <c r="P79" s="25" t="s">
        <v>225</v>
      </c>
      <c r="Q79" s="25" t="s">
        <v>225</v>
      </c>
      <c r="R79">
        <v>0</v>
      </c>
    </row>
    <row r="80" spans="1:18" x14ac:dyDescent="0.3">
      <c r="A80" s="20">
        <v>45042</v>
      </c>
      <c r="B80" s="25" t="s">
        <v>296</v>
      </c>
      <c r="C80" s="25" t="s">
        <v>297</v>
      </c>
      <c r="D80" s="25" t="s">
        <v>298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 s="26" t="s">
        <v>331</v>
      </c>
      <c r="L80" s="23">
        <f t="shared" si="4"/>
        <v>1116.0714285714284</v>
      </c>
      <c r="M80" s="23">
        <f t="shared" si="5"/>
        <v>133.92857142857142</v>
      </c>
      <c r="N80" s="23">
        <v>1250</v>
      </c>
      <c r="O80" s="27" t="s">
        <v>363</v>
      </c>
      <c r="P80" s="25" t="s">
        <v>343</v>
      </c>
      <c r="Q80" s="25" t="s">
        <v>358</v>
      </c>
      <c r="R80">
        <v>0</v>
      </c>
    </row>
    <row r="81" spans="1:18" x14ac:dyDescent="0.3">
      <c r="A81" s="20">
        <v>45042</v>
      </c>
      <c r="B81" s="25" t="s">
        <v>299</v>
      </c>
      <c r="C81" s="25" t="s">
        <v>300</v>
      </c>
      <c r="D81" s="25" t="s">
        <v>301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 s="26" t="s">
        <v>331</v>
      </c>
      <c r="L81" s="23">
        <f t="shared" si="4"/>
        <v>1160.7142857142856</v>
      </c>
      <c r="M81" s="23">
        <f t="shared" si="5"/>
        <v>139.28571428571425</v>
      </c>
      <c r="N81" s="23">
        <v>1300</v>
      </c>
      <c r="O81" s="27" t="s">
        <v>364</v>
      </c>
      <c r="P81" s="25" t="s">
        <v>337</v>
      </c>
      <c r="Q81" s="25" t="s">
        <v>58</v>
      </c>
      <c r="R81">
        <v>0</v>
      </c>
    </row>
    <row r="82" spans="1:18" x14ac:dyDescent="0.3">
      <c r="A82" s="20">
        <v>45042</v>
      </c>
      <c r="B82" s="25" t="s">
        <v>302</v>
      </c>
      <c r="C82" s="25" t="s">
        <v>303</v>
      </c>
      <c r="D82" s="25" t="s">
        <v>304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 s="26">
        <v>0</v>
      </c>
      <c r="L82" s="23">
        <f t="shared" si="4"/>
        <v>1776.7857142857142</v>
      </c>
      <c r="M82" s="23">
        <f t="shared" si="5"/>
        <v>213.21428571428569</v>
      </c>
      <c r="N82" s="23">
        <v>1990</v>
      </c>
      <c r="O82" s="27" t="s">
        <v>365</v>
      </c>
      <c r="P82" s="25" t="s">
        <v>224</v>
      </c>
      <c r="Q82" s="25" t="s">
        <v>65</v>
      </c>
      <c r="R82">
        <v>0</v>
      </c>
    </row>
    <row r="83" spans="1:18" x14ac:dyDescent="0.3">
      <c r="A83" s="20">
        <v>45043</v>
      </c>
      <c r="B83" s="25" t="s">
        <v>305</v>
      </c>
      <c r="C83" s="25" t="s">
        <v>306</v>
      </c>
      <c r="D83" s="25" t="s">
        <v>307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 s="26" t="s">
        <v>203</v>
      </c>
      <c r="L83" s="23">
        <f t="shared" si="4"/>
        <v>624.99999999999989</v>
      </c>
      <c r="M83" s="23">
        <f t="shared" si="5"/>
        <v>74.999999999999986</v>
      </c>
      <c r="N83" s="23">
        <v>700</v>
      </c>
      <c r="O83" s="27" t="s">
        <v>366</v>
      </c>
      <c r="P83" s="25" t="s">
        <v>223</v>
      </c>
      <c r="Q83" s="25" t="s">
        <v>340</v>
      </c>
      <c r="R83">
        <v>0</v>
      </c>
    </row>
    <row r="84" spans="1:18" x14ac:dyDescent="0.3">
      <c r="A84" s="25">
        <v>0</v>
      </c>
      <c r="B84" s="25" t="s">
        <v>308</v>
      </c>
      <c r="C84" s="25">
        <v>0</v>
      </c>
      <c r="D84" s="25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 s="26">
        <v>0</v>
      </c>
      <c r="L84" s="23">
        <f t="shared" si="4"/>
        <v>0</v>
      </c>
      <c r="M84" s="23">
        <f t="shared" si="5"/>
        <v>0</v>
      </c>
      <c r="N84" s="23">
        <v>0</v>
      </c>
      <c r="O84" s="25"/>
      <c r="P84" s="25"/>
      <c r="Q84" s="25"/>
      <c r="R84">
        <v>0</v>
      </c>
    </row>
    <row r="85" spans="1:18" x14ac:dyDescent="0.3">
      <c r="A85" s="20">
        <v>45044</v>
      </c>
      <c r="B85" s="25" t="s">
        <v>309</v>
      </c>
      <c r="C85" s="25" t="s">
        <v>310</v>
      </c>
      <c r="D85" s="25" t="s">
        <v>311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 s="26" t="s">
        <v>331</v>
      </c>
      <c r="L85" s="23">
        <f t="shared" si="4"/>
        <v>624.99999999999989</v>
      </c>
      <c r="M85" s="23">
        <f t="shared" si="5"/>
        <v>74.999999999999986</v>
      </c>
      <c r="N85" s="23">
        <v>700</v>
      </c>
      <c r="O85" s="27" t="s">
        <v>367</v>
      </c>
      <c r="P85" s="25" t="s">
        <v>339</v>
      </c>
      <c r="Q85" s="25" t="s">
        <v>58</v>
      </c>
      <c r="R85">
        <v>0</v>
      </c>
    </row>
    <row r="86" spans="1:18" x14ac:dyDescent="0.3">
      <c r="A86" s="20">
        <v>45044</v>
      </c>
      <c r="B86" s="25" t="s">
        <v>312</v>
      </c>
      <c r="C86" s="25" t="s">
        <v>303</v>
      </c>
      <c r="D86" s="25" t="s">
        <v>313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 s="26" t="s">
        <v>331</v>
      </c>
      <c r="L86" s="23">
        <f t="shared" si="4"/>
        <v>1339.2857142857142</v>
      </c>
      <c r="M86" s="23">
        <f t="shared" si="5"/>
        <v>160.71428571428569</v>
      </c>
      <c r="N86" s="23">
        <v>1500</v>
      </c>
      <c r="O86" s="27" t="s">
        <v>368</v>
      </c>
      <c r="P86" s="25" t="s">
        <v>337</v>
      </c>
      <c r="Q86" s="25" t="s">
        <v>340</v>
      </c>
      <c r="R86">
        <v>0</v>
      </c>
    </row>
    <row r="87" spans="1:18" x14ac:dyDescent="0.3">
      <c r="A87" s="20">
        <v>45044</v>
      </c>
      <c r="B87" s="25" t="s">
        <v>314</v>
      </c>
      <c r="C87" s="25" t="s">
        <v>315</v>
      </c>
      <c r="D87" s="25" t="s">
        <v>316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 s="26" t="s">
        <v>331</v>
      </c>
      <c r="L87" s="23">
        <f t="shared" si="4"/>
        <v>1339.2857142857142</v>
      </c>
      <c r="M87" s="23">
        <f t="shared" si="5"/>
        <v>160.71428571428569</v>
      </c>
      <c r="N87" s="23">
        <v>1500</v>
      </c>
      <c r="O87" s="27" t="s">
        <v>369</v>
      </c>
      <c r="P87" s="25" t="s">
        <v>339</v>
      </c>
      <c r="Q87" s="25" t="s">
        <v>340</v>
      </c>
      <c r="R87">
        <v>0</v>
      </c>
    </row>
    <row r="88" spans="1:18" x14ac:dyDescent="0.3">
      <c r="A88" s="20">
        <v>45045</v>
      </c>
      <c r="B88" s="25" t="s">
        <v>317</v>
      </c>
      <c r="C88" s="25" t="s">
        <v>318</v>
      </c>
      <c r="D88" s="25" t="s">
        <v>319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 s="26" t="s">
        <v>331</v>
      </c>
      <c r="L88" s="23">
        <f t="shared" si="4"/>
        <v>2627.6785714285711</v>
      </c>
      <c r="M88" s="23">
        <f t="shared" si="5"/>
        <v>315.3214285714285</v>
      </c>
      <c r="N88" s="23">
        <v>2943</v>
      </c>
      <c r="O88" s="27" t="s">
        <v>370</v>
      </c>
      <c r="P88" s="25" t="s">
        <v>371</v>
      </c>
      <c r="Q88" s="25" t="s">
        <v>65</v>
      </c>
      <c r="R88">
        <v>0</v>
      </c>
    </row>
    <row r="89" spans="1:18" x14ac:dyDescent="0.3">
      <c r="A89" s="20">
        <v>45045</v>
      </c>
      <c r="B89" s="25" t="s">
        <v>320</v>
      </c>
      <c r="C89" s="25" t="s">
        <v>321</v>
      </c>
      <c r="D89" s="25" t="s">
        <v>322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 s="26" t="s">
        <v>331</v>
      </c>
      <c r="L89" s="23">
        <f t="shared" si="4"/>
        <v>892.85714285714278</v>
      </c>
      <c r="M89" s="23">
        <f t="shared" si="5"/>
        <v>107.14285714285712</v>
      </c>
      <c r="N89" s="23">
        <v>1000</v>
      </c>
      <c r="O89" s="27" t="s">
        <v>372</v>
      </c>
      <c r="P89" s="25" t="s">
        <v>335</v>
      </c>
      <c r="Q89" s="25" t="s">
        <v>225</v>
      </c>
      <c r="R89">
        <v>0</v>
      </c>
    </row>
    <row r="90" spans="1:18" x14ac:dyDescent="0.3">
      <c r="A90" s="20">
        <v>45045</v>
      </c>
      <c r="B90" s="25" t="s">
        <v>323</v>
      </c>
      <c r="C90" s="25" t="s">
        <v>324</v>
      </c>
      <c r="D90" s="25" t="s">
        <v>325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 s="26" t="s">
        <v>331</v>
      </c>
      <c r="L90" s="23">
        <f t="shared" si="4"/>
        <v>892.85714285714278</v>
      </c>
      <c r="M90" s="23">
        <f t="shared" si="5"/>
        <v>107.14285714285712</v>
      </c>
      <c r="N90" s="23">
        <v>1000</v>
      </c>
      <c r="O90" s="27" t="s">
        <v>373</v>
      </c>
      <c r="P90" s="25" t="s">
        <v>374</v>
      </c>
      <c r="Q90" s="25" t="s">
        <v>65</v>
      </c>
      <c r="R90">
        <v>0</v>
      </c>
    </row>
    <row r="91" spans="1:18" x14ac:dyDescent="0.3">
      <c r="A91" s="20">
        <v>45045</v>
      </c>
      <c r="B91" s="25" t="s">
        <v>323</v>
      </c>
      <c r="C91" s="25" t="s">
        <v>324</v>
      </c>
      <c r="D91" s="25" t="s">
        <v>325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 s="26" t="s">
        <v>210</v>
      </c>
      <c r="L91" s="23">
        <f>+N91/1.12</f>
        <v>893.74999999999989</v>
      </c>
      <c r="M91" s="23">
        <f>+L91*12%</f>
        <v>107.24999999999999</v>
      </c>
      <c r="N91" s="23">
        <v>1001</v>
      </c>
      <c r="O91" s="27" t="s">
        <v>373</v>
      </c>
      <c r="P91" s="25" t="s">
        <v>374</v>
      </c>
      <c r="Q91" s="25" t="s">
        <v>65</v>
      </c>
      <c r="R91">
        <v>0</v>
      </c>
    </row>
    <row r="92" spans="1:18" x14ac:dyDescent="0.3">
      <c r="A92" s="20">
        <v>45048</v>
      </c>
      <c r="B92" s="25" t="s">
        <v>375</v>
      </c>
      <c r="C92" s="25" t="s">
        <v>376</v>
      </c>
      <c r="D92" s="25" t="s">
        <v>377</v>
      </c>
      <c r="E92">
        <v>0</v>
      </c>
      <c r="F92">
        <v>0</v>
      </c>
      <c r="G92">
        <v>0</v>
      </c>
      <c r="H92">
        <v>0</v>
      </c>
      <c r="I92">
        <v>0</v>
      </c>
      <c r="J92" s="25"/>
      <c r="K92" s="25" t="s">
        <v>538</v>
      </c>
      <c r="L92" s="23">
        <f>+N92/1.12</f>
        <v>892.85714285714278</v>
      </c>
      <c r="M92" s="23">
        <f>+L92*12%</f>
        <v>107.14285714285712</v>
      </c>
      <c r="N92" s="23">
        <v>1000</v>
      </c>
      <c r="O92" s="27" t="s">
        <v>542</v>
      </c>
      <c r="P92" s="25" t="s">
        <v>543</v>
      </c>
      <c r="Q92" s="25" t="s">
        <v>225</v>
      </c>
      <c r="R92">
        <v>0</v>
      </c>
    </row>
    <row r="93" spans="1:18" x14ac:dyDescent="0.3">
      <c r="A93" s="20">
        <v>45048</v>
      </c>
      <c r="B93" s="25" t="s">
        <v>378</v>
      </c>
      <c r="C93" s="25" t="s">
        <v>379</v>
      </c>
      <c r="D93" s="25" t="s">
        <v>380</v>
      </c>
      <c r="E93">
        <v>0</v>
      </c>
      <c r="F93">
        <v>0</v>
      </c>
      <c r="G93">
        <v>0</v>
      </c>
      <c r="H93">
        <v>0</v>
      </c>
      <c r="I93">
        <v>0</v>
      </c>
      <c r="J93" s="25"/>
      <c r="K93" s="25" t="s">
        <v>326</v>
      </c>
      <c r="L93" s="23">
        <f t="shared" ref="L93:L146" si="6">+N93/1.12</f>
        <v>624.99999999999989</v>
      </c>
      <c r="M93" s="23">
        <f t="shared" ref="M93:M146" si="7">+L93*12%</f>
        <v>74.999999999999986</v>
      </c>
      <c r="N93" s="23">
        <v>700</v>
      </c>
      <c r="O93" s="27" t="s">
        <v>544</v>
      </c>
      <c r="P93" s="25" t="s">
        <v>68</v>
      </c>
      <c r="Q93" s="25" t="s">
        <v>340</v>
      </c>
      <c r="R93">
        <v>0</v>
      </c>
    </row>
    <row r="94" spans="1:18" x14ac:dyDescent="0.3">
      <c r="A94" s="20">
        <v>45048</v>
      </c>
      <c r="B94" s="25" t="s">
        <v>381</v>
      </c>
      <c r="C94" s="25" t="s">
        <v>382</v>
      </c>
      <c r="D94" s="25" t="s">
        <v>383</v>
      </c>
      <c r="E94">
        <v>0</v>
      </c>
      <c r="F94">
        <v>0</v>
      </c>
      <c r="G94">
        <v>0</v>
      </c>
      <c r="H94">
        <v>0</v>
      </c>
      <c r="I94">
        <v>0</v>
      </c>
      <c r="J94" s="25" t="s">
        <v>226</v>
      </c>
      <c r="K94" s="25" t="s">
        <v>538</v>
      </c>
      <c r="L94" s="23">
        <f t="shared" si="6"/>
        <v>1776.7857142857142</v>
      </c>
      <c r="M94" s="23">
        <f t="shared" si="7"/>
        <v>213.21428571428569</v>
      </c>
      <c r="N94" s="23">
        <v>1990</v>
      </c>
      <c r="O94" s="27" t="s">
        <v>545</v>
      </c>
      <c r="P94" s="25" t="s">
        <v>221</v>
      </c>
      <c r="Q94" s="25" t="s">
        <v>225</v>
      </c>
      <c r="R94">
        <v>0</v>
      </c>
    </row>
    <row r="95" spans="1:18" x14ac:dyDescent="0.3">
      <c r="A95" s="20">
        <v>45049</v>
      </c>
      <c r="B95" s="25" t="s">
        <v>384</v>
      </c>
      <c r="C95" s="25" t="s">
        <v>385</v>
      </c>
      <c r="D95" s="25" t="s">
        <v>386</v>
      </c>
      <c r="E95">
        <v>0</v>
      </c>
      <c r="F95">
        <v>0</v>
      </c>
      <c r="G95">
        <v>0</v>
      </c>
      <c r="H95">
        <v>0</v>
      </c>
      <c r="I95">
        <v>0</v>
      </c>
      <c r="J95" s="25"/>
      <c r="K95" s="25" t="s">
        <v>326</v>
      </c>
      <c r="L95" s="23">
        <f t="shared" si="6"/>
        <v>446.42857142857139</v>
      </c>
      <c r="M95" s="23">
        <f t="shared" si="7"/>
        <v>53.571428571428562</v>
      </c>
      <c r="N95" s="23">
        <v>500</v>
      </c>
      <c r="O95" s="27" t="s">
        <v>546</v>
      </c>
      <c r="P95" s="25" t="s">
        <v>221</v>
      </c>
      <c r="Q95" s="25" t="s">
        <v>58</v>
      </c>
      <c r="R95">
        <v>0</v>
      </c>
    </row>
    <row r="96" spans="1:18" x14ac:dyDescent="0.3">
      <c r="A96" s="20">
        <v>45049</v>
      </c>
      <c r="B96" s="25" t="s">
        <v>387</v>
      </c>
      <c r="C96" s="25" t="s">
        <v>388</v>
      </c>
      <c r="D96" s="25" t="s">
        <v>389</v>
      </c>
      <c r="E96">
        <v>0</v>
      </c>
      <c r="F96">
        <v>0</v>
      </c>
      <c r="G96">
        <v>0</v>
      </c>
      <c r="H96">
        <v>0</v>
      </c>
      <c r="I96">
        <v>0</v>
      </c>
      <c r="J96" s="25"/>
      <c r="K96" s="25" t="s">
        <v>326</v>
      </c>
      <c r="L96" s="23">
        <f t="shared" si="6"/>
        <v>1339.2857142857142</v>
      </c>
      <c r="M96" s="23">
        <f t="shared" si="7"/>
        <v>160.71428571428569</v>
      </c>
      <c r="N96" s="23">
        <v>1500</v>
      </c>
      <c r="O96" s="27" t="s">
        <v>547</v>
      </c>
      <c r="P96" s="25" t="s">
        <v>548</v>
      </c>
      <c r="Q96" s="25" t="s">
        <v>340</v>
      </c>
      <c r="R96">
        <v>0</v>
      </c>
    </row>
    <row r="97" spans="1:18" x14ac:dyDescent="0.3">
      <c r="A97" s="20">
        <v>45049</v>
      </c>
      <c r="B97" s="25" t="s">
        <v>390</v>
      </c>
      <c r="C97" s="25" t="s">
        <v>391</v>
      </c>
      <c r="D97" s="25" t="s">
        <v>392</v>
      </c>
      <c r="E97">
        <v>0</v>
      </c>
      <c r="F97">
        <v>0</v>
      </c>
      <c r="G97">
        <v>0</v>
      </c>
      <c r="H97">
        <v>0</v>
      </c>
      <c r="I97">
        <v>0</v>
      </c>
      <c r="J97" s="25" t="s">
        <v>226</v>
      </c>
      <c r="K97" s="25" t="s">
        <v>210</v>
      </c>
      <c r="L97" s="23">
        <f t="shared" si="6"/>
        <v>624.99999999999989</v>
      </c>
      <c r="M97" s="23">
        <f t="shared" si="7"/>
        <v>74.999999999999986</v>
      </c>
      <c r="N97" s="23">
        <v>700</v>
      </c>
      <c r="O97" s="27" t="s">
        <v>549</v>
      </c>
      <c r="P97" s="25" t="s">
        <v>68</v>
      </c>
      <c r="Q97" s="25" t="s">
        <v>225</v>
      </c>
      <c r="R97">
        <v>0</v>
      </c>
    </row>
    <row r="98" spans="1:18" x14ac:dyDescent="0.3">
      <c r="A98" s="20">
        <v>45049</v>
      </c>
      <c r="B98" s="25" t="s">
        <v>393</v>
      </c>
      <c r="C98" s="25" t="s">
        <v>394</v>
      </c>
      <c r="D98" s="25" t="s">
        <v>395</v>
      </c>
      <c r="E98">
        <v>0</v>
      </c>
      <c r="F98">
        <v>0</v>
      </c>
      <c r="G98">
        <v>0</v>
      </c>
      <c r="H98">
        <v>0</v>
      </c>
      <c r="I98">
        <v>0</v>
      </c>
      <c r="J98" s="25" t="s">
        <v>226</v>
      </c>
      <c r="K98" s="25" t="s">
        <v>326</v>
      </c>
      <c r="L98" s="23">
        <f t="shared" si="6"/>
        <v>892.85714285714278</v>
      </c>
      <c r="M98" s="23">
        <f t="shared" si="7"/>
        <v>107.14285714285712</v>
      </c>
      <c r="N98" s="23">
        <v>1000</v>
      </c>
      <c r="O98" s="27" t="s">
        <v>550</v>
      </c>
      <c r="P98" s="25" t="s">
        <v>62</v>
      </c>
      <c r="Q98" s="25" t="s">
        <v>340</v>
      </c>
      <c r="R98">
        <v>0</v>
      </c>
    </row>
    <row r="99" spans="1:18" x14ac:dyDescent="0.3">
      <c r="A99" s="20"/>
      <c r="B99" s="25" t="s">
        <v>396</v>
      </c>
      <c r="C99" s="25"/>
      <c r="D99" s="25"/>
      <c r="E99">
        <v>0</v>
      </c>
      <c r="F99">
        <v>0</v>
      </c>
      <c r="G99">
        <v>0</v>
      </c>
      <c r="H99">
        <v>0</v>
      </c>
      <c r="I99">
        <v>0</v>
      </c>
      <c r="J99" s="25"/>
      <c r="K99" s="25"/>
      <c r="L99" s="23">
        <f t="shared" si="6"/>
        <v>0</v>
      </c>
      <c r="M99" s="23">
        <f t="shared" si="7"/>
        <v>0</v>
      </c>
      <c r="N99" s="23">
        <v>0</v>
      </c>
      <c r="O99" s="25"/>
      <c r="P99" s="25"/>
      <c r="Q99" s="25"/>
      <c r="R99">
        <v>0</v>
      </c>
    </row>
    <row r="100" spans="1:18" x14ac:dyDescent="0.3">
      <c r="A100" s="20">
        <v>45050</v>
      </c>
      <c r="B100" s="25" t="s">
        <v>397</v>
      </c>
      <c r="C100" s="25" t="s">
        <v>398</v>
      </c>
      <c r="D100" s="25" t="s">
        <v>399</v>
      </c>
      <c r="E100">
        <v>0</v>
      </c>
      <c r="F100">
        <v>0</v>
      </c>
      <c r="G100">
        <v>0</v>
      </c>
      <c r="H100">
        <v>0</v>
      </c>
      <c r="I100">
        <v>0</v>
      </c>
      <c r="J100" s="25" t="s">
        <v>226</v>
      </c>
      <c r="K100" s="25" t="s">
        <v>210</v>
      </c>
      <c r="L100" s="23">
        <f t="shared" si="6"/>
        <v>1071.4285714285713</v>
      </c>
      <c r="M100" s="23">
        <f t="shared" si="7"/>
        <v>128.57142857142856</v>
      </c>
      <c r="N100" s="23">
        <v>1200</v>
      </c>
      <c r="O100" s="27" t="s">
        <v>551</v>
      </c>
      <c r="P100" s="25" t="s">
        <v>339</v>
      </c>
      <c r="Q100" s="25" t="s">
        <v>340</v>
      </c>
      <c r="R100">
        <v>0</v>
      </c>
    </row>
    <row r="101" spans="1:18" x14ac:dyDescent="0.3">
      <c r="A101" s="20">
        <v>45050</v>
      </c>
      <c r="B101" s="25" t="s">
        <v>400</v>
      </c>
      <c r="C101" s="25" t="s">
        <v>401</v>
      </c>
      <c r="D101" s="25" t="s">
        <v>402</v>
      </c>
      <c r="E101">
        <v>0</v>
      </c>
      <c r="F101">
        <v>0</v>
      </c>
      <c r="G101">
        <v>0</v>
      </c>
      <c r="H101">
        <v>0</v>
      </c>
      <c r="I101">
        <v>0</v>
      </c>
      <c r="J101" s="25" t="s">
        <v>226</v>
      </c>
      <c r="K101" s="25" t="s">
        <v>326</v>
      </c>
      <c r="L101" s="23">
        <f t="shared" si="6"/>
        <v>892.85714285714278</v>
      </c>
      <c r="M101" s="23">
        <f t="shared" si="7"/>
        <v>107.14285714285712</v>
      </c>
      <c r="N101" s="23">
        <v>1000</v>
      </c>
      <c r="O101" s="27" t="s">
        <v>552</v>
      </c>
      <c r="P101" s="25" t="s">
        <v>337</v>
      </c>
      <c r="Q101" s="25" t="s">
        <v>225</v>
      </c>
      <c r="R101">
        <v>0</v>
      </c>
    </row>
    <row r="102" spans="1:18" x14ac:dyDescent="0.3">
      <c r="A102" s="20">
        <v>45051</v>
      </c>
      <c r="B102" s="25" t="s">
        <v>403</v>
      </c>
      <c r="C102" s="25" t="s">
        <v>404</v>
      </c>
      <c r="D102" s="25" t="s">
        <v>405</v>
      </c>
      <c r="E102">
        <v>0</v>
      </c>
      <c r="F102">
        <v>0</v>
      </c>
      <c r="G102">
        <v>0</v>
      </c>
      <c r="H102">
        <v>0</v>
      </c>
      <c r="I102">
        <v>0</v>
      </c>
      <c r="J102" s="25" t="s">
        <v>539</v>
      </c>
      <c r="K102" s="25" t="s">
        <v>326</v>
      </c>
      <c r="L102" s="23">
        <f t="shared" si="6"/>
        <v>2053.5714285714284</v>
      </c>
      <c r="M102" s="23">
        <f t="shared" si="7"/>
        <v>246.42857142857142</v>
      </c>
      <c r="N102" s="23">
        <v>2300</v>
      </c>
      <c r="O102" s="27" t="s">
        <v>553</v>
      </c>
      <c r="P102" s="25" t="s">
        <v>337</v>
      </c>
      <c r="Q102" s="25" t="s">
        <v>65</v>
      </c>
      <c r="R102">
        <v>0</v>
      </c>
    </row>
    <row r="103" spans="1:18" x14ac:dyDescent="0.3">
      <c r="A103" s="20">
        <v>45051</v>
      </c>
      <c r="B103" s="25" t="s">
        <v>406</v>
      </c>
      <c r="C103" s="25" t="s">
        <v>407</v>
      </c>
      <c r="D103" s="25" t="s">
        <v>408</v>
      </c>
      <c r="E103">
        <v>0</v>
      </c>
      <c r="F103">
        <v>0</v>
      </c>
      <c r="G103">
        <v>0</v>
      </c>
      <c r="H103">
        <v>0</v>
      </c>
      <c r="I103">
        <v>0</v>
      </c>
      <c r="J103" s="25" t="s">
        <v>539</v>
      </c>
      <c r="K103" s="25" t="s">
        <v>538</v>
      </c>
      <c r="L103" s="23">
        <f t="shared" si="6"/>
        <v>89.285714285714278</v>
      </c>
      <c r="M103" s="23">
        <f t="shared" si="7"/>
        <v>10.714285714285714</v>
      </c>
      <c r="N103" s="23">
        <v>100</v>
      </c>
      <c r="O103" s="27" t="s">
        <v>554</v>
      </c>
      <c r="P103" s="25" t="s">
        <v>337</v>
      </c>
      <c r="Q103" s="25" t="s">
        <v>225</v>
      </c>
      <c r="R103">
        <v>0</v>
      </c>
    </row>
    <row r="104" spans="1:18" x14ac:dyDescent="0.3">
      <c r="A104" s="20">
        <v>45052</v>
      </c>
      <c r="B104" s="25" t="s">
        <v>409</v>
      </c>
      <c r="C104" s="25" t="s">
        <v>410</v>
      </c>
      <c r="D104" s="25" t="s">
        <v>411</v>
      </c>
      <c r="E104">
        <v>0</v>
      </c>
      <c r="F104">
        <v>0</v>
      </c>
      <c r="G104">
        <v>0</v>
      </c>
      <c r="H104">
        <v>0</v>
      </c>
      <c r="I104">
        <v>0</v>
      </c>
      <c r="J104" s="25" t="s">
        <v>539</v>
      </c>
      <c r="K104" s="25" t="s">
        <v>326</v>
      </c>
      <c r="L104" s="23">
        <f t="shared" si="6"/>
        <v>892.85714285714278</v>
      </c>
      <c r="M104" s="23">
        <f t="shared" si="7"/>
        <v>107.14285714285712</v>
      </c>
      <c r="N104" s="23">
        <v>1000</v>
      </c>
      <c r="O104" s="27" t="s">
        <v>555</v>
      </c>
      <c r="P104" s="25" t="s">
        <v>371</v>
      </c>
      <c r="Q104" s="25" t="s">
        <v>65</v>
      </c>
      <c r="R104">
        <v>0</v>
      </c>
    </row>
    <row r="105" spans="1:18" x14ac:dyDescent="0.3">
      <c r="A105" s="20">
        <v>45052</v>
      </c>
      <c r="B105" s="25" t="s">
        <v>412</v>
      </c>
      <c r="C105" s="25" t="s">
        <v>413</v>
      </c>
      <c r="D105" s="25" t="s">
        <v>414</v>
      </c>
      <c r="E105">
        <v>0</v>
      </c>
      <c r="F105">
        <v>0</v>
      </c>
      <c r="G105">
        <v>0</v>
      </c>
      <c r="H105">
        <v>0</v>
      </c>
      <c r="I105">
        <v>0</v>
      </c>
      <c r="J105" s="25" t="s">
        <v>539</v>
      </c>
      <c r="K105" s="25" t="s">
        <v>538</v>
      </c>
      <c r="L105" s="23">
        <f t="shared" si="6"/>
        <v>178.57142857142856</v>
      </c>
      <c r="M105" s="23">
        <f t="shared" si="7"/>
        <v>21.428571428571427</v>
      </c>
      <c r="N105" s="23">
        <v>200</v>
      </c>
      <c r="O105" s="27" t="s">
        <v>556</v>
      </c>
      <c r="P105" s="25" t="s">
        <v>335</v>
      </c>
      <c r="Q105" s="25" t="s">
        <v>225</v>
      </c>
      <c r="R105">
        <v>0</v>
      </c>
    </row>
    <row r="106" spans="1:18" x14ac:dyDescent="0.3">
      <c r="A106" s="20">
        <v>45052</v>
      </c>
      <c r="B106" s="25" t="s">
        <v>415</v>
      </c>
      <c r="C106" s="25" t="s">
        <v>416</v>
      </c>
      <c r="D106" s="25" t="s">
        <v>417</v>
      </c>
      <c r="E106">
        <v>0</v>
      </c>
      <c r="F106">
        <v>0</v>
      </c>
      <c r="G106">
        <v>0</v>
      </c>
      <c r="H106">
        <v>0</v>
      </c>
      <c r="I106">
        <v>0</v>
      </c>
      <c r="J106" s="25" t="s">
        <v>539</v>
      </c>
      <c r="K106" s="25" t="s">
        <v>326</v>
      </c>
      <c r="L106" s="23">
        <f t="shared" si="6"/>
        <v>624.99999999999989</v>
      </c>
      <c r="M106" s="23">
        <f t="shared" si="7"/>
        <v>74.999999999999986</v>
      </c>
      <c r="N106" s="23">
        <v>700</v>
      </c>
      <c r="O106" s="27" t="s">
        <v>557</v>
      </c>
      <c r="P106" s="25" t="s">
        <v>337</v>
      </c>
      <c r="Q106" s="25" t="s">
        <v>225</v>
      </c>
      <c r="R106">
        <v>0</v>
      </c>
    </row>
    <row r="107" spans="1:18" x14ac:dyDescent="0.3">
      <c r="A107" s="20">
        <v>45055</v>
      </c>
      <c r="B107" s="25" t="s">
        <v>418</v>
      </c>
      <c r="C107" s="25" t="s">
        <v>419</v>
      </c>
      <c r="D107" s="25" t="s">
        <v>420</v>
      </c>
      <c r="E107">
        <v>0</v>
      </c>
      <c r="F107">
        <v>0</v>
      </c>
      <c r="G107">
        <v>0</v>
      </c>
      <c r="H107">
        <v>0</v>
      </c>
      <c r="I107">
        <v>0</v>
      </c>
      <c r="J107" s="25" t="s">
        <v>539</v>
      </c>
      <c r="K107" s="25" t="s">
        <v>326</v>
      </c>
      <c r="L107" s="23">
        <f t="shared" si="6"/>
        <v>267.85714285714283</v>
      </c>
      <c r="M107" s="23">
        <f t="shared" si="7"/>
        <v>32.142857142857139</v>
      </c>
      <c r="N107" s="23">
        <v>300</v>
      </c>
      <c r="O107" s="27" t="s">
        <v>558</v>
      </c>
      <c r="P107" s="25" t="s">
        <v>343</v>
      </c>
      <c r="Q107" s="25" t="s">
        <v>559</v>
      </c>
      <c r="R107">
        <v>0</v>
      </c>
    </row>
    <row r="108" spans="1:18" x14ac:dyDescent="0.3">
      <c r="A108" s="20">
        <v>45056</v>
      </c>
      <c r="B108" s="25" t="s">
        <v>421</v>
      </c>
      <c r="C108" s="25" t="s">
        <v>422</v>
      </c>
      <c r="D108" s="25" t="s">
        <v>423</v>
      </c>
      <c r="E108">
        <v>0</v>
      </c>
      <c r="F108">
        <v>0</v>
      </c>
      <c r="G108">
        <v>0</v>
      </c>
      <c r="H108">
        <v>0</v>
      </c>
      <c r="I108">
        <v>0</v>
      </c>
      <c r="J108" s="25" t="s">
        <v>539</v>
      </c>
      <c r="K108" s="25" t="s">
        <v>326</v>
      </c>
      <c r="L108" s="23">
        <f t="shared" si="6"/>
        <v>223.21428571428569</v>
      </c>
      <c r="M108" s="23">
        <f t="shared" si="7"/>
        <v>26.785714285714281</v>
      </c>
      <c r="N108" s="23">
        <v>250</v>
      </c>
      <c r="O108" s="27" t="s">
        <v>560</v>
      </c>
      <c r="P108" s="25" t="s">
        <v>339</v>
      </c>
      <c r="Q108" s="25" t="s">
        <v>340</v>
      </c>
      <c r="R108">
        <v>0</v>
      </c>
    </row>
    <row r="109" spans="1:18" x14ac:dyDescent="0.3">
      <c r="A109" s="20">
        <v>45056</v>
      </c>
      <c r="B109" s="25" t="s">
        <v>424</v>
      </c>
      <c r="C109" s="25" t="s">
        <v>425</v>
      </c>
      <c r="D109" s="25" t="s">
        <v>426</v>
      </c>
      <c r="E109">
        <v>0</v>
      </c>
      <c r="F109">
        <v>0</v>
      </c>
      <c r="G109">
        <v>0</v>
      </c>
      <c r="H109">
        <v>0</v>
      </c>
      <c r="I109">
        <v>0</v>
      </c>
      <c r="J109" s="25" t="s">
        <v>539</v>
      </c>
      <c r="K109" s="25" t="s">
        <v>540</v>
      </c>
      <c r="L109" s="23">
        <f t="shared" si="6"/>
        <v>1428.5714285714284</v>
      </c>
      <c r="M109" s="23">
        <f t="shared" si="7"/>
        <v>171.42857142857142</v>
      </c>
      <c r="N109" s="23">
        <v>1600</v>
      </c>
      <c r="O109" s="27" t="s">
        <v>561</v>
      </c>
      <c r="P109" s="25" t="s">
        <v>337</v>
      </c>
      <c r="Q109" s="25" t="s">
        <v>58</v>
      </c>
      <c r="R109">
        <v>0</v>
      </c>
    </row>
    <row r="110" spans="1:18" x14ac:dyDescent="0.3">
      <c r="A110" s="20">
        <v>45057</v>
      </c>
      <c r="B110" s="25" t="s">
        <v>427</v>
      </c>
      <c r="C110" s="25" t="s">
        <v>428</v>
      </c>
      <c r="D110" s="25" t="s">
        <v>429</v>
      </c>
      <c r="E110">
        <v>0</v>
      </c>
      <c r="F110">
        <v>0</v>
      </c>
      <c r="G110">
        <v>0</v>
      </c>
      <c r="H110">
        <v>0</v>
      </c>
      <c r="I110">
        <v>0</v>
      </c>
      <c r="J110" s="25" t="s">
        <v>539</v>
      </c>
      <c r="K110" s="25" t="s">
        <v>326</v>
      </c>
      <c r="L110" s="23">
        <f t="shared" si="6"/>
        <v>624.99999999999989</v>
      </c>
      <c r="M110" s="23">
        <f t="shared" si="7"/>
        <v>74.999999999999986</v>
      </c>
      <c r="N110" s="23">
        <v>700</v>
      </c>
      <c r="O110" s="27" t="s">
        <v>562</v>
      </c>
      <c r="P110" s="25" t="s">
        <v>371</v>
      </c>
      <c r="Q110" s="25" t="s">
        <v>559</v>
      </c>
      <c r="R110">
        <v>0</v>
      </c>
    </row>
    <row r="111" spans="1:18" x14ac:dyDescent="0.3">
      <c r="A111" s="20">
        <v>45057</v>
      </c>
      <c r="B111" s="25" t="s">
        <v>430</v>
      </c>
      <c r="C111" s="25" t="s">
        <v>431</v>
      </c>
      <c r="D111" s="25" t="s">
        <v>432</v>
      </c>
      <c r="E111">
        <v>0</v>
      </c>
      <c r="F111">
        <v>0</v>
      </c>
      <c r="G111">
        <v>0</v>
      </c>
      <c r="H111">
        <v>0</v>
      </c>
      <c r="I111">
        <v>0</v>
      </c>
      <c r="J111" s="25" t="s">
        <v>539</v>
      </c>
      <c r="K111" s="25" t="s">
        <v>540</v>
      </c>
      <c r="L111" s="23">
        <f t="shared" si="6"/>
        <v>1776.7857142857142</v>
      </c>
      <c r="M111" s="23">
        <f t="shared" si="7"/>
        <v>213.21428571428569</v>
      </c>
      <c r="N111" s="23">
        <v>1990</v>
      </c>
      <c r="O111" s="27" t="s">
        <v>563</v>
      </c>
      <c r="P111" s="25" t="s">
        <v>559</v>
      </c>
      <c r="Q111" s="25" t="s">
        <v>58</v>
      </c>
      <c r="R111">
        <v>0</v>
      </c>
    </row>
    <row r="112" spans="1:18" x14ac:dyDescent="0.3">
      <c r="A112" s="20">
        <v>45058</v>
      </c>
      <c r="B112" s="25" t="s">
        <v>433</v>
      </c>
      <c r="C112" s="25" t="s">
        <v>434</v>
      </c>
      <c r="D112" s="25" t="s">
        <v>435</v>
      </c>
      <c r="E112">
        <v>0</v>
      </c>
      <c r="F112">
        <v>0</v>
      </c>
      <c r="G112">
        <v>0</v>
      </c>
      <c r="H112">
        <v>0</v>
      </c>
      <c r="I112">
        <v>0</v>
      </c>
      <c r="J112" s="25" t="s">
        <v>539</v>
      </c>
      <c r="K112" s="25" t="s">
        <v>326</v>
      </c>
      <c r="L112" s="23">
        <f t="shared" si="6"/>
        <v>446.42857142857139</v>
      </c>
      <c r="M112" s="23">
        <f t="shared" si="7"/>
        <v>53.571428571428562</v>
      </c>
      <c r="N112" s="23">
        <v>500</v>
      </c>
      <c r="O112" s="27" t="s">
        <v>564</v>
      </c>
      <c r="P112" s="25" t="s">
        <v>221</v>
      </c>
      <c r="Q112" s="25" t="s">
        <v>65</v>
      </c>
      <c r="R112">
        <v>0</v>
      </c>
    </row>
    <row r="113" spans="1:18" x14ac:dyDescent="0.3">
      <c r="A113" s="20">
        <v>45059</v>
      </c>
      <c r="B113" s="25" t="s">
        <v>436</v>
      </c>
      <c r="C113" s="25" t="s">
        <v>437</v>
      </c>
      <c r="D113" s="25" t="s">
        <v>438</v>
      </c>
      <c r="E113">
        <v>0</v>
      </c>
      <c r="F113">
        <v>0</v>
      </c>
      <c r="G113">
        <v>0</v>
      </c>
      <c r="H113">
        <v>0</v>
      </c>
      <c r="I113">
        <v>0</v>
      </c>
      <c r="J113" s="25" t="s">
        <v>539</v>
      </c>
      <c r="K113" s="25" t="s">
        <v>326</v>
      </c>
      <c r="L113" s="23">
        <f t="shared" si="6"/>
        <v>982.142857142857</v>
      </c>
      <c r="M113" s="23">
        <f t="shared" si="7"/>
        <v>117.85714285714283</v>
      </c>
      <c r="N113" s="23">
        <v>1100</v>
      </c>
      <c r="O113" s="27" t="s">
        <v>565</v>
      </c>
      <c r="P113" s="25" t="s">
        <v>337</v>
      </c>
      <c r="Q113" s="25" t="s">
        <v>340</v>
      </c>
      <c r="R113">
        <v>0</v>
      </c>
    </row>
    <row r="114" spans="1:18" x14ac:dyDescent="0.3">
      <c r="A114" s="20">
        <v>45059</v>
      </c>
      <c r="B114" s="25" t="s">
        <v>439</v>
      </c>
      <c r="C114" s="25" t="s">
        <v>440</v>
      </c>
      <c r="D114" s="25" t="s">
        <v>441</v>
      </c>
      <c r="E114">
        <v>0</v>
      </c>
      <c r="F114">
        <v>0</v>
      </c>
      <c r="G114">
        <v>0</v>
      </c>
      <c r="H114">
        <v>0</v>
      </c>
      <c r="I114">
        <v>0</v>
      </c>
      <c r="J114" s="25" t="s">
        <v>539</v>
      </c>
      <c r="K114" s="25" t="s">
        <v>326</v>
      </c>
      <c r="L114" s="23">
        <f t="shared" si="6"/>
        <v>1785.7142857142856</v>
      </c>
      <c r="M114" s="23">
        <f t="shared" si="7"/>
        <v>214.28571428571425</v>
      </c>
      <c r="N114" s="23">
        <v>2000</v>
      </c>
      <c r="O114" s="27" t="s">
        <v>566</v>
      </c>
      <c r="P114" s="25" t="s">
        <v>224</v>
      </c>
      <c r="Q114" s="25" t="s">
        <v>58</v>
      </c>
      <c r="R114">
        <v>0</v>
      </c>
    </row>
    <row r="115" spans="1:18" x14ac:dyDescent="0.3">
      <c r="A115" s="20">
        <v>45062</v>
      </c>
      <c r="B115" s="25" t="s">
        <v>442</v>
      </c>
      <c r="C115" s="25" t="s">
        <v>443</v>
      </c>
      <c r="D115" s="25" t="s">
        <v>444</v>
      </c>
      <c r="E115">
        <v>0</v>
      </c>
      <c r="F115">
        <v>0</v>
      </c>
      <c r="G115">
        <v>0</v>
      </c>
      <c r="H115">
        <v>0</v>
      </c>
      <c r="I115">
        <v>0</v>
      </c>
      <c r="J115" s="25" t="s">
        <v>539</v>
      </c>
      <c r="K115" s="25" t="s">
        <v>326</v>
      </c>
      <c r="L115" s="23">
        <f t="shared" si="6"/>
        <v>1339.2857142857142</v>
      </c>
      <c r="M115" s="23">
        <f t="shared" si="7"/>
        <v>160.71428571428569</v>
      </c>
      <c r="N115" s="23">
        <v>1500</v>
      </c>
      <c r="O115" s="27" t="s">
        <v>567</v>
      </c>
      <c r="P115" s="25" t="s">
        <v>335</v>
      </c>
      <c r="Q115" s="25" t="s">
        <v>340</v>
      </c>
      <c r="R115">
        <v>0</v>
      </c>
    </row>
    <row r="116" spans="1:18" x14ac:dyDescent="0.3">
      <c r="A116" s="20">
        <v>45062</v>
      </c>
      <c r="B116" s="25" t="s">
        <v>445</v>
      </c>
      <c r="C116" s="25" t="s">
        <v>446</v>
      </c>
      <c r="D116" s="25" t="s">
        <v>447</v>
      </c>
      <c r="E116">
        <v>0</v>
      </c>
      <c r="F116">
        <v>0</v>
      </c>
      <c r="G116">
        <v>0</v>
      </c>
      <c r="H116">
        <v>0</v>
      </c>
      <c r="I116">
        <v>0</v>
      </c>
      <c r="J116" s="25" t="s">
        <v>226</v>
      </c>
      <c r="K116" s="25" t="s">
        <v>326</v>
      </c>
      <c r="L116" s="23">
        <f t="shared" si="6"/>
        <v>1776.7857142857142</v>
      </c>
      <c r="M116" s="23">
        <f t="shared" si="7"/>
        <v>213.21428571428569</v>
      </c>
      <c r="N116" s="23">
        <v>1990</v>
      </c>
      <c r="O116" s="27" t="s">
        <v>568</v>
      </c>
      <c r="P116" s="25" t="s">
        <v>569</v>
      </c>
      <c r="Q116" s="25" t="s">
        <v>225</v>
      </c>
      <c r="R116">
        <v>0</v>
      </c>
    </row>
    <row r="117" spans="1:18" x14ac:dyDescent="0.3">
      <c r="A117" s="20">
        <v>45063</v>
      </c>
      <c r="B117" s="25" t="s">
        <v>448</v>
      </c>
      <c r="C117" s="25" t="s">
        <v>449</v>
      </c>
      <c r="D117" s="25" t="s">
        <v>450</v>
      </c>
      <c r="E117">
        <v>0</v>
      </c>
      <c r="F117">
        <v>0</v>
      </c>
      <c r="G117">
        <v>0</v>
      </c>
      <c r="H117">
        <v>0</v>
      </c>
      <c r="I117">
        <v>0</v>
      </c>
      <c r="J117" s="25" t="s">
        <v>539</v>
      </c>
      <c r="K117" s="25" t="s">
        <v>326</v>
      </c>
      <c r="L117" s="23">
        <f t="shared" si="6"/>
        <v>2669.6428571428569</v>
      </c>
      <c r="M117" s="23">
        <f t="shared" si="7"/>
        <v>320.35714285714283</v>
      </c>
      <c r="N117" s="23">
        <v>2990</v>
      </c>
      <c r="O117" s="27" t="s">
        <v>570</v>
      </c>
      <c r="P117" s="25" t="s">
        <v>335</v>
      </c>
      <c r="Q117" s="25" t="s">
        <v>340</v>
      </c>
      <c r="R117">
        <v>0</v>
      </c>
    </row>
    <row r="118" spans="1:18" x14ac:dyDescent="0.3">
      <c r="A118" s="20">
        <v>45063</v>
      </c>
      <c r="B118" s="25" t="s">
        <v>451</v>
      </c>
      <c r="C118" s="25" t="s">
        <v>452</v>
      </c>
      <c r="D118" s="25" t="s">
        <v>453</v>
      </c>
      <c r="E118">
        <v>0</v>
      </c>
      <c r="F118">
        <v>0</v>
      </c>
      <c r="G118">
        <v>0</v>
      </c>
      <c r="H118">
        <v>0</v>
      </c>
      <c r="I118">
        <v>0</v>
      </c>
      <c r="J118" s="25" t="s">
        <v>539</v>
      </c>
      <c r="K118" s="25" t="s">
        <v>211</v>
      </c>
      <c r="L118" s="23">
        <f t="shared" si="6"/>
        <v>3124.9999999999995</v>
      </c>
      <c r="M118" s="23">
        <f t="shared" si="7"/>
        <v>374.99999999999994</v>
      </c>
      <c r="N118" s="23">
        <v>3500</v>
      </c>
      <c r="O118" s="27" t="s">
        <v>571</v>
      </c>
      <c r="P118" s="25" t="s">
        <v>548</v>
      </c>
      <c r="Q118" s="25" t="s">
        <v>58</v>
      </c>
      <c r="R118">
        <v>0</v>
      </c>
    </row>
    <row r="119" spans="1:18" x14ac:dyDescent="0.3">
      <c r="A119" s="20">
        <v>45063</v>
      </c>
      <c r="B119" s="25" t="s">
        <v>454</v>
      </c>
      <c r="C119" s="25" t="s">
        <v>455</v>
      </c>
      <c r="D119" s="25" t="s">
        <v>456</v>
      </c>
      <c r="E119">
        <v>0</v>
      </c>
      <c r="F119">
        <v>0</v>
      </c>
      <c r="G119">
        <v>0</v>
      </c>
      <c r="H119">
        <v>0</v>
      </c>
      <c r="I119">
        <v>0</v>
      </c>
      <c r="J119" s="25" t="s">
        <v>539</v>
      </c>
      <c r="K119" s="25" t="s">
        <v>326</v>
      </c>
      <c r="L119" s="23">
        <f t="shared" si="6"/>
        <v>2669.6428571428569</v>
      </c>
      <c r="M119" s="23">
        <f t="shared" si="7"/>
        <v>320.35714285714283</v>
      </c>
      <c r="N119" s="23">
        <v>2990</v>
      </c>
      <c r="O119" s="27" t="s">
        <v>572</v>
      </c>
      <c r="P119" s="25" t="s">
        <v>335</v>
      </c>
      <c r="Q119" s="25" t="s">
        <v>65</v>
      </c>
      <c r="R119">
        <v>0</v>
      </c>
    </row>
    <row r="120" spans="1:18" x14ac:dyDescent="0.3">
      <c r="A120" s="20">
        <v>45064</v>
      </c>
      <c r="B120" s="25" t="s">
        <v>457</v>
      </c>
      <c r="C120" s="25" t="s">
        <v>458</v>
      </c>
      <c r="D120" s="25" t="s">
        <v>459</v>
      </c>
      <c r="E120">
        <v>0</v>
      </c>
      <c r="F120">
        <v>0</v>
      </c>
      <c r="G120">
        <v>0</v>
      </c>
      <c r="H120">
        <v>0</v>
      </c>
      <c r="I120">
        <v>0</v>
      </c>
      <c r="J120" s="25"/>
      <c r="K120" s="25"/>
      <c r="L120" s="23">
        <f t="shared" si="6"/>
        <v>892.85714285714278</v>
      </c>
      <c r="M120" s="23">
        <f t="shared" si="7"/>
        <v>107.14285714285712</v>
      </c>
      <c r="N120" s="23">
        <v>1000</v>
      </c>
      <c r="O120" s="27" t="s">
        <v>573</v>
      </c>
      <c r="P120" s="25" t="s">
        <v>224</v>
      </c>
      <c r="Q120" s="25" t="s">
        <v>225</v>
      </c>
      <c r="R120">
        <v>0</v>
      </c>
    </row>
    <row r="121" spans="1:18" x14ac:dyDescent="0.3">
      <c r="A121" s="20">
        <v>45064</v>
      </c>
      <c r="B121" s="25" t="s">
        <v>460</v>
      </c>
      <c r="C121" s="25" t="s">
        <v>461</v>
      </c>
      <c r="D121" s="25" t="s">
        <v>462</v>
      </c>
      <c r="E121">
        <v>0</v>
      </c>
      <c r="F121">
        <v>0</v>
      </c>
      <c r="G121">
        <v>0</v>
      </c>
      <c r="H121">
        <v>0</v>
      </c>
      <c r="I121">
        <v>0</v>
      </c>
      <c r="J121" s="25" t="s">
        <v>226</v>
      </c>
      <c r="K121" s="25" t="s">
        <v>203</v>
      </c>
      <c r="L121" s="23">
        <f t="shared" si="6"/>
        <v>1339.2857142857142</v>
      </c>
      <c r="M121" s="23">
        <f t="shared" si="7"/>
        <v>160.71428571428569</v>
      </c>
      <c r="N121" s="23">
        <v>1500</v>
      </c>
      <c r="O121" s="27" t="s">
        <v>574</v>
      </c>
      <c r="P121" s="25" t="s">
        <v>569</v>
      </c>
      <c r="Q121" s="25" t="s">
        <v>340</v>
      </c>
      <c r="R121">
        <v>0</v>
      </c>
    </row>
    <row r="122" spans="1:18" x14ac:dyDescent="0.3">
      <c r="A122" s="20">
        <v>45064</v>
      </c>
      <c r="B122" s="25" t="s">
        <v>463</v>
      </c>
      <c r="C122" s="25" t="s">
        <v>464</v>
      </c>
      <c r="D122" s="25" t="s">
        <v>465</v>
      </c>
      <c r="E122">
        <v>0</v>
      </c>
      <c r="F122">
        <v>0</v>
      </c>
      <c r="G122">
        <v>0</v>
      </c>
      <c r="H122">
        <v>0</v>
      </c>
      <c r="I122">
        <v>0</v>
      </c>
      <c r="J122" s="25" t="s">
        <v>539</v>
      </c>
      <c r="K122" s="25" t="s">
        <v>211</v>
      </c>
      <c r="L122" s="23">
        <f t="shared" si="6"/>
        <v>89.285714285714278</v>
      </c>
      <c r="M122" s="23">
        <f t="shared" si="7"/>
        <v>10.714285714285714</v>
      </c>
      <c r="N122" s="23">
        <v>100</v>
      </c>
      <c r="O122" s="27" t="s">
        <v>575</v>
      </c>
      <c r="P122" s="25" t="s">
        <v>62</v>
      </c>
      <c r="Q122" s="25" t="s">
        <v>340</v>
      </c>
      <c r="R122">
        <v>0</v>
      </c>
    </row>
    <row r="123" spans="1:18" x14ac:dyDescent="0.3">
      <c r="A123" s="20">
        <v>45064</v>
      </c>
      <c r="B123" s="25" t="s">
        <v>466</v>
      </c>
      <c r="C123" s="25" t="s">
        <v>467</v>
      </c>
      <c r="D123" s="25" t="s">
        <v>468</v>
      </c>
      <c r="E123">
        <v>0</v>
      </c>
      <c r="F123">
        <v>0</v>
      </c>
      <c r="G123">
        <v>0</v>
      </c>
      <c r="H123">
        <v>0</v>
      </c>
      <c r="I123">
        <v>0</v>
      </c>
      <c r="J123" s="25" t="s">
        <v>539</v>
      </c>
      <c r="K123" s="25" t="s">
        <v>538</v>
      </c>
      <c r="L123" s="23">
        <f t="shared" si="6"/>
        <v>133.92857142857142</v>
      </c>
      <c r="M123" s="23">
        <f t="shared" si="7"/>
        <v>16.071428571428569</v>
      </c>
      <c r="N123" s="23">
        <v>150</v>
      </c>
      <c r="O123" s="27" t="s">
        <v>576</v>
      </c>
      <c r="P123" s="25" t="s">
        <v>62</v>
      </c>
      <c r="Q123" s="25" t="s">
        <v>63</v>
      </c>
      <c r="R123">
        <v>0</v>
      </c>
    </row>
    <row r="124" spans="1:18" x14ac:dyDescent="0.3">
      <c r="A124" s="20">
        <v>45065</v>
      </c>
      <c r="B124" s="25" t="s">
        <v>469</v>
      </c>
      <c r="C124" s="25" t="s">
        <v>470</v>
      </c>
      <c r="D124" s="25" t="s">
        <v>471</v>
      </c>
      <c r="E124">
        <v>0</v>
      </c>
      <c r="F124">
        <v>0</v>
      </c>
      <c r="G124">
        <v>0</v>
      </c>
      <c r="H124">
        <v>0</v>
      </c>
      <c r="I124">
        <v>0</v>
      </c>
      <c r="J124" s="25" t="s">
        <v>539</v>
      </c>
      <c r="K124" s="25" t="s">
        <v>326</v>
      </c>
      <c r="L124" s="23">
        <f t="shared" si="6"/>
        <v>446.42857142857139</v>
      </c>
      <c r="M124" s="23">
        <f t="shared" si="7"/>
        <v>53.571428571428562</v>
      </c>
      <c r="N124" s="23">
        <v>500</v>
      </c>
      <c r="O124" s="27" t="s">
        <v>577</v>
      </c>
      <c r="P124" s="25"/>
      <c r="Q124" s="25"/>
      <c r="R124">
        <v>0</v>
      </c>
    </row>
    <row r="125" spans="1:18" x14ac:dyDescent="0.3">
      <c r="A125" s="20">
        <v>45066</v>
      </c>
      <c r="B125" s="25" t="s">
        <v>472</v>
      </c>
      <c r="C125" s="25" t="s">
        <v>473</v>
      </c>
      <c r="D125" s="25" t="s">
        <v>474</v>
      </c>
      <c r="E125">
        <v>0</v>
      </c>
      <c r="F125">
        <v>0</v>
      </c>
      <c r="G125">
        <v>0</v>
      </c>
      <c r="H125">
        <v>0</v>
      </c>
      <c r="I125">
        <v>0</v>
      </c>
      <c r="J125" s="25" t="s">
        <v>539</v>
      </c>
      <c r="K125" s="25" t="s">
        <v>326</v>
      </c>
      <c r="L125" s="23">
        <f t="shared" si="6"/>
        <v>1339.2857142857142</v>
      </c>
      <c r="M125" s="23">
        <f t="shared" si="7"/>
        <v>160.71428571428569</v>
      </c>
      <c r="N125" s="23">
        <v>1500</v>
      </c>
      <c r="O125" s="27" t="s">
        <v>578</v>
      </c>
      <c r="P125" s="25" t="s">
        <v>224</v>
      </c>
      <c r="Q125" s="25" t="s">
        <v>225</v>
      </c>
      <c r="R125">
        <v>0</v>
      </c>
    </row>
    <row r="126" spans="1:18" x14ac:dyDescent="0.3">
      <c r="A126" s="20">
        <v>45066</v>
      </c>
      <c r="B126" s="25" t="s">
        <v>475</v>
      </c>
      <c r="C126" s="25" t="s">
        <v>476</v>
      </c>
      <c r="D126" s="25" t="s">
        <v>477</v>
      </c>
      <c r="E126">
        <v>0</v>
      </c>
      <c r="F126">
        <v>0</v>
      </c>
      <c r="G126">
        <v>0</v>
      </c>
      <c r="H126">
        <v>0</v>
      </c>
      <c r="I126">
        <v>0</v>
      </c>
      <c r="J126" s="25" t="s">
        <v>539</v>
      </c>
      <c r="K126" s="25" t="s">
        <v>326</v>
      </c>
      <c r="L126" s="23">
        <f t="shared" si="6"/>
        <v>1116.0714285714284</v>
      </c>
      <c r="M126" s="23">
        <f t="shared" si="7"/>
        <v>133.92857142857142</v>
      </c>
      <c r="N126" s="23">
        <v>1250</v>
      </c>
      <c r="O126" s="27" t="s">
        <v>579</v>
      </c>
      <c r="P126" s="25" t="s">
        <v>569</v>
      </c>
      <c r="Q126" s="25" t="s">
        <v>358</v>
      </c>
      <c r="R126">
        <v>0</v>
      </c>
    </row>
    <row r="127" spans="1:18" x14ac:dyDescent="0.3">
      <c r="A127" s="20">
        <v>45069</v>
      </c>
      <c r="B127" s="25" t="s">
        <v>478</v>
      </c>
      <c r="C127" s="25" t="s">
        <v>479</v>
      </c>
      <c r="D127" s="25" t="s">
        <v>480</v>
      </c>
      <c r="E127">
        <v>0</v>
      </c>
      <c r="F127">
        <v>0</v>
      </c>
      <c r="G127">
        <v>0</v>
      </c>
      <c r="H127">
        <v>0</v>
      </c>
      <c r="I127">
        <v>0</v>
      </c>
      <c r="J127" s="25" t="s">
        <v>539</v>
      </c>
      <c r="K127" s="25" t="s">
        <v>538</v>
      </c>
      <c r="L127" s="23">
        <f t="shared" si="6"/>
        <v>624.99999999999989</v>
      </c>
      <c r="M127" s="23">
        <f t="shared" si="7"/>
        <v>74.999999999999986</v>
      </c>
      <c r="N127" s="23">
        <v>700</v>
      </c>
      <c r="O127" s="27" t="s">
        <v>580</v>
      </c>
      <c r="P127" s="25" t="s">
        <v>337</v>
      </c>
      <c r="Q127" s="25" t="s">
        <v>340</v>
      </c>
      <c r="R127">
        <v>0</v>
      </c>
    </row>
    <row r="128" spans="1:18" x14ac:dyDescent="0.3">
      <c r="A128" s="20">
        <v>45069</v>
      </c>
      <c r="B128" s="25" t="s">
        <v>481</v>
      </c>
      <c r="C128" s="25" t="s">
        <v>482</v>
      </c>
      <c r="D128" s="25" t="s">
        <v>483</v>
      </c>
      <c r="E128">
        <v>0</v>
      </c>
      <c r="F128">
        <v>0</v>
      </c>
      <c r="G128">
        <v>0</v>
      </c>
      <c r="H128">
        <v>0</v>
      </c>
      <c r="I128">
        <v>0</v>
      </c>
      <c r="J128" s="25" t="s">
        <v>539</v>
      </c>
      <c r="K128" s="25" t="s">
        <v>326</v>
      </c>
      <c r="L128" s="23">
        <f t="shared" si="6"/>
        <v>4455.3571428571422</v>
      </c>
      <c r="M128" s="23">
        <f t="shared" si="7"/>
        <v>534.642857142857</v>
      </c>
      <c r="N128" s="23">
        <v>4990</v>
      </c>
      <c r="O128" s="27" t="s">
        <v>581</v>
      </c>
      <c r="P128" s="25" t="s">
        <v>337</v>
      </c>
      <c r="Q128" s="25" t="s">
        <v>358</v>
      </c>
      <c r="R128">
        <v>0</v>
      </c>
    </row>
    <row r="129" spans="1:18" x14ac:dyDescent="0.3">
      <c r="A129" s="20">
        <v>45070</v>
      </c>
      <c r="B129" s="25" t="s">
        <v>484</v>
      </c>
      <c r="C129" s="25" t="s">
        <v>485</v>
      </c>
      <c r="D129" s="25" t="s">
        <v>486</v>
      </c>
      <c r="E129">
        <v>0</v>
      </c>
      <c r="F129">
        <v>0</v>
      </c>
      <c r="G129">
        <v>0</v>
      </c>
      <c r="H129">
        <v>0</v>
      </c>
      <c r="I129">
        <v>0</v>
      </c>
      <c r="J129" s="25" t="s">
        <v>539</v>
      </c>
      <c r="K129" s="25" t="s">
        <v>326</v>
      </c>
      <c r="L129" s="23">
        <f t="shared" si="6"/>
        <v>535.71428571428567</v>
      </c>
      <c r="M129" s="23">
        <f t="shared" si="7"/>
        <v>64.285714285714278</v>
      </c>
      <c r="N129" s="23">
        <v>600</v>
      </c>
      <c r="O129" s="27" t="s">
        <v>582</v>
      </c>
      <c r="P129" s="25" t="s">
        <v>371</v>
      </c>
      <c r="Q129" s="25" t="s">
        <v>65</v>
      </c>
      <c r="R129">
        <v>0</v>
      </c>
    </row>
    <row r="130" spans="1:18" x14ac:dyDescent="0.3">
      <c r="A130" s="20">
        <v>45070</v>
      </c>
      <c r="B130" s="25" t="s">
        <v>487</v>
      </c>
      <c r="C130" s="25" t="s">
        <v>488</v>
      </c>
      <c r="D130" s="25" t="s">
        <v>489</v>
      </c>
      <c r="E130">
        <v>0</v>
      </c>
      <c r="F130">
        <v>0</v>
      </c>
      <c r="G130">
        <v>0</v>
      </c>
      <c r="H130">
        <v>0</v>
      </c>
      <c r="I130">
        <v>0</v>
      </c>
      <c r="J130" s="25" t="s">
        <v>539</v>
      </c>
      <c r="K130" s="25" t="s">
        <v>538</v>
      </c>
      <c r="L130" s="23">
        <f t="shared" si="6"/>
        <v>1116.0714285714284</v>
      </c>
      <c r="M130" s="23">
        <f t="shared" si="7"/>
        <v>133.92857142857142</v>
      </c>
      <c r="N130" s="23">
        <v>1250</v>
      </c>
      <c r="O130" s="27" t="s">
        <v>583</v>
      </c>
      <c r="P130" s="25" t="s">
        <v>335</v>
      </c>
      <c r="Q130" s="25" t="s">
        <v>340</v>
      </c>
      <c r="R130">
        <v>0</v>
      </c>
    </row>
    <row r="131" spans="1:18" x14ac:dyDescent="0.3">
      <c r="A131" s="20">
        <v>45070</v>
      </c>
      <c r="B131" s="25" t="s">
        <v>490</v>
      </c>
      <c r="C131" s="25" t="s">
        <v>491</v>
      </c>
      <c r="D131" s="25" t="s">
        <v>492</v>
      </c>
      <c r="E131">
        <v>0</v>
      </c>
      <c r="F131">
        <v>0</v>
      </c>
      <c r="G131">
        <v>0</v>
      </c>
      <c r="H131">
        <v>0</v>
      </c>
      <c r="I131">
        <v>0</v>
      </c>
      <c r="J131" s="25" t="s">
        <v>539</v>
      </c>
      <c r="K131" s="25" t="s">
        <v>326</v>
      </c>
      <c r="L131" s="23">
        <f t="shared" si="6"/>
        <v>1339.2857142857142</v>
      </c>
      <c r="M131" s="23">
        <f t="shared" si="7"/>
        <v>160.71428571428569</v>
      </c>
      <c r="N131" s="23">
        <v>1500</v>
      </c>
      <c r="O131" s="27" t="s">
        <v>584</v>
      </c>
      <c r="P131" s="25" t="s">
        <v>335</v>
      </c>
      <c r="Q131" s="25" t="s">
        <v>340</v>
      </c>
      <c r="R131">
        <v>0</v>
      </c>
    </row>
    <row r="132" spans="1:18" x14ac:dyDescent="0.3">
      <c r="A132" s="20">
        <v>45071</v>
      </c>
      <c r="B132" s="25" t="s">
        <v>493</v>
      </c>
      <c r="C132" s="25" t="s">
        <v>494</v>
      </c>
      <c r="D132" s="25" t="s">
        <v>495</v>
      </c>
      <c r="E132">
        <v>0</v>
      </c>
      <c r="F132">
        <v>0</v>
      </c>
      <c r="G132">
        <v>0</v>
      </c>
      <c r="H132">
        <v>0</v>
      </c>
      <c r="I132">
        <v>0</v>
      </c>
      <c r="J132" s="25" t="s">
        <v>539</v>
      </c>
      <c r="K132" s="25" t="s">
        <v>326</v>
      </c>
      <c r="L132" s="23">
        <f t="shared" si="6"/>
        <v>1339.2857142857142</v>
      </c>
      <c r="M132" s="23">
        <f t="shared" si="7"/>
        <v>160.71428571428569</v>
      </c>
      <c r="N132" s="23">
        <v>1500</v>
      </c>
      <c r="O132" s="27" t="s">
        <v>585</v>
      </c>
      <c r="P132" s="25" t="s">
        <v>65</v>
      </c>
      <c r="Q132" s="25" t="s">
        <v>65</v>
      </c>
      <c r="R132">
        <v>0</v>
      </c>
    </row>
    <row r="133" spans="1:18" x14ac:dyDescent="0.3">
      <c r="A133" s="20">
        <v>45071</v>
      </c>
      <c r="B133" s="25" t="s">
        <v>496</v>
      </c>
      <c r="C133" s="25" t="s">
        <v>497</v>
      </c>
      <c r="D133" s="25" t="s">
        <v>498</v>
      </c>
      <c r="E133">
        <v>0</v>
      </c>
      <c r="F133">
        <v>0</v>
      </c>
      <c r="G133">
        <v>0</v>
      </c>
      <c r="H133">
        <v>0</v>
      </c>
      <c r="I133">
        <v>0</v>
      </c>
      <c r="J133" s="25" t="s">
        <v>539</v>
      </c>
      <c r="K133" s="25" t="s">
        <v>326</v>
      </c>
      <c r="L133" s="23">
        <f t="shared" si="6"/>
        <v>2669.6428571428569</v>
      </c>
      <c r="M133" s="23">
        <f t="shared" si="7"/>
        <v>320.35714285714283</v>
      </c>
      <c r="N133" s="23">
        <v>2990</v>
      </c>
      <c r="O133" s="27" t="s">
        <v>586</v>
      </c>
      <c r="P133" s="25" t="s">
        <v>337</v>
      </c>
      <c r="Q133" s="25" t="s">
        <v>65</v>
      </c>
      <c r="R133">
        <v>0</v>
      </c>
    </row>
    <row r="134" spans="1:18" x14ac:dyDescent="0.3">
      <c r="A134" s="20">
        <v>45071</v>
      </c>
      <c r="B134" s="25" t="s">
        <v>499</v>
      </c>
      <c r="C134" s="25" t="s">
        <v>500</v>
      </c>
      <c r="D134" s="25" t="s">
        <v>501</v>
      </c>
      <c r="E134">
        <v>0</v>
      </c>
      <c r="F134">
        <v>0</v>
      </c>
      <c r="G134">
        <v>0</v>
      </c>
      <c r="H134">
        <v>0</v>
      </c>
      <c r="I134">
        <v>0</v>
      </c>
      <c r="J134" s="25" t="s">
        <v>539</v>
      </c>
      <c r="K134" s="25" t="s">
        <v>326</v>
      </c>
      <c r="L134" s="23">
        <f t="shared" si="6"/>
        <v>3562.4999999999995</v>
      </c>
      <c r="M134" s="23">
        <f t="shared" si="7"/>
        <v>427.49999999999994</v>
      </c>
      <c r="N134" s="23">
        <v>3990</v>
      </c>
      <c r="O134" s="27" t="s">
        <v>587</v>
      </c>
      <c r="P134" s="25" t="s">
        <v>58</v>
      </c>
      <c r="Q134" s="25" t="s">
        <v>358</v>
      </c>
      <c r="R134">
        <v>0</v>
      </c>
    </row>
    <row r="135" spans="1:18" x14ac:dyDescent="0.3">
      <c r="A135" s="20">
        <v>45071</v>
      </c>
      <c r="B135" s="25" t="s">
        <v>502</v>
      </c>
      <c r="C135" s="25" t="s">
        <v>503</v>
      </c>
      <c r="D135" s="25" t="s">
        <v>504</v>
      </c>
      <c r="E135">
        <v>0</v>
      </c>
      <c r="F135">
        <v>0</v>
      </c>
      <c r="G135">
        <v>0</v>
      </c>
      <c r="H135">
        <v>0</v>
      </c>
      <c r="I135">
        <v>0</v>
      </c>
      <c r="J135" s="25" t="s">
        <v>539</v>
      </c>
      <c r="K135" s="25" t="s">
        <v>326</v>
      </c>
      <c r="L135" s="23">
        <f t="shared" si="6"/>
        <v>2723.2142857142853</v>
      </c>
      <c r="M135" s="23">
        <f t="shared" si="7"/>
        <v>326.78571428571422</v>
      </c>
      <c r="N135" s="23">
        <v>3050</v>
      </c>
      <c r="O135" s="27" t="s">
        <v>588</v>
      </c>
      <c r="P135" s="25" t="s">
        <v>371</v>
      </c>
      <c r="Q135" s="25" t="s">
        <v>225</v>
      </c>
      <c r="R135">
        <v>0</v>
      </c>
    </row>
    <row r="136" spans="1:18" x14ac:dyDescent="0.3">
      <c r="A136" s="20">
        <v>45072</v>
      </c>
      <c r="B136" s="25" t="s">
        <v>505</v>
      </c>
      <c r="C136" s="25" t="s">
        <v>506</v>
      </c>
      <c r="D136" s="25" t="s">
        <v>507</v>
      </c>
      <c r="E136">
        <v>0</v>
      </c>
      <c r="F136">
        <v>0</v>
      </c>
      <c r="G136">
        <v>0</v>
      </c>
      <c r="H136">
        <v>0</v>
      </c>
      <c r="I136">
        <v>0</v>
      </c>
      <c r="J136" s="25" t="s">
        <v>539</v>
      </c>
      <c r="K136" s="25" t="s">
        <v>326</v>
      </c>
      <c r="L136" s="23">
        <f t="shared" si="6"/>
        <v>624.99999999999989</v>
      </c>
      <c r="M136" s="23">
        <f t="shared" si="7"/>
        <v>74.999999999999986</v>
      </c>
      <c r="N136" s="23">
        <v>700</v>
      </c>
      <c r="O136" s="27" t="s">
        <v>589</v>
      </c>
      <c r="P136" s="25" t="s">
        <v>335</v>
      </c>
      <c r="Q136" s="25" t="s">
        <v>340</v>
      </c>
      <c r="R136">
        <v>0</v>
      </c>
    </row>
    <row r="137" spans="1:18" x14ac:dyDescent="0.3">
      <c r="A137" s="20">
        <v>45072</v>
      </c>
      <c r="B137" s="25" t="s">
        <v>508</v>
      </c>
      <c r="C137" s="25" t="s">
        <v>509</v>
      </c>
      <c r="D137" s="25" t="s">
        <v>510</v>
      </c>
      <c r="E137">
        <v>0</v>
      </c>
      <c r="F137">
        <v>0</v>
      </c>
      <c r="G137">
        <v>0</v>
      </c>
      <c r="H137">
        <v>0</v>
      </c>
      <c r="I137">
        <v>0</v>
      </c>
      <c r="J137" s="25" t="s">
        <v>539</v>
      </c>
      <c r="K137" s="25" t="s">
        <v>538</v>
      </c>
      <c r="L137" s="23">
        <f t="shared" si="6"/>
        <v>982.142857142857</v>
      </c>
      <c r="M137" s="23">
        <f t="shared" si="7"/>
        <v>117.85714285714283</v>
      </c>
      <c r="N137" s="23">
        <v>1100</v>
      </c>
      <c r="O137" s="27" t="s">
        <v>590</v>
      </c>
      <c r="P137" s="25" t="s">
        <v>335</v>
      </c>
      <c r="Q137" s="25" t="s">
        <v>340</v>
      </c>
      <c r="R137">
        <v>0</v>
      </c>
    </row>
    <row r="138" spans="1:18" x14ac:dyDescent="0.3">
      <c r="A138" s="20">
        <v>45072</v>
      </c>
      <c r="B138" s="25" t="s">
        <v>511</v>
      </c>
      <c r="C138" s="25" t="s">
        <v>512</v>
      </c>
      <c r="D138" s="25" t="s">
        <v>513</v>
      </c>
      <c r="E138">
        <v>0</v>
      </c>
      <c r="F138">
        <v>0</v>
      </c>
      <c r="G138">
        <v>0</v>
      </c>
      <c r="H138">
        <v>0</v>
      </c>
      <c r="I138">
        <v>0</v>
      </c>
      <c r="J138" s="25" t="s">
        <v>226</v>
      </c>
      <c r="K138" s="25" t="s">
        <v>538</v>
      </c>
      <c r="L138" s="23">
        <f t="shared" si="6"/>
        <v>2098.2142857142853</v>
      </c>
      <c r="M138" s="23">
        <f t="shared" si="7"/>
        <v>251.78571428571422</v>
      </c>
      <c r="N138" s="23">
        <v>2350</v>
      </c>
      <c r="O138" s="27" t="s">
        <v>591</v>
      </c>
      <c r="P138" s="25" t="s">
        <v>592</v>
      </c>
      <c r="Q138" s="25" t="s">
        <v>337</v>
      </c>
      <c r="R138">
        <v>0</v>
      </c>
    </row>
    <row r="139" spans="1:18" x14ac:dyDescent="0.3">
      <c r="A139" s="20">
        <v>45072</v>
      </c>
      <c r="B139" s="25" t="s">
        <v>514</v>
      </c>
      <c r="C139" s="25" t="s">
        <v>515</v>
      </c>
      <c r="D139" s="25" t="s">
        <v>516</v>
      </c>
      <c r="E139">
        <v>0</v>
      </c>
      <c r="F139">
        <v>0</v>
      </c>
      <c r="G139">
        <v>0</v>
      </c>
      <c r="H139">
        <v>0</v>
      </c>
      <c r="I139">
        <v>0</v>
      </c>
      <c r="J139" s="25" t="s">
        <v>539</v>
      </c>
      <c r="K139" s="25" t="s">
        <v>326</v>
      </c>
      <c r="L139" s="23">
        <f t="shared" si="6"/>
        <v>624.99999999999989</v>
      </c>
      <c r="M139" s="23">
        <f t="shared" si="7"/>
        <v>74.999999999999986</v>
      </c>
      <c r="N139" s="23">
        <v>700</v>
      </c>
      <c r="O139" s="27" t="s">
        <v>593</v>
      </c>
      <c r="P139" s="25" t="s">
        <v>548</v>
      </c>
      <c r="Q139" s="25" t="s">
        <v>58</v>
      </c>
      <c r="R139">
        <v>0</v>
      </c>
    </row>
    <row r="140" spans="1:18" x14ac:dyDescent="0.3">
      <c r="A140" s="20">
        <v>45073</v>
      </c>
      <c r="B140" s="25" t="s">
        <v>517</v>
      </c>
      <c r="C140" s="25" t="s">
        <v>518</v>
      </c>
      <c r="D140" s="25" t="s">
        <v>519</v>
      </c>
      <c r="E140">
        <v>0</v>
      </c>
      <c r="F140">
        <v>0</v>
      </c>
      <c r="G140">
        <v>0</v>
      </c>
      <c r="H140">
        <v>0</v>
      </c>
      <c r="I140">
        <v>0</v>
      </c>
      <c r="J140" s="25" t="s">
        <v>539</v>
      </c>
      <c r="K140" s="25" t="s">
        <v>326</v>
      </c>
      <c r="L140" s="23">
        <f t="shared" si="6"/>
        <v>89.285714285714278</v>
      </c>
      <c r="M140" s="23">
        <f t="shared" si="7"/>
        <v>10.714285714285714</v>
      </c>
      <c r="N140" s="23">
        <v>100</v>
      </c>
      <c r="O140" s="27" t="s">
        <v>594</v>
      </c>
      <c r="P140" s="25" t="s">
        <v>335</v>
      </c>
      <c r="Q140" s="25" t="s">
        <v>58</v>
      </c>
      <c r="R140">
        <v>0</v>
      </c>
    </row>
    <row r="141" spans="1:18" x14ac:dyDescent="0.3">
      <c r="A141" s="20">
        <v>45073</v>
      </c>
      <c r="B141" s="25" t="s">
        <v>520</v>
      </c>
      <c r="C141" s="25" t="s">
        <v>521</v>
      </c>
      <c r="D141" s="25" t="s">
        <v>522</v>
      </c>
      <c r="E141">
        <v>0</v>
      </c>
      <c r="F141">
        <v>0</v>
      </c>
      <c r="G141">
        <v>0</v>
      </c>
      <c r="H141">
        <v>0</v>
      </c>
      <c r="I141">
        <v>0</v>
      </c>
      <c r="J141" s="25" t="s">
        <v>539</v>
      </c>
      <c r="K141" s="25" t="s">
        <v>326</v>
      </c>
      <c r="L141" s="23">
        <f t="shared" si="6"/>
        <v>1562.4999999999998</v>
      </c>
      <c r="M141" s="23">
        <f t="shared" si="7"/>
        <v>187.49999999999997</v>
      </c>
      <c r="N141" s="23">
        <v>1750</v>
      </c>
      <c r="O141" s="27" t="s">
        <v>595</v>
      </c>
      <c r="P141" s="25" t="s">
        <v>569</v>
      </c>
      <c r="Q141" s="25" t="s">
        <v>358</v>
      </c>
      <c r="R141">
        <v>0</v>
      </c>
    </row>
    <row r="142" spans="1:18" x14ac:dyDescent="0.3">
      <c r="A142" s="20">
        <v>45076</v>
      </c>
      <c r="B142" s="25" t="s">
        <v>523</v>
      </c>
      <c r="C142" s="25" t="s">
        <v>524</v>
      </c>
      <c r="D142" s="25" t="s">
        <v>525</v>
      </c>
      <c r="E142">
        <v>0</v>
      </c>
      <c r="F142">
        <v>0</v>
      </c>
      <c r="G142">
        <v>0</v>
      </c>
      <c r="H142">
        <v>0</v>
      </c>
      <c r="I142">
        <v>0</v>
      </c>
      <c r="J142" s="25" t="s">
        <v>539</v>
      </c>
      <c r="K142" s="25" t="s">
        <v>541</v>
      </c>
      <c r="L142" s="23">
        <f t="shared" si="6"/>
        <v>178.57142857142856</v>
      </c>
      <c r="M142" s="23">
        <f t="shared" si="7"/>
        <v>21.428571428571427</v>
      </c>
      <c r="N142" s="23">
        <v>200</v>
      </c>
      <c r="O142" s="27" t="s">
        <v>596</v>
      </c>
      <c r="P142" s="25" t="s">
        <v>569</v>
      </c>
      <c r="Q142" s="25" t="s">
        <v>65</v>
      </c>
      <c r="R142">
        <v>0</v>
      </c>
    </row>
    <row r="143" spans="1:18" x14ac:dyDescent="0.3">
      <c r="A143" s="20">
        <v>45076</v>
      </c>
      <c r="B143" s="25" t="s">
        <v>526</v>
      </c>
      <c r="C143" s="25" t="s">
        <v>527</v>
      </c>
      <c r="D143" s="25" t="s">
        <v>528</v>
      </c>
      <c r="E143">
        <v>0</v>
      </c>
      <c r="F143">
        <v>0</v>
      </c>
      <c r="G143">
        <v>0</v>
      </c>
      <c r="H143">
        <v>0</v>
      </c>
      <c r="I143">
        <v>0</v>
      </c>
      <c r="J143" s="25" t="s">
        <v>539</v>
      </c>
      <c r="K143" s="25" t="s">
        <v>326</v>
      </c>
      <c r="L143" s="23">
        <f t="shared" si="6"/>
        <v>267.85714285714283</v>
      </c>
      <c r="M143" s="23">
        <f t="shared" si="7"/>
        <v>32.142857142857139</v>
      </c>
      <c r="N143" s="23">
        <v>300</v>
      </c>
      <c r="O143" s="27" t="s">
        <v>597</v>
      </c>
      <c r="P143" s="25" t="s">
        <v>335</v>
      </c>
      <c r="Q143" s="25" t="s">
        <v>225</v>
      </c>
      <c r="R143">
        <v>0</v>
      </c>
    </row>
    <row r="144" spans="1:18" x14ac:dyDescent="0.3">
      <c r="A144" s="20">
        <v>45076</v>
      </c>
      <c r="B144" s="25" t="s">
        <v>529</v>
      </c>
      <c r="C144" s="25" t="s">
        <v>530</v>
      </c>
      <c r="D144" s="25" t="s">
        <v>531</v>
      </c>
      <c r="E144">
        <v>0</v>
      </c>
      <c r="F144">
        <v>0</v>
      </c>
      <c r="G144">
        <v>0</v>
      </c>
      <c r="H144">
        <v>0</v>
      </c>
      <c r="I144">
        <v>0</v>
      </c>
      <c r="J144" s="25" t="s">
        <v>539</v>
      </c>
      <c r="K144" s="25" t="s">
        <v>326</v>
      </c>
      <c r="L144" s="23">
        <f t="shared" si="6"/>
        <v>892.85714285714278</v>
      </c>
      <c r="M144" s="23">
        <f t="shared" si="7"/>
        <v>107.14285714285712</v>
      </c>
      <c r="N144" s="23">
        <v>1000</v>
      </c>
      <c r="O144" s="27" t="s">
        <v>598</v>
      </c>
      <c r="P144" s="25" t="s">
        <v>371</v>
      </c>
      <c r="Q144" s="25" t="s">
        <v>340</v>
      </c>
      <c r="R144">
        <v>0</v>
      </c>
    </row>
    <row r="145" spans="1:18" x14ac:dyDescent="0.3">
      <c r="A145" s="20">
        <v>45076</v>
      </c>
      <c r="B145" s="25" t="s">
        <v>532</v>
      </c>
      <c r="C145" s="25" t="s">
        <v>533</v>
      </c>
      <c r="D145" s="25" t="s">
        <v>534</v>
      </c>
      <c r="E145">
        <v>0</v>
      </c>
      <c r="F145">
        <v>0</v>
      </c>
      <c r="G145">
        <v>0</v>
      </c>
      <c r="H145">
        <v>0</v>
      </c>
      <c r="I145">
        <v>0</v>
      </c>
      <c r="J145" s="25" t="s">
        <v>539</v>
      </c>
      <c r="K145" s="25" t="s">
        <v>326</v>
      </c>
      <c r="L145" s="23">
        <f t="shared" si="6"/>
        <v>2669.6428571428569</v>
      </c>
      <c r="M145" s="23">
        <f t="shared" si="7"/>
        <v>320.35714285714283</v>
      </c>
      <c r="N145" s="23">
        <v>2990</v>
      </c>
      <c r="O145" s="27" t="s">
        <v>599</v>
      </c>
      <c r="P145" s="25" t="s">
        <v>548</v>
      </c>
      <c r="Q145" s="25" t="s">
        <v>65</v>
      </c>
      <c r="R145">
        <v>0</v>
      </c>
    </row>
    <row r="146" spans="1:18" x14ac:dyDescent="0.3">
      <c r="A146" s="20">
        <v>45077</v>
      </c>
      <c r="B146" s="25" t="s">
        <v>535</v>
      </c>
      <c r="C146" s="25" t="s">
        <v>536</v>
      </c>
      <c r="D146" s="25" t="s">
        <v>537</v>
      </c>
      <c r="E146">
        <v>0</v>
      </c>
      <c r="F146">
        <v>0</v>
      </c>
      <c r="G146">
        <v>0</v>
      </c>
      <c r="H146">
        <v>0</v>
      </c>
      <c r="I146">
        <v>0</v>
      </c>
      <c r="J146" s="25" t="s">
        <v>539</v>
      </c>
      <c r="K146" s="25" t="s">
        <v>540</v>
      </c>
      <c r="L146" s="23">
        <f t="shared" si="6"/>
        <v>1071.4285714285713</v>
      </c>
      <c r="M146" s="23">
        <f t="shared" si="7"/>
        <v>128.57142857142856</v>
      </c>
      <c r="N146" s="23">
        <v>1200</v>
      </c>
      <c r="O146" s="27" t="s">
        <v>600</v>
      </c>
      <c r="P146" s="25" t="s">
        <v>335</v>
      </c>
      <c r="Q146" s="25" t="s">
        <v>225</v>
      </c>
      <c r="R146">
        <v>0</v>
      </c>
    </row>
    <row r="147" spans="1:18" x14ac:dyDescent="0.3">
      <c r="A147" s="20">
        <v>45079</v>
      </c>
      <c r="B147" s="25" t="s">
        <v>601</v>
      </c>
      <c r="C147" s="25" t="s">
        <v>602</v>
      </c>
      <c r="D147" s="25" t="s">
        <v>603</v>
      </c>
      <c r="E147" s="28" t="s">
        <v>604</v>
      </c>
      <c r="F147" s="25">
        <v>987980223</v>
      </c>
      <c r="G147" s="29">
        <v>7</v>
      </c>
      <c r="H147" s="29">
        <v>3</v>
      </c>
      <c r="I147" s="29" t="s">
        <v>605</v>
      </c>
      <c r="J147" s="25" t="s">
        <v>606</v>
      </c>
      <c r="K147" s="25" t="s">
        <v>326</v>
      </c>
      <c r="L147" s="23">
        <f>+N147/1.12</f>
        <v>624.99999999999989</v>
      </c>
      <c r="M147" s="23">
        <f>+L147*12%</f>
        <v>74.999999999999986</v>
      </c>
      <c r="N147" s="23">
        <v>700</v>
      </c>
      <c r="O147" s="27" t="s">
        <v>542</v>
      </c>
      <c r="P147" s="25" t="s">
        <v>543</v>
      </c>
      <c r="Q147" s="25" t="s">
        <v>225</v>
      </c>
      <c r="R147">
        <v>0</v>
      </c>
    </row>
    <row r="148" spans="1:18" x14ac:dyDescent="0.3">
      <c r="A148" s="20">
        <v>45080</v>
      </c>
      <c r="B148" s="25" t="s">
        <v>607</v>
      </c>
      <c r="C148" s="25" t="s">
        <v>608</v>
      </c>
      <c r="D148" s="25" t="s">
        <v>609</v>
      </c>
      <c r="E148" s="28" t="s">
        <v>610</v>
      </c>
      <c r="F148" s="25">
        <v>981391483</v>
      </c>
      <c r="G148" s="29">
        <v>10</v>
      </c>
      <c r="H148" s="29">
        <v>5</v>
      </c>
      <c r="I148" s="29" t="s">
        <v>611</v>
      </c>
      <c r="J148" s="25" t="s">
        <v>606</v>
      </c>
      <c r="K148" s="25" t="s">
        <v>538</v>
      </c>
      <c r="L148" s="23">
        <f t="shared" ref="L148:L197" si="8">+N148/1.12</f>
        <v>1991.0714285714284</v>
      </c>
      <c r="M148" s="23">
        <f t="shared" ref="M148:M197" si="9">+L148*12%</f>
        <v>238.92857142857142</v>
      </c>
      <c r="N148" s="23">
        <v>2230</v>
      </c>
      <c r="O148" s="27" t="s">
        <v>612</v>
      </c>
      <c r="P148" s="25" t="s">
        <v>68</v>
      </c>
      <c r="Q148" s="25" t="s">
        <v>225</v>
      </c>
      <c r="R148">
        <v>0</v>
      </c>
    </row>
    <row r="149" spans="1:18" x14ac:dyDescent="0.3">
      <c r="A149" s="20">
        <v>45081</v>
      </c>
      <c r="B149" s="25" t="s">
        <v>613</v>
      </c>
      <c r="C149" s="25" t="s">
        <v>614</v>
      </c>
      <c r="D149" s="25" t="s">
        <v>615</v>
      </c>
      <c r="E149" s="28" t="s">
        <v>616</v>
      </c>
      <c r="F149" s="25">
        <v>959299101</v>
      </c>
      <c r="G149" s="29">
        <v>10</v>
      </c>
      <c r="H149" s="29">
        <v>7</v>
      </c>
      <c r="I149" s="29" t="s">
        <v>617</v>
      </c>
      <c r="J149" s="25" t="s">
        <v>606</v>
      </c>
      <c r="K149" s="25" t="s">
        <v>326</v>
      </c>
      <c r="L149" s="23">
        <f t="shared" si="8"/>
        <v>2669.6428571428569</v>
      </c>
      <c r="M149" s="23">
        <f t="shared" si="9"/>
        <v>320.35714285714283</v>
      </c>
      <c r="N149" s="23">
        <v>2990</v>
      </c>
      <c r="O149" s="27" t="s">
        <v>618</v>
      </c>
      <c r="P149" s="25" t="s">
        <v>68</v>
      </c>
      <c r="Q149" s="25" t="s">
        <v>225</v>
      </c>
      <c r="R149">
        <v>0</v>
      </c>
    </row>
    <row r="150" spans="1:18" x14ac:dyDescent="0.3">
      <c r="A150" s="20">
        <v>45082</v>
      </c>
      <c r="B150" s="25" t="s">
        <v>619</v>
      </c>
      <c r="C150" s="25" t="s">
        <v>620</v>
      </c>
      <c r="D150" s="25" t="s">
        <v>621</v>
      </c>
      <c r="E150" s="28" t="s">
        <v>622</v>
      </c>
      <c r="F150" s="25">
        <v>999309191</v>
      </c>
      <c r="G150" s="29">
        <v>15</v>
      </c>
      <c r="H150" s="29">
        <v>10</v>
      </c>
      <c r="I150" s="29" t="s">
        <v>617</v>
      </c>
      <c r="J150" s="25" t="s">
        <v>606</v>
      </c>
      <c r="K150" s="25" t="s">
        <v>538</v>
      </c>
      <c r="L150" s="23">
        <f t="shared" si="8"/>
        <v>2677.6785714285711</v>
      </c>
      <c r="M150" s="23">
        <f t="shared" si="9"/>
        <v>321.3214285714285</v>
      </c>
      <c r="N150" s="23">
        <v>2999</v>
      </c>
      <c r="O150" s="27" t="s">
        <v>623</v>
      </c>
      <c r="P150" s="25" t="s">
        <v>624</v>
      </c>
      <c r="Q150" s="25" t="s">
        <v>65</v>
      </c>
      <c r="R150">
        <v>0</v>
      </c>
    </row>
    <row r="151" spans="1:18" x14ac:dyDescent="0.3">
      <c r="A151" s="20">
        <v>45083</v>
      </c>
      <c r="B151" s="25" t="s">
        <v>625</v>
      </c>
      <c r="C151" s="25" t="s">
        <v>626</v>
      </c>
      <c r="D151" s="25" t="s">
        <v>627</v>
      </c>
      <c r="E151" s="28" t="s">
        <v>628</v>
      </c>
      <c r="F151" s="25">
        <v>968554064</v>
      </c>
      <c r="G151" s="29">
        <v>5</v>
      </c>
      <c r="H151" s="29">
        <v>3</v>
      </c>
      <c r="I151" s="29" t="s">
        <v>605</v>
      </c>
      <c r="J151" s="25" t="s">
        <v>606</v>
      </c>
      <c r="K151" s="25" t="s">
        <v>538</v>
      </c>
      <c r="L151" s="23">
        <f t="shared" si="8"/>
        <v>624.99999999999989</v>
      </c>
      <c r="M151" s="23">
        <f t="shared" si="9"/>
        <v>74.999999999999986</v>
      </c>
      <c r="N151" s="23">
        <v>700</v>
      </c>
      <c r="O151" s="27" t="s">
        <v>629</v>
      </c>
      <c r="P151" s="25" t="s">
        <v>624</v>
      </c>
      <c r="Q151" s="25" t="s">
        <v>65</v>
      </c>
      <c r="R151">
        <v>0</v>
      </c>
    </row>
    <row r="152" spans="1:18" x14ac:dyDescent="0.3">
      <c r="A152" s="20">
        <v>45084</v>
      </c>
      <c r="B152" s="25" t="s">
        <v>630</v>
      </c>
      <c r="C152" s="25" t="s">
        <v>631</v>
      </c>
      <c r="D152" s="25" t="s">
        <v>632</v>
      </c>
      <c r="E152" s="28" t="s">
        <v>633</v>
      </c>
      <c r="F152" s="25">
        <v>980890448</v>
      </c>
      <c r="G152" s="29">
        <v>5</v>
      </c>
      <c r="H152" s="29">
        <v>2</v>
      </c>
      <c r="I152" s="29" t="s">
        <v>611</v>
      </c>
      <c r="J152" s="25" t="s">
        <v>606</v>
      </c>
      <c r="K152" s="25" t="s">
        <v>538</v>
      </c>
      <c r="L152" s="23">
        <f t="shared" si="8"/>
        <v>669.64285714285711</v>
      </c>
      <c r="M152" s="23">
        <f t="shared" si="9"/>
        <v>80.357142857142847</v>
      </c>
      <c r="N152" s="23">
        <v>750</v>
      </c>
      <c r="O152" s="27" t="s">
        <v>634</v>
      </c>
      <c r="P152" s="25" t="s">
        <v>635</v>
      </c>
      <c r="Q152" s="25" t="s">
        <v>636</v>
      </c>
      <c r="R152">
        <v>0</v>
      </c>
    </row>
    <row r="153" spans="1:18" x14ac:dyDescent="0.3">
      <c r="A153" s="20">
        <v>45085</v>
      </c>
      <c r="B153" s="25" t="s">
        <v>637</v>
      </c>
      <c r="C153" s="25" t="s">
        <v>638</v>
      </c>
      <c r="D153" s="25" t="s">
        <v>639</v>
      </c>
      <c r="E153" s="28" t="s">
        <v>640</v>
      </c>
      <c r="F153" s="25">
        <v>960292002</v>
      </c>
      <c r="G153" s="29">
        <v>5</v>
      </c>
      <c r="H153" s="29">
        <v>3</v>
      </c>
      <c r="I153" s="29" t="s">
        <v>605</v>
      </c>
      <c r="J153" s="25" t="s">
        <v>606</v>
      </c>
      <c r="K153" s="25" t="s">
        <v>326</v>
      </c>
      <c r="L153" s="23">
        <f t="shared" si="8"/>
        <v>892.85714285714278</v>
      </c>
      <c r="M153" s="23">
        <f t="shared" si="9"/>
        <v>107.14285714285712</v>
      </c>
      <c r="N153" s="23">
        <v>1000</v>
      </c>
      <c r="O153" s="27" t="s">
        <v>641</v>
      </c>
      <c r="P153" s="25" t="s">
        <v>62</v>
      </c>
      <c r="Q153" s="25" t="s">
        <v>225</v>
      </c>
      <c r="R153">
        <v>0</v>
      </c>
    </row>
    <row r="154" spans="1:18" x14ac:dyDescent="0.3">
      <c r="A154" s="20">
        <v>45086</v>
      </c>
      <c r="B154" s="25" t="s">
        <v>642</v>
      </c>
      <c r="C154" s="25" t="s">
        <v>643</v>
      </c>
      <c r="D154" s="25" t="s">
        <v>644</v>
      </c>
      <c r="E154" s="28" t="s">
        <v>645</v>
      </c>
      <c r="F154" s="25">
        <v>984281805</v>
      </c>
      <c r="G154" s="29">
        <v>5</v>
      </c>
      <c r="H154" s="29">
        <v>5</v>
      </c>
      <c r="I154" s="29" t="s">
        <v>617</v>
      </c>
      <c r="J154" s="25" t="s">
        <v>606</v>
      </c>
      <c r="K154" s="25" t="s">
        <v>332</v>
      </c>
      <c r="L154" s="23">
        <f t="shared" si="8"/>
        <v>1160.7142857142856</v>
      </c>
      <c r="M154" s="23">
        <f t="shared" si="9"/>
        <v>139.28571428571425</v>
      </c>
      <c r="N154" s="23">
        <v>1300</v>
      </c>
      <c r="O154" s="27" t="s">
        <v>646</v>
      </c>
      <c r="P154" s="25" t="s">
        <v>569</v>
      </c>
      <c r="Q154" s="25" t="s">
        <v>63</v>
      </c>
      <c r="R154">
        <v>0</v>
      </c>
    </row>
    <row r="155" spans="1:18" x14ac:dyDescent="0.3">
      <c r="A155" s="20">
        <v>45086</v>
      </c>
      <c r="B155" s="25" t="s">
        <v>647</v>
      </c>
      <c r="C155" s="25" t="s">
        <v>648</v>
      </c>
      <c r="D155" s="25" t="s">
        <v>649</v>
      </c>
      <c r="E155" s="28" t="s">
        <v>650</v>
      </c>
      <c r="F155" s="25">
        <v>978928009</v>
      </c>
      <c r="G155" s="29" t="s">
        <v>651</v>
      </c>
      <c r="H155" s="29">
        <v>1</v>
      </c>
      <c r="I155" s="29" t="s">
        <v>605</v>
      </c>
      <c r="J155" s="25" t="s">
        <v>606</v>
      </c>
      <c r="K155" s="25" t="s">
        <v>538</v>
      </c>
      <c r="L155" s="23">
        <f t="shared" si="8"/>
        <v>133.92857142857142</v>
      </c>
      <c r="M155" s="23">
        <f t="shared" si="9"/>
        <v>16.071428571428569</v>
      </c>
      <c r="N155" s="30">
        <v>150</v>
      </c>
      <c r="O155" s="27" t="s">
        <v>652</v>
      </c>
      <c r="P155" s="25" t="s">
        <v>635</v>
      </c>
      <c r="Q155" s="25" t="s">
        <v>636</v>
      </c>
      <c r="R155">
        <v>0</v>
      </c>
    </row>
    <row r="156" spans="1:18" x14ac:dyDescent="0.3">
      <c r="A156" s="20">
        <v>45083</v>
      </c>
      <c r="B156" s="25" t="s">
        <v>653</v>
      </c>
      <c r="C156" s="25" t="s">
        <v>654</v>
      </c>
      <c r="D156" s="25" t="s">
        <v>655</v>
      </c>
      <c r="E156" s="28" t="s">
        <v>656</v>
      </c>
      <c r="F156" s="25">
        <v>995389533</v>
      </c>
      <c r="G156" s="29">
        <v>8</v>
      </c>
      <c r="H156" s="29">
        <v>5</v>
      </c>
      <c r="I156" s="29" t="s">
        <v>611</v>
      </c>
      <c r="J156" s="25" t="s">
        <v>606</v>
      </c>
      <c r="K156" s="25" t="s">
        <v>657</v>
      </c>
      <c r="L156" s="23">
        <f t="shared" si="8"/>
        <v>1339.2857142857142</v>
      </c>
      <c r="M156" s="23">
        <f t="shared" si="9"/>
        <v>160.71428571428569</v>
      </c>
      <c r="N156" s="23">
        <v>1500</v>
      </c>
      <c r="O156" s="27" t="s">
        <v>658</v>
      </c>
      <c r="P156" s="25" t="s">
        <v>68</v>
      </c>
      <c r="Q156" s="25" t="s">
        <v>63</v>
      </c>
      <c r="R156">
        <v>0</v>
      </c>
    </row>
    <row r="157" spans="1:18" x14ac:dyDescent="0.3">
      <c r="A157" s="20">
        <v>45084</v>
      </c>
      <c r="B157" s="25" t="s">
        <v>659</v>
      </c>
      <c r="C157" s="25" t="s">
        <v>660</v>
      </c>
      <c r="D157" s="25" t="s">
        <v>661</v>
      </c>
      <c r="E157" s="28" t="s">
        <v>662</v>
      </c>
      <c r="F157" s="25">
        <v>999504978</v>
      </c>
      <c r="G157" s="29">
        <v>9</v>
      </c>
      <c r="H157" s="29">
        <v>5</v>
      </c>
      <c r="I157" s="29" t="s">
        <v>617</v>
      </c>
      <c r="J157" s="25" t="s">
        <v>606</v>
      </c>
      <c r="K157" s="25" t="s">
        <v>326</v>
      </c>
      <c r="L157" s="23">
        <f t="shared" si="8"/>
        <v>89.285714285714278</v>
      </c>
      <c r="M157" s="23">
        <f t="shared" si="9"/>
        <v>10.714285714285714</v>
      </c>
      <c r="N157" s="23">
        <v>100</v>
      </c>
      <c r="O157" s="25" t="s">
        <v>663</v>
      </c>
      <c r="P157" s="25" t="s">
        <v>569</v>
      </c>
      <c r="Q157" s="25" t="s">
        <v>636</v>
      </c>
      <c r="R157">
        <v>0</v>
      </c>
    </row>
    <row r="158" spans="1:18" x14ac:dyDescent="0.3">
      <c r="A158" s="20">
        <v>45084</v>
      </c>
      <c r="B158" s="25" t="s">
        <v>664</v>
      </c>
      <c r="C158" s="25" t="s">
        <v>665</v>
      </c>
      <c r="D158" s="25" t="s">
        <v>666</v>
      </c>
      <c r="E158" s="28" t="s">
        <v>667</v>
      </c>
      <c r="F158" s="25">
        <v>998775484</v>
      </c>
      <c r="G158" s="29">
        <v>5</v>
      </c>
      <c r="H158" s="29">
        <v>3</v>
      </c>
      <c r="I158" s="29" t="s">
        <v>617</v>
      </c>
      <c r="J158" s="25" t="s">
        <v>606</v>
      </c>
      <c r="K158" s="25" t="s">
        <v>211</v>
      </c>
      <c r="L158" s="23">
        <f t="shared" si="8"/>
        <v>44.642857142857139</v>
      </c>
      <c r="M158" s="23">
        <f t="shared" si="9"/>
        <v>5.3571428571428568</v>
      </c>
      <c r="N158" s="23">
        <v>50</v>
      </c>
      <c r="O158" s="27" t="s">
        <v>668</v>
      </c>
      <c r="P158" s="25" t="s">
        <v>68</v>
      </c>
      <c r="Q158" s="25" t="s">
        <v>65</v>
      </c>
      <c r="R158">
        <v>0</v>
      </c>
    </row>
    <row r="159" spans="1:18" x14ac:dyDescent="0.3">
      <c r="A159" s="20">
        <v>45085</v>
      </c>
      <c r="B159" s="25" t="s">
        <v>669</v>
      </c>
      <c r="C159" s="25" t="s">
        <v>670</v>
      </c>
      <c r="D159" s="25" t="s">
        <v>671</v>
      </c>
      <c r="E159" s="28" t="s">
        <v>672</v>
      </c>
      <c r="F159" s="25">
        <v>995187637</v>
      </c>
      <c r="G159" s="29">
        <v>6</v>
      </c>
      <c r="H159" s="29">
        <v>4</v>
      </c>
      <c r="I159" s="29" t="s">
        <v>605</v>
      </c>
      <c r="J159" s="25" t="s">
        <v>606</v>
      </c>
      <c r="K159" s="25" t="s">
        <v>538</v>
      </c>
      <c r="L159" s="23">
        <f t="shared" si="8"/>
        <v>223.21428571428569</v>
      </c>
      <c r="M159" s="23">
        <f t="shared" si="9"/>
        <v>26.785714285714281</v>
      </c>
      <c r="N159" s="23">
        <v>250</v>
      </c>
      <c r="O159" s="27" t="s">
        <v>673</v>
      </c>
      <c r="P159" s="25" t="s">
        <v>339</v>
      </c>
      <c r="Q159" s="25" t="s">
        <v>63</v>
      </c>
      <c r="R159">
        <v>0</v>
      </c>
    </row>
    <row r="160" spans="1:18" x14ac:dyDescent="0.3">
      <c r="A160" s="20">
        <v>45085</v>
      </c>
      <c r="B160" s="25" t="s">
        <v>674</v>
      </c>
      <c r="C160" s="25" t="s">
        <v>675</v>
      </c>
      <c r="D160" s="25" t="s">
        <v>676</v>
      </c>
      <c r="E160" s="28" t="s">
        <v>677</v>
      </c>
      <c r="F160" s="25">
        <v>984231553</v>
      </c>
      <c r="G160" s="29">
        <v>5</v>
      </c>
      <c r="H160" s="29">
        <v>3</v>
      </c>
      <c r="I160" s="29" t="s">
        <v>617</v>
      </c>
      <c r="J160" s="25" t="s">
        <v>606</v>
      </c>
      <c r="K160" s="25" t="s">
        <v>678</v>
      </c>
      <c r="L160" s="23">
        <f t="shared" si="8"/>
        <v>1428.5714285714284</v>
      </c>
      <c r="M160" s="23">
        <f t="shared" si="9"/>
        <v>171.42857142857142</v>
      </c>
      <c r="N160" s="23">
        <v>1600</v>
      </c>
      <c r="O160" s="27" t="s">
        <v>679</v>
      </c>
      <c r="P160" s="25" t="s">
        <v>680</v>
      </c>
      <c r="Q160" s="25" t="s">
        <v>225</v>
      </c>
      <c r="R160">
        <v>0</v>
      </c>
    </row>
    <row r="161" spans="1:18" x14ac:dyDescent="0.3">
      <c r="A161" s="20">
        <v>45085</v>
      </c>
      <c r="B161" s="25" t="s">
        <v>681</v>
      </c>
      <c r="C161" s="25" t="s">
        <v>682</v>
      </c>
      <c r="D161" s="25" t="s">
        <v>683</v>
      </c>
      <c r="E161" s="28">
        <v>1311180036</v>
      </c>
      <c r="F161" s="25">
        <v>969488279</v>
      </c>
      <c r="G161" s="29">
        <v>7</v>
      </c>
      <c r="H161" s="29">
        <v>5</v>
      </c>
      <c r="I161" s="29" t="s">
        <v>605</v>
      </c>
      <c r="J161" s="25" t="s">
        <v>606</v>
      </c>
      <c r="K161" s="25" t="s">
        <v>538</v>
      </c>
      <c r="L161" s="23">
        <f t="shared" si="8"/>
        <v>535.71428571428567</v>
      </c>
      <c r="M161" s="23">
        <f t="shared" si="9"/>
        <v>64.285714285714278</v>
      </c>
      <c r="N161" s="23">
        <v>600</v>
      </c>
      <c r="O161" s="27" t="s">
        <v>684</v>
      </c>
      <c r="P161" s="25" t="s">
        <v>62</v>
      </c>
      <c r="Q161" s="25" t="s">
        <v>348</v>
      </c>
      <c r="R161">
        <v>0</v>
      </c>
    </row>
    <row r="162" spans="1:18" x14ac:dyDescent="0.3">
      <c r="A162" s="20">
        <v>45085</v>
      </c>
      <c r="B162" s="25" t="s">
        <v>685</v>
      </c>
      <c r="C162" s="25" t="s">
        <v>686</v>
      </c>
      <c r="D162" s="25" t="s">
        <v>687</v>
      </c>
      <c r="E162" s="28" t="s">
        <v>688</v>
      </c>
      <c r="F162" s="25">
        <v>988052463</v>
      </c>
      <c r="G162" s="29">
        <v>10</v>
      </c>
      <c r="H162" s="29">
        <v>7</v>
      </c>
      <c r="I162" s="29" t="s">
        <v>617</v>
      </c>
      <c r="J162" s="25" t="s">
        <v>606</v>
      </c>
      <c r="K162" s="25" t="s">
        <v>689</v>
      </c>
      <c r="L162" s="23">
        <f t="shared" si="8"/>
        <v>2669.6428571428569</v>
      </c>
      <c r="M162" s="23">
        <f t="shared" si="9"/>
        <v>320.35714285714283</v>
      </c>
      <c r="N162" s="23">
        <v>2990</v>
      </c>
      <c r="O162" s="27" t="s">
        <v>690</v>
      </c>
      <c r="P162" s="25" t="s">
        <v>691</v>
      </c>
      <c r="Q162" s="25" t="s">
        <v>58</v>
      </c>
      <c r="R162">
        <v>0</v>
      </c>
    </row>
    <row r="163" spans="1:18" x14ac:dyDescent="0.3">
      <c r="A163" s="20">
        <v>45086</v>
      </c>
      <c r="B163" s="25" t="s">
        <v>692</v>
      </c>
      <c r="C163" s="25" t="s">
        <v>693</v>
      </c>
      <c r="D163" s="25" t="s">
        <v>694</v>
      </c>
      <c r="E163" s="28" t="s">
        <v>695</v>
      </c>
      <c r="F163" s="25">
        <v>994015830</v>
      </c>
      <c r="G163" s="29">
        <v>10</v>
      </c>
      <c r="H163" s="29">
        <v>7</v>
      </c>
      <c r="I163" s="29" t="s">
        <v>617</v>
      </c>
      <c r="J163" s="25" t="s">
        <v>606</v>
      </c>
      <c r="K163" s="25" t="s">
        <v>211</v>
      </c>
      <c r="L163" s="23">
        <f t="shared" si="8"/>
        <v>1776.7857142857142</v>
      </c>
      <c r="M163" s="23">
        <f t="shared" si="9"/>
        <v>213.21428571428569</v>
      </c>
      <c r="N163" s="23">
        <v>1990</v>
      </c>
      <c r="O163" s="27" t="s">
        <v>696</v>
      </c>
      <c r="P163" s="25" t="s">
        <v>548</v>
      </c>
      <c r="Q163" s="25" t="s">
        <v>63</v>
      </c>
      <c r="R163">
        <v>0</v>
      </c>
    </row>
    <row r="164" spans="1:18" x14ac:dyDescent="0.3">
      <c r="A164" s="20">
        <v>45087</v>
      </c>
      <c r="B164" s="25" t="s">
        <v>697</v>
      </c>
      <c r="C164" s="25" t="s">
        <v>698</v>
      </c>
      <c r="D164" s="25" t="s">
        <v>699</v>
      </c>
      <c r="E164" s="28" t="s">
        <v>700</v>
      </c>
      <c r="F164" s="25">
        <v>983406628</v>
      </c>
      <c r="G164" s="29">
        <v>5</v>
      </c>
      <c r="H164" s="29">
        <v>3</v>
      </c>
      <c r="I164" s="29" t="s">
        <v>605</v>
      </c>
      <c r="J164" s="25" t="s">
        <v>606</v>
      </c>
      <c r="K164" s="25" t="s">
        <v>689</v>
      </c>
      <c r="L164" s="23">
        <f t="shared" si="8"/>
        <v>624.99999999999989</v>
      </c>
      <c r="M164" s="23">
        <f t="shared" si="9"/>
        <v>74.999999999999986</v>
      </c>
      <c r="N164" s="23">
        <v>700</v>
      </c>
      <c r="O164" s="27" t="s">
        <v>701</v>
      </c>
      <c r="P164" s="25" t="s">
        <v>691</v>
      </c>
      <c r="Q164" s="25" t="s">
        <v>58</v>
      </c>
      <c r="R164">
        <v>0</v>
      </c>
    </row>
    <row r="165" spans="1:18" x14ac:dyDescent="0.3">
      <c r="A165" s="20">
        <v>45087</v>
      </c>
      <c r="B165" s="25" t="s">
        <v>702</v>
      </c>
      <c r="C165" s="25" t="s">
        <v>703</v>
      </c>
      <c r="D165" s="25" t="s">
        <v>704</v>
      </c>
      <c r="E165" s="28" t="s">
        <v>705</v>
      </c>
      <c r="F165" s="25">
        <v>989550913</v>
      </c>
      <c r="G165" s="29">
        <v>7</v>
      </c>
      <c r="H165" s="29">
        <v>5</v>
      </c>
      <c r="I165" s="29" t="s">
        <v>605</v>
      </c>
      <c r="J165" s="25" t="s">
        <v>606</v>
      </c>
      <c r="K165" s="25" t="s">
        <v>211</v>
      </c>
      <c r="L165" s="23">
        <f t="shared" si="8"/>
        <v>1776.7857142857142</v>
      </c>
      <c r="M165" s="23">
        <f t="shared" si="9"/>
        <v>213.21428571428569</v>
      </c>
      <c r="N165" s="23">
        <v>1990</v>
      </c>
      <c r="O165" s="27" t="s">
        <v>706</v>
      </c>
      <c r="P165" s="25" t="s">
        <v>68</v>
      </c>
      <c r="Q165" s="25" t="s">
        <v>225</v>
      </c>
      <c r="R165">
        <v>0</v>
      </c>
    </row>
    <row r="166" spans="1:18" x14ac:dyDescent="0.3">
      <c r="A166" s="20">
        <v>45087</v>
      </c>
      <c r="B166" s="25" t="s">
        <v>707</v>
      </c>
      <c r="C166" s="25" t="s">
        <v>708</v>
      </c>
      <c r="D166" s="25" t="s">
        <v>709</v>
      </c>
      <c r="E166" s="28" t="s">
        <v>710</v>
      </c>
      <c r="F166" s="25">
        <v>984479731</v>
      </c>
      <c r="G166" s="29">
        <v>7</v>
      </c>
      <c r="H166" s="29">
        <v>5</v>
      </c>
      <c r="I166" s="29" t="s">
        <v>617</v>
      </c>
      <c r="J166" s="25" t="s">
        <v>606</v>
      </c>
      <c r="K166" s="25" t="s">
        <v>326</v>
      </c>
      <c r="L166" s="23">
        <f t="shared" si="8"/>
        <v>1071.4285714285713</v>
      </c>
      <c r="M166" s="23">
        <f t="shared" si="9"/>
        <v>128.57142857142856</v>
      </c>
      <c r="N166" s="23">
        <v>1200</v>
      </c>
      <c r="O166" s="27" t="s">
        <v>711</v>
      </c>
      <c r="P166" s="25" t="s">
        <v>680</v>
      </c>
      <c r="Q166" s="25" t="s">
        <v>225</v>
      </c>
      <c r="R166">
        <v>0</v>
      </c>
    </row>
    <row r="167" spans="1:18" x14ac:dyDescent="0.3">
      <c r="A167" s="20">
        <v>45087</v>
      </c>
      <c r="B167" s="25" t="s">
        <v>712</v>
      </c>
      <c r="C167" s="25" t="s">
        <v>713</v>
      </c>
      <c r="D167" s="25" t="s">
        <v>714</v>
      </c>
      <c r="E167" s="28" t="s">
        <v>715</v>
      </c>
      <c r="F167" s="25">
        <v>964086612</v>
      </c>
      <c r="G167" s="29">
        <v>10</v>
      </c>
      <c r="H167" s="29">
        <v>5</v>
      </c>
      <c r="I167" s="29" t="s">
        <v>617</v>
      </c>
      <c r="J167" s="25" t="s">
        <v>606</v>
      </c>
      <c r="K167" s="25" t="s">
        <v>716</v>
      </c>
      <c r="L167" s="23">
        <f t="shared" si="8"/>
        <v>1776.7857142857142</v>
      </c>
      <c r="M167" s="23">
        <f t="shared" si="9"/>
        <v>213.21428571428569</v>
      </c>
      <c r="N167" s="23">
        <v>1990</v>
      </c>
      <c r="O167" s="27" t="s">
        <v>717</v>
      </c>
      <c r="P167" s="25" t="s">
        <v>548</v>
      </c>
      <c r="Q167" s="25" t="s">
        <v>63</v>
      </c>
      <c r="R167">
        <v>0</v>
      </c>
    </row>
    <row r="168" spans="1:18" x14ac:dyDescent="0.3">
      <c r="A168" s="20">
        <v>45087</v>
      </c>
      <c r="B168" s="25" t="s">
        <v>718</v>
      </c>
      <c r="C168" s="25" t="s">
        <v>719</v>
      </c>
      <c r="D168" s="25" t="s">
        <v>720</v>
      </c>
      <c r="E168" s="28" t="s">
        <v>721</v>
      </c>
      <c r="F168" s="25">
        <v>996421564</v>
      </c>
      <c r="G168" s="29">
        <v>10</v>
      </c>
      <c r="H168" s="29">
        <v>10</v>
      </c>
      <c r="I168" s="29" t="s">
        <v>617</v>
      </c>
      <c r="J168" s="25" t="s">
        <v>606</v>
      </c>
      <c r="K168" s="25" t="s">
        <v>722</v>
      </c>
      <c r="L168" s="23">
        <f t="shared" si="8"/>
        <v>2669.6428571428569</v>
      </c>
      <c r="M168" s="23">
        <f t="shared" si="9"/>
        <v>320.35714285714283</v>
      </c>
      <c r="N168" s="23">
        <v>2990</v>
      </c>
      <c r="O168" s="27" t="s">
        <v>723</v>
      </c>
      <c r="P168" s="25" t="s">
        <v>68</v>
      </c>
      <c r="Q168" s="25" t="s">
        <v>225</v>
      </c>
      <c r="R168">
        <v>0</v>
      </c>
    </row>
    <row r="169" spans="1:18" x14ac:dyDescent="0.3">
      <c r="A169" s="31" t="s">
        <v>724</v>
      </c>
      <c r="B169" s="25" t="s">
        <v>725</v>
      </c>
      <c r="C169" s="25" t="s">
        <v>726</v>
      </c>
      <c r="D169" s="25" t="s">
        <v>727</v>
      </c>
      <c r="E169" s="28" t="s">
        <v>728</v>
      </c>
      <c r="F169" s="25">
        <v>991881380</v>
      </c>
      <c r="G169" s="29">
        <v>5</v>
      </c>
      <c r="H169" s="29">
        <v>3</v>
      </c>
      <c r="I169" s="29" t="s">
        <v>617</v>
      </c>
      <c r="J169" s="25" t="s">
        <v>606</v>
      </c>
      <c r="K169" s="25" t="s">
        <v>729</v>
      </c>
      <c r="L169" s="23">
        <f>+N169/1.12</f>
        <v>937.49999999999989</v>
      </c>
      <c r="M169" s="23">
        <f t="shared" si="9"/>
        <v>112.49999999999999</v>
      </c>
      <c r="N169" s="23">
        <v>1050</v>
      </c>
      <c r="O169" s="27" t="s">
        <v>730</v>
      </c>
      <c r="P169" s="25" t="s">
        <v>731</v>
      </c>
      <c r="Q169" s="25" t="s">
        <v>65</v>
      </c>
      <c r="R169">
        <v>0</v>
      </c>
    </row>
    <row r="170" spans="1:18" x14ac:dyDescent="0.3">
      <c r="A170" s="20">
        <v>45091</v>
      </c>
      <c r="B170" s="25" t="s">
        <v>732</v>
      </c>
      <c r="C170" s="25" t="s">
        <v>733</v>
      </c>
      <c r="D170" s="25" t="s">
        <v>734</v>
      </c>
      <c r="E170" s="28" t="s">
        <v>735</v>
      </c>
      <c r="F170" s="25">
        <v>981940881</v>
      </c>
      <c r="G170" s="29">
        <v>6</v>
      </c>
      <c r="H170" s="29">
        <v>4</v>
      </c>
      <c r="I170" s="29" t="s">
        <v>605</v>
      </c>
      <c r="J170" s="25" t="s">
        <v>606</v>
      </c>
      <c r="K170" s="25" t="s">
        <v>736</v>
      </c>
      <c r="L170" s="23">
        <f t="shared" si="8"/>
        <v>892.85714285714278</v>
      </c>
      <c r="M170" s="23">
        <f t="shared" si="9"/>
        <v>107.14285714285712</v>
      </c>
      <c r="N170" s="23">
        <v>1000</v>
      </c>
      <c r="O170" s="27" t="s">
        <v>737</v>
      </c>
      <c r="P170" s="25" t="s">
        <v>224</v>
      </c>
      <c r="Q170" s="25" t="s">
        <v>225</v>
      </c>
      <c r="R170">
        <v>0</v>
      </c>
    </row>
    <row r="171" spans="1:18" x14ac:dyDescent="0.3">
      <c r="A171" s="20">
        <v>45091</v>
      </c>
      <c r="B171" s="25" t="s">
        <v>738</v>
      </c>
      <c r="C171" s="25" t="s">
        <v>739</v>
      </c>
      <c r="D171" s="25" t="s">
        <v>740</v>
      </c>
      <c r="E171" s="28" t="s">
        <v>741</v>
      </c>
      <c r="F171" s="25">
        <v>999513185</v>
      </c>
      <c r="G171" s="29">
        <v>7</v>
      </c>
      <c r="H171" s="29">
        <v>5</v>
      </c>
      <c r="I171" s="29" t="s">
        <v>617</v>
      </c>
      <c r="J171" s="25" t="s">
        <v>606</v>
      </c>
      <c r="K171" s="25" t="s">
        <v>742</v>
      </c>
      <c r="L171" s="23">
        <f t="shared" si="8"/>
        <v>1339.2857142857142</v>
      </c>
      <c r="M171" s="23">
        <f t="shared" si="9"/>
        <v>160.71428571428569</v>
      </c>
      <c r="N171" s="23">
        <v>1500</v>
      </c>
      <c r="O171" s="27" t="s">
        <v>743</v>
      </c>
      <c r="P171" s="25" t="s">
        <v>62</v>
      </c>
      <c r="Q171" s="25" t="s">
        <v>58</v>
      </c>
      <c r="R171">
        <v>0</v>
      </c>
    </row>
    <row r="172" spans="1:18" x14ac:dyDescent="0.3">
      <c r="A172" s="20">
        <v>45091</v>
      </c>
      <c r="B172" s="25" t="s">
        <v>744</v>
      </c>
      <c r="C172" s="25" t="s">
        <v>745</v>
      </c>
      <c r="D172" s="25" t="s">
        <v>746</v>
      </c>
      <c r="E172" s="28" t="s">
        <v>747</v>
      </c>
      <c r="F172" s="25">
        <v>999711031</v>
      </c>
      <c r="G172" s="29">
        <v>10</v>
      </c>
      <c r="H172" s="29">
        <v>10</v>
      </c>
      <c r="I172" s="29" t="s">
        <v>605</v>
      </c>
      <c r="J172" s="25" t="s">
        <v>606</v>
      </c>
      <c r="K172" s="25" t="s">
        <v>538</v>
      </c>
      <c r="L172" s="23">
        <f t="shared" si="8"/>
        <v>2669.6428571428569</v>
      </c>
      <c r="M172" s="23">
        <f t="shared" si="9"/>
        <v>320.35714285714283</v>
      </c>
      <c r="N172" s="23">
        <v>2990</v>
      </c>
      <c r="O172" s="27" t="s">
        <v>748</v>
      </c>
      <c r="P172" s="25" t="s">
        <v>68</v>
      </c>
      <c r="Q172" s="25" t="s">
        <v>337</v>
      </c>
      <c r="R172">
        <v>0</v>
      </c>
    </row>
    <row r="173" spans="1:18" x14ac:dyDescent="0.3">
      <c r="A173" s="20">
        <v>45091</v>
      </c>
      <c r="B173" s="25" t="s">
        <v>749</v>
      </c>
      <c r="C173" s="25" t="s">
        <v>750</v>
      </c>
      <c r="D173" s="25" t="s">
        <v>751</v>
      </c>
      <c r="E173" s="28" t="s">
        <v>752</v>
      </c>
      <c r="F173" s="25">
        <v>995039279</v>
      </c>
      <c r="G173" s="29">
        <v>5</v>
      </c>
      <c r="H173" s="29">
        <v>2</v>
      </c>
      <c r="I173" s="29" t="s">
        <v>605</v>
      </c>
      <c r="J173" s="25" t="s">
        <v>606</v>
      </c>
      <c r="K173" s="25" t="s">
        <v>538</v>
      </c>
      <c r="L173" s="23">
        <f t="shared" si="8"/>
        <v>624.99999999999989</v>
      </c>
      <c r="M173" s="23">
        <f>+L173*12%</f>
        <v>74.999999999999986</v>
      </c>
      <c r="N173" s="23">
        <v>700</v>
      </c>
      <c r="O173" s="27" t="s">
        <v>753</v>
      </c>
      <c r="P173" s="25" t="s">
        <v>569</v>
      </c>
      <c r="Q173" s="25" t="s">
        <v>63</v>
      </c>
      <c r="R173">
        <v>0</v>
      </c>
    </row>
    <row r="174" spans="1:18" x14ac:dyDescent="0.3">
      <c r="A174" s="20">
        <v>45092</v>
      </c>
      <c r="B174" s="25" t="s">
        <v>754</v>
      </c>
      <c r="C174" s="25" t="s">
        <v>755</v>
      </c>
      <c r="D174" s="25" t="s">
        <v>756</v>
      </c>
      <c r="E174" s="28" t="s">
        <v>757</v>
      </c>
      <c r="F174" s="25">
        <v>968543821</v>
      </c>
      <c r="G174" s="29">
        <v>6</v>
      </c>
      <c r="H174" s="29">
        <v>2</v>
      </c>
      <c r="I174" s="29" t="s">
        <v>605</v>
      </c>
      <c r="J174" s="25" t="s">
        <v>606</v>
      </c>
      <c r="K174" s="25" t="s">
        <v>538</v>
      </c>
      <c r="L174" s="23">
        <f t="shared" si="8"/>
        <v>624.99999999999989</v>
      </c>
      <c r="M174" s="23">
        <f t="shared" si="9"/>
        <v>74.999999999999986</v>
      </c>
      <c r="N174" s="23">
        <v>700</v>
      </c>
      <c r="O174" s="27" t="s">
        <v>758</v>
      </c>
      <c r="P174" s="25" t="s">
        <v>548</v>
      </c>
      <c r="Q174" s="25" t="s">
        <v>63</v>
      </c>
      <c r="R174">
        <v>0</v>
      </c>
    </row>
    <row r="175" spans="1:18" x14ac:dyDescent="0.3">
      <c r="A175" s="20">
        <v>45092</v>
      </c>
      <c r="B175" s="25" t="s">
        <v>759</v>
      </c>
      <c r="C175" s="25" t="s">
        <v>760</v>
      </c>
      <c r="D175" s="25" t="s">
        <v>761</v>
      </c>
      <c r="E175" s="28" t="s">
        <v>762</v>
      </c>
      <c r="F175" s="25">
        <v>994908262</v>
      </c>
      <c r="G175" s="29">
        <v>5</v>
      </c>
      <c r="H175" s="29">
        <v>5</v>
      </c>
      <c r="I175" s="29" t="s">
        <v>605</v>
      </c>
      <c r="J175" s="25" t="s">
        <v>606</v>
      </c>
      <c r="K175" s="25" t="s">
        <v>538</v>
      </c>
      <c r="L175" s="23">
        <f t="shared" si="8"/>
        <v>1339.2857142857142</v>
      </c>
      <c r="M175" s="23">
        <f t="shared" si="9"/>
        <v>160.71428571428569</v>
      </c>
      <c r="N175" s="23">
        <v>1500</v>
      </c>
      <c r="O175" s="27" t="s">
        <v>763</v>
      </c>
      <c r="P175" s="25" t="s">
        <v>68</v>
      </c>
      <c r="Q175" s="25" t="s">
        <v>65</v>
      </c>
      <c r="R175">
        <v>0</v>
      </c>
    </row>
    <row r="176" spans="1:18" x14ac:dyDescent="0.3">
      <c r="A176" s="20">
        <v>45093</v>
      </c>
      <c r="B176" s="25" t="s">
        <v>764</v>
      </c>
      <c r="C176" s="25" t="s">
        <v>765</v>
      </c>
      <c r="D176" s="25" t="s">
        <v>766</v>
      </c>
      <c r="E176" s="28" t="s">
        <v>767</v>
      </c>
      <c r="F176" s="25">
        <v>901770755</v>
      </c>
      <c r="G176" s="29">
        <v>5</v>
      </c>
      <c r="H176" s="29">
        <v>3</v>
      </c>
      <c r="I176" s="29" t="s">
        <v>605</v>
      </c>
      <c r="J176" s="25" t="s">
        <v>606</v>
      </c>
      <c r="K176" s="25" t="s">
        <v>538</v>
      </c>
      <c r="L176" s="23">
        <f t="shared" si="8"/>
        <v>892.85714285714278</v>
      </c>
      <c r="M176" s="23">
        <f t="shared" si="9"/>
        <v>107.14285714285712</v>
      </c>
      <c r="N176" s="23">
        <v>1000</v>
      </c>
      <c r="O176" s="27" t="s">
        <v>768</v>
      </c>
      <c r="P176" s="25" t="s">
        <v>62</v>
      </c>
      <c r="Q176" s="25" t="s">
        <v>225</v>
      </c>
      <c r="R176">
        <v>0</v>
      </c>
    </row>
    <row r="177" spans="1:18" x14ac:dyDescent="0.3">
      <c r="A177" s="20">
        <v>45094</v>
      </c>
      <c r="B177" s="25" t="s">
        <v>769</v>
      </c>
      <c r="C177" s="25" t="s">
        <v>282</v>
      </c>
      <c r="D177" s="25" t="s">
        <v>283</v>
      </c>
      <c r="E177" s="28" t="s">
        <v>770</v>
      </c>
      <c r="F177" s="25">
        <v>993643211</v>
      </c>
      <c r="G177" s="29"/>
      <c r="H177" s="29"/>
      <c r="I177" s="29" t="s">
        <v>771</v>
      </c>
      <c r="J177" s="25" t="s">
        <v>606</v>
      </c>
      <c r="K177" s="25" t="s">
        <v>332</v>
      </c>
      <c r="L177" s="23">
        <f t="shared" si="8"/>
        <v>3124.9999999999995</v>
      </c>
      <c r="M177" s="23">
        <f t="shared" si="9"/>
        <v>374.99999999999994</v>
      </c>
      <c r="N177" s="23">
        <v>3500</v>
      </c>
      <c r="O177" s="27" t="s">
        <v>772</v>
      </c>
      <c r="P177" s="25" t="s">
        <v>224</v>
      </c>
      <c r="Q177" s="25" t="s">
        <v>358</v>
      </c>
      <c r="R177">
        <v>0</v>
      </c>
    </row>
    <row r="178" spans="1:18" x14ac:dyDescent="0.3">
      <c r="A178" s="20">
        <v>45094</v>
      </c>
      <c r="B178" s="25" t="s">
        <v>773</v>
      </c>
      <c r="C178" s="25" t="s">
        <v>774</v>
      </c>
      <c r="D178" s="25" t="s">
        <v>775</v>
      </c>
      <c r="E178" s="28" t="s">
        <v>776</v>
      </c>
      <c r="F178" s="25">
        <v>987303349</v>
      </c>
      <c r="G178" s="29">
        <v>15</v>
      </c>
      <c r="H178" s="29">
        <v>4</v>
      </c>
      <c r="I178" s="29" t="s">
        <v>605</v>
      </c>
      <c r="J178" s="25" t="s">
        <v>606</v>
      </c>
      <c r="K178" s="25" t="s">
        <v>538</v>
      </c>
      <c r="L178" s="23">
        <f t="shared" si="8"/>
        <v>982.142857142857</v>
      </c>
      <c r="M178" s="23">
        <f t="shared" si="9"/>
        <v>117.85714285714283</v>
      </c>
      <c r="N178" s="23">
        <v>1100</v>
      </c>
      <c r="O178" s="27" t="s">
        <v>777</v>
      </c>
      <c r="P178" s="25" t="s">
        <v>339</v>
      </c>
      <c r="Q178" s="25" t="s">
        <v>58</v>
      </c>
      <c r="R178">
        <v>0</v>
      </c>
    </row>
    <row r="179" spans="1:18" x14ac:dyDescent="0.3">
      <c r="A179" s="20">
        <v>45097</v>
      </c>
      <c r="B179" s="25" t="s">
        <v>778</v>
      </c>
      <c r="C179" s="25" t="s">
        <v>779</v>
      </c>
      <c r="D179" s="25" t="s">
        <v>780</v>
      </c>
      <c r="E179" s="32">
        <v>2100577903</v>
      </c>
      <c r="F179" s="25">
        <v>990507776</v>
      </c>
      <c r="G179" s="29">
        <v>10</v>
      </c>
      <c r="H179" s="29">
        <v>10</v>
      </c>
      <c r="I179" s="29" t="s">
        <v>617</v>
      </c>
      <c r="J179" s="25" t="s">
        <v>606</v>
      </c>
      <c r="K179" s="25" t="s">
        <v>326</v>
      </c>
      <c r="L179" s="23">
        <f t="shared" si="8"/>
        <v>125.89285714285712</v>
      </c>
      <c r="M179" s="23">
        <f t="shared" si="9"/>
        <v>15.107142857142854</v>
      </c>
      <c r="N179" s="23">
        <v>141</v>
      </c>
      <c r="O179" s="27" t="s">
        <v>781</v>
      </c>
      <c r="P179" s="25" t="s">
        <v>782</v>
      </c>
      <c r="Q179" s="25" t="s">
        <v>65</v>
      </c>
      <c r="R179">
        <v>0</v>
      </c>
    </row>
    <row r="180" spans="1:18" x14ac:dyDescent="0.3">
      <c r="A180" s="20">
        <v>45097</v>
      </c>
      <c r="B180" s="25" t="s">
        <v>783</v>
      </c>
      <c r="C180" s="25" t="s">
        <v>784</v>
      </c>
      <c r="D180" s="25" t="s">
        <v>785</v>
      </c>
      <c r="E180" s="33">
        <v>2100424171</v>
      </c>
      <c r="F180" s="25">
        <v>983727505</v>
      </c>
      <c r="G180" s="29">
        <v>5</v>
      </c>
      <c r="H180" s="29">
        <v>3</v>
      </c>
      <c r="I180" s="29" t="s">
        <v>605</v>
      </c>
      <c r="J180" s="25" t="s">
        <v>606</v>
      </c>
      <c r="K180" s="25" t="s">
        <v>736</v>
      </c>
      <c r="L180" s="23">
        <f t="shared" si="8"/>
        <v>982.142857142857</v>
      </c>
      <c r="M180" s="23">
        <f t="shared" si="9"/>
        <v>117.85714285714283</v>
      </c>
      <c r="N180" s="23">
        <v>1100</v>
      </c>
      <c r="O180" s="27" t="s">
        <v>786</v>
      </c>
      <c r="P180" s="25" t="s">
        <v>66</v>
      </c>
      <c r="Q180" s="25" t="s">
        <v>225</v>
      </c>
      <c r="R180">
        <v>0</v>
      </c>
    </row>
    <row r="181" spans="1:18" x14ac:dyDescent="0.3">
      <c r="A181" s="20">
        <v>45097</v>
      </c>
      <c r="B181" s="25" t="s">
        <v>787</v>
      </c>
      <c r="C181" s="25" t="s">
        <v>788</v>
      </c>
      <c r="D181" s="25" t="s">
        <v>789</v>
      </c>
      <c r="E181" s="33">
        <v>2100670849</v>
      </c>
      <c r="F181" s="25">
        <v>993169075</v>
      </c>
      <c r="G181" s="29">
        <v>7</v>
      </c>
      <c r="H181" s="29">
        <v>5</v>
      </c>
      <c r="I181" s="29" t="s">
        <v>605</v>
      </c>
      <c r="J181" s="25" t="s">
        <v>606</v>
      </c>
      <c r="K181" s="25" t="s">
        <v>790</v>
      </c>
      <c r="L181" s="23">
        <f t="shared" si="8"/>
        <v>714.28571428571422</v>
      </c>
      <c r="M181" s="23">
        <f t="shared" si="9"/>
        <v>85.714285714285708</v>
      </c>
      <c r="N181" s="23">
        <v>800</v>
      </c>
      <c r="O181" s="27" t="s">
        <v>791</v>
      </c>
      <c r="P181" s="25" t="s">
        <v>224</v>
      </c>
      <c r="Q181" s="25" t="s">
        <v>58</v>
      </c>
      <c r="R181">
        <v>0</v>
      </c>
    </row>
    <row r="182" spans="1:18" x14ac:dyDescent="0.3">
      <c r="A182" s="20">
        <v>45097</v>
      </c>
      <c r="B182" s="25" t="s">
        <v>792</v>
      </c>
      <c r="C182" s="25" t="s">
        <v>793</v>
      </c>
      <c r="D182" s="25" t="s">
        <v>794</v>
      </c>
      <c r="E182" s="33">
        <v>2101046635</v>
      </c>
      <c r="F182" s="25">
        <v>983648994</v>
      </c>
      <c r="G182" s="29">
        <v>7</v>
      </c>
      <c r="H182" s="29">
        <v>5</v>
      </c>
      <c r="I182" s="29" t="s">
        <v>617</v>
      </c>
      <c r="J182" s="25" t="s">
        <v>606</v>
      </c>
      <c r="K182" s="25" t="s">
        <v>790</v>
      </c>
      <c r="L182" s="23">
        <f t="shared" si="8"/>
        <v>1071.4285714285713</v>
      </c>
      <c r="M182" s="23">
        <f t="shared" si="9"/>
        <v>128.57142857142856</v>
      </c>
      <c r="N182" s="23">
        <v>1200</v>
      </c>
      <c r="O182" s="27" t="s">
        <v>795</v>
      </c>
      <c r="P182" s="25" t="s">
        <v>62</v>
      </c>
      <c r="Q182" s="25" t="s">
        <v>58</v>
      </c>
      <c r="R182">
        <v>0</v>
      </c>
    </row>
    <row r="183" spans="1:18" x14ac:dyDescent="0.3">
      <c r="A183" s="20">
        <v>45097</v>
      </c>
      <c r="B183" s="25" t="s">
        <v>796</v>
      </c>
      <c r="C183" s="25" t="s">
        <v>797</v>
      </c>
      <c r="D183" s="25" t="s">
        <v>798</v>
      </c>
      <c r="E183" s="33">
        <v>2100350996</v>
      </c>
      <c r="F183" s="25">
        <v>997510271</v>
      </c>
      <c r="G183" s="29">
        <v>8</v>
      </c>
      <c r="H183" s="29">
        <v>4</v>
      </c>
      <c r="I183" s="29" t="s">
        <v>605</v>
      </c>
      <c r="J183" s="25" t="s">
        <v>606</v>
      </c>
      <c r="K183" s="25" t="s">
        <v>799</v>
      </c>
      <c r="L183" s="23">
        <f t="shared" si="8"/>
        <v>892.85714285714278</v>
      </c>
      <c r="M183" s="23">
        <f t="shared" si="9"/>
        <v>107.14285714285712</v>
      </c>
      <c r="N183" s="23">
        <v>1000</v>
      </c>
      <c r="O183" s="27" t="s">
        <v>800</v>
      </c>
      <c r="P183" s="25" t="s">
        <v>731</v>
      </c>
      <c r="Q183" s="25" t="s">
        <v>63</v>
      </c>
      <c r="R183">
        <v>0</v>
      </c>
    </row>
    <row r="184" spans="1:18" x14ac:dyDescent="0.3">
      <c r="A184" s="20">
        <v>45097</v>
      </c>
      <c r="B184" s="25" t="s">
        <v>801</v>
      </c>
      <c r="C184" s="25" t="s">
        <v>802</v>
      </c>
      <c r="D184" s="25" t="s">
        <v>803</v>
      </c>
      <c r="E184" s="33">
        <v>1803305786</v>
      </c>
      <c r="F184" s="25">
        <v>987673138</v>
      </c>
      <c r="G184" s="29">
        <v>8</v>
      </c>
      <c r="H184" s="29">
        <v>4</v>
      </c>
      <c r="I184" s="29" t="s">
        <v>605</v>
      </c>
      <c r="J184" s="25" t="s">
        <v>606</v>
      </c>
      <c r="K184" s="25" t="s">
        <v>742</v>
      </c>
      <c r="L184" s="23">
        <f t="shared" si="8"/>
        <v>892.85714285714278</v>
      </c>
      <c r="M184" s="23">
        <f t="shared" si="9"/>
        <v>107.14285714285712</v>
      </c>
      <c r="N184" s="23">
        <v>1000</v>
      </c>
      <c r="O184" s="27" t="s">
        <v>804</v>
      </c>
      <c r="P184" s="25" t="s">
        <v>782</v>
      </c>
      <c r="Q184" s="25" t="s">
        <v>63</v>
      </c>
      <c r="R184">
        <v>0</v>
      </c>
    </row>
    <row r="185" spans="1:18" x14ac:dyDescent="0.3">
      <c r="A185" s="20">
        <v>45098</v>
      </c>
      <c r="B185" s="25" t="s">
        <v>805</v>
      </c>
      <c r="C185" s="25" t="s">
        <v>806</v>
      </c>
      <c r="D185" s="25" t="s">
        <v>807</v>
      </c>
      <c r="E185" s="33">
        <v>2100256441</v>
      </c>
      <c r="F185" s="25">
        <v>994195417</v>
      </c>
      <c r="G185" s="29">
        <v>10</v>
      </c>
      <c r="H185" s="29">
        <v>10</v>
      </c>
      <c r="I185" s="29" t="s">
        <v>605</v>
      </c>
      <c r="J185" s="25" t="s">
        <v>606</v>
      </c>
      <c r="K185" s="25" t="s">
        <v>538</v>
      </c>
      <c r="L185" s="23">
        <f t="shared" si="8"/>
        <v>624.99999999999989</v>
      </c>
      <c r="M185" s="23">
        <f t="shared" si="9"/>
        <v>74.999999999999986</v>
      </c>
      <c r="N185" s="23">
        <v>700</v>
      </c>
      <c r="O185" s="27" t="s">
        <v>808</v>
      </c>
      <c r="P185" s="25" t="s">
        <v>782</v>
      </c>
      <c r="Q185" s="25" t="s">
        <v>65</v>
      </c>
      <c r="R185">
        <v>0</v>
      </c>
    </row>
    <row r="186" spans="1:18" x14ac:dyDescent="0.3">
      <c r="A186" s="20">
        <v>45098</v>
      </c>
      <c r="B186" s="25" t="s">
        <v>809</v>
      </c>
      <c r="C186" s="25" t="s">
        <v>810</v>
      </c>
      <c r="D186" s="25" t="s">
        <v>811</v>
      </c>
      <c r="E186" s="33">
        <v>2100607924</v>
      </c>
      <c r="F186" s="25">
        <v>989087642</v>
      </c>
      <c r="G186" s="29">
        <v>7</v>
      </c>
      <c r="H186" s="29">
        <v>10</v>
      </c>
      <c r="I186" s="29" t="s">
        <v>605</v>
      </c>
      <c r="J186" s="25" t="s">
        <v>606</v>
      </c>
      <c r="K186" s="25" t="s">
        <v>812</v>
      </c>
      <c r="L186" s="23">
        <f t="shared" si="8"/>
        <v>982.142857142857</v>
      </c>
      <c r="M186" s="23">
        <f t="shared" si="9"/>
        <v>117.85714285714283</v>
      </c>
      <c r="N186" s="23">
        <v>1100</v>
      </c>
      <c r="O186" s="27" t="s">
        <v>813</v>
      </c>
      <c r="P186" s="25" t="s">
        <v>224</v>
      </c>
      <c r="Q186" s="25" t="s">
        <v>225</v>
      </c>
      <c r="R186">
        <v>0</v>
      </c>
    </row>
    <row r="187" spans="1:18" x14ac:dyDescent="0.3">
      <c r="A187" s="20">
        <v>45098</v>
      </c>
      <c r="B187" s="25" t="s">
        <v>814</v>
      </c>
      <c r="C187" s="25" t="s">
        <v>815</v>
      </c>
      <c r="D187" s="25" t="s">
        <v>816</v>
      </c>
      <c r="E187" s="33">
        <v>2100169404</v>
      </c>
      <c r="F187" s="25">
        <v>986560682</v>
      </c>
      <c r="G187" s="29">
        <v>8</v>
      </c>
      <c r="H187" s="29">
        <v>10</v>
      </c>
      <c r="I187" s="29" t="s">
        <v>617</v>
      </c>
      <c r="J187" s="25" t="s">
        <v>606</v>
      </c>
      <c r="K187" s="25" t="s">
        <v>326</v>
      </c>
      <c r="L187" s="23">
        <f t="shared" si="8"/>
        <v>1919.6428571428569</v>
      </c>
      <c r="M187" s="23">
        <f t="shared" si="9"/>
        <v>230.3571428571428</v>
      </c>
      <c r="N187" s="23">
        <v>2150</v>
      </c>
      <c r="O187" s="27" t="s">
        <v>817</v>
      </c>
      <c r="P187" s="25" t="s">
        <v>569</v>
      </c>
      <c r="Q187" s="25" t="s">
        <v>225</v>
      </c>
      <c r="R187">
        <v>0</v>
      </c>
    </row>
    <row r="188" spans="1:18" x14ac:dyDescent="0.3">
      <c r="A188" s="20">
        <v>45098</v>
      </c>
      <c r="B188" s="25" t="s">
        <v>818</v>
      </c>
      <c r="C188" s="25" t="s">
        <v>819</v>
      </c>
      <c r="D188" s="25" t="s">
        <v>820</v>
      </c>
      <c r="E188" s="33">
        <v>1002244380</v>
      </c>
      <c r="F188" s="25">
        <v>999399730</v>
      </c>
      <c r="G188" s="29">
        <v>6</v>
      </c>
      <c r="H188" s="29">
        <v>3</v>
      </c>
      <c r="I188" s="29" t="s">
        <v>605</v>
      </c>
      <c r="J188" s="25" t="s">
        <v>821</v>
      </c>
      <c r="K188" s="25" t="s">
        <v>538</v>
      </c>
      <c r="L188" s="23">
        <f t="shared" si="8"/>
        <v>1071.4285714285713</v>
      </c>
      <c r="M188" s="23">
        <f t="shared" si="9"/>
        <v>128.57142857142856</v>
      </c>
      <c r="N188" s="23">
        <v>1200</v>
      </c>
      <c r="O188" s="27" t="s">
        <v>822</v>
      </c>
      <c r="P188" s="25" t="s">
        <v>823</v>
      </c>
      <c r="Q188" s="25" t="s">
        <v>58</v>
      </c>
      <c r="R188">
        <v>0</v>
      </c>
    </row>
    <row r="189" spans="1:18" x14ac:dyDescent="0.3">
      <c r="A189" s="20">
        <v>45098</v>
      </c>
      <c r="B189" s="25" t="s">
        <v>824</v>
      </c>
      <c r="C189" s="25" t="s">
        <v>825</v>
      </c>
      <c r="D189" s="25" t="s">
        <v>826</v>
      </c>
      <c r="E189" s="33">
        <v>2100328034</v>
      </c>
      <c r="F189" s="25">
        <v>986164229</v>
      </c>
      <c r="G189" s="29">
        <v>12</v>
      </c>
      <c r="H189" s="29">
        <v>10</v>
      </c>
      <c r="I189" s="29" t="s">
        <v>617</v>
      </c>
      <c r="J189" s="25" t="s">
        <v>606</v>
      </c>
      <c r="K189" s="25" t="s">
        <v>722</v>
      </c>
      <c r="L189" s="23">
        <f t="shared" si="8"/>
        <v>2669.6428571428569</v>
      </c>
      <c r="M189" s="23">
        <f t="shared" si="9"/>
        <v>320.35714285714283</v>
      </c>
      <c r="N189" s="23">
        <v>2990</v>
      </c>
      <c r="O189" s="27" t="s">
        <v>827</v>
      </c>
      <c r="P189" s="25" t="s">
        <v>356</v>
      </c>
      <c r="Q189" s="25" t="s">
        <v>63</v>
      </c>
      <c r="R189">
        <v>0</v>
      </c>
    </row>
    <row r="190" spans="1:18" x14ac:dyDescent="0.3">
      <c r="A190" s="20">
        <v>45099</v>
      </c>
      <c r="B190" s="25" t="s">
        <v>828</v>
      </c>
      <c r="C190" s="25" t="s">
        <v>829</v>
      </c>
      <c r="D190" s="25" t="s">
        <v>830</v>
      </c>
      <c r="E190" s="33">
        <v>2100631379</v>
      </c>
      <c r="F190" s="25">
        <v>992490888</v>
      </c>
      <c r="G190" s="29">
        <v>7</v>
      </c>
      <c r="H190" s="29">
        <v>4</v>
      </c>
      <c r="I190" s="29" t="s">
        <v>605</v>
      </c>
      <c r="J190" s="25" t="s">
        <v>606</v>
      </c>
      <c r="K190" s="25" t="s">
        <v>326</v>
      </c>
      <c r="L190" s="30">
        <f t="shared" si="8"/>
        <v>892.85714285714278</v>
      </c>
      <c r="M190" s="30">
        <f t="shared" si="9"/>
        <v>107.14285714285712</v>
      </c>
      <c r="N190" s="30">
        <v>1000</v>
      </c>
      <c r="O190" s="27" t="s">
        <v>831</v>
      </c>
      <c r="P190" s="25" t="s">
        <v>356</v>
      </c>
      <c r="Q190" s="25" t="s">
        <v>225</v>
      </c>
      <c r="R190">
        <v>0</v>
      </c>
    </row>
    <row r="191" spans="1:18" x14ac:dyDescent="0.3">
      <c r="A191" s="20">
        <v>45100</v>
      </c>
      <c r="B191" s="25" t="s">
        <v>832</v>
      </c>
      <c r="C191" s="25" t="s">
        <v>833</v>
      </c>
      <c r="D191" s="25" t="s">
        <v>834</v>
      </c>
      <c r="E191" s="34" t="s">
        <v>835</v>
      </c>
      <c r="F191" s="25">
        <v>981588441</v>
      </c>
      <c r="G191" s="29">
        <v>5</v>
      </c>
      <c r="H191" s="29">
        <v>4</v>
      </c>
      <c r="I191" s="29" t="s">
        <v>617</v>
      </c>
      <c r="J191" s="25" t="s">
        <v>606</v>
      </c>
      <c r="K191" s="25" t="s">
        <v>326</v>
      </c>
      <c r="L191" s="30">
        <f t="shared" si="8"/>
        <v>1428.5714285714284</v>
      </c>
      <c r="M191" s="30">
        <f t="shared" si="9"/>
        <v>171.42857142857142</v>
      </c>
      <c r="N191" s="30">
        <v>1600</v>
      </c>
      <c r="O191" s="27" t="s">
        <v>836</v>
      </c>
      <c r="P191" s="25" t="s">
        <v>569</v>
      </c>
      <c r="Q191" s="25" t="s">
        <v>65</v>
      </c>
      <c r="R191">
        <v>0</v>
      </c>
    </row>
    <row r="192" spans="1:18" x14ac:dyDescent="0.3">
      <c r="A192" s="20">
        <v>45100</v>
      </c>
      <c r="B192" s="25" t="s">
        <v>837</v>
      </c>
      <c r="C192" s="25" t="s">
        <v>838</v>
      </c>
      <c r="D192" s="25" t="s">
        <v>839</v>
      </c>
      <c r="E192" s="35">
        <v>2100806260</v>
      </c>
      <c r="F192" s="25">
        <v>969436765</v>
      </c>
      <c r="G192" s="29">
        <v>5</v>
      </c>
      <c r="H192" s="29">
        <v>3</v>
      </c>
      <c r="I192" s="29" t="s">
        <v>611</v>
      </c>
      <c r="J192" s="25" t="s">
        <v>606</v>
      </c>
      <c r="K192" s="25" t="s">
        <v>326</v>
      </c>
      <c r="L192" s="30">
        <f t="shared" si="8"/>
        <v>1071.4285714285713</v>
      </c>
      <c r="M192" s="30">
        <f t="shared" si="9"/>
        <v>128.57142857142856</v>
      </c>
      <c r="N192" s="30">
        <v>1200</v>
      </c>
      <c r="O192" s="27" t="s">
        <v>840</v>
      </c>
      <c r="P192" s="25" t="s">
        <v>731</v>
      </c>
      <c r="Q192" s="25" t="s">
        <v>65</v>
      </c>
      <c r="R192">
        <v>0</v>
      </c>
    </row>
    <row r="193" spans="1:18" x14ac:dyDescent="0.3">
      <c r="A193" s="20">
        <v>45100</v>
      </c>
      <c r="B193" s="25" t="s">
        <v>841</v>
      </c>
      <c r="C193" s="25" t="s">
        <v>842</v>
      </c>
      <c r="D193" s="25" t="s">
        <v>843</v>
      </c>
      <c r="E193" s="35">
        <v>1715293377</v>
      </c>
      <c r="F193" s="25">
        <v>985858761</v>
      </c>
      <c r="G193" s="29">
        <v>10</v>
      </c>
      <c r="H193" s="29">
        <v>8</v>
      </c>
      <c r="I193" s="29" t="s">
        <v>611</v>
      </c>
      <c r="J193" s="25" t="s">
        <v>606</v>
      </c>
      <c r="K193" s="25" t="s">
        <v>736</v>
      </c>
      <c r="L193" s="30">
        <f t="shared" si="8"/>
        <v>2669.6428571428569</v>
      </c>
      <c r="M193" s="30">
        <f t="shared" si="9"/>
        <v>320.35714285714283</v>
      </c>
      <c r="N193" s="30">
        <v>2990</v>
      </c>
      <c r="O193" s="27" t="s">
        <v>844</v>
      </c>
      <c r="P193" s="25" t="s">
        <v>62</v>
      </c>
      <c r="Q193" s="25" t="s">
        <v>225</v>
      </c>
      <c r="R193">
        <v>0</v>
      </c>
    </row>
    <row r="194" spans="1:18" x14ac:dyDescent="0.3">
      <c r="A194" s="20">
        <v>45101</v>
      </c>
      <c r="B194" s="25" t="s">
        <v>845</v>
      </c>
      <c r="C194" s="25" t="s">
        <v>846</v>
      </c>
      <c r="D194" s="25" t="s">
        <v>847</v>
      </c>
      <c r="E194" s="35">
        <v>2100423637</v>
      </c>
      <c r="F194" s="25">
        <v>986822680</v>
      </c>
      <c r="G194" s="29">
        <v>8</v>
      </c>
      <c r="H194" s="29">
        <v>4</v>
      </c>
      <c r="I194" s="29" t="s">
        <v>611</v>
      </c>
      <c r="J194" s="25" t="s">
        <v>606</v>
      </c>
      <c r="K194" s="25" t="s">
        <v>326</v>
      </c>
      <c r="L194" s="30">
        <f t="shared" si="8"/>
        <v>1071.4285714285713</v>
      </c>
      <c r="M194" s="30">
        <f t="shared" si="9"/>
        <v>128.57142857142856</v>
      </c>
      <c r="N194" s="30">
        <v>1200</v>
      </c>
      <c r="O194" s="27" t="s">
        <v>848</v>
      </c>
      <c r="P194" s="25" t="s">
        <v>68</v>
      </c>
      <c r="Q194" s="25" t="s">
        <v>225</v>
      </c>
      <c r="R194">
        <v>0</v>
      </c>
    </row>
    <row r="195" spans="1:18" x14ac:dyDescent="0.3">
      <c r="A195" s="20">
        <v>45101</v>
      </c>
      <c r="B195" s="25" t="s">
        <v>849</v>
      </c>
      <c r="C195" s="25" t="s">
        <v>850</v>
      </c>
      <c r="D195" s="25" t="s">
        <v>851</v>
      </c>
      <c r="E195" s="35">
        <v>1302327968</v>
      </c>
      <c r="F195" s="25">
        <v>992472605</v>
      </c>
      <c r="G195" s="29">
        <v>5</v>
      </c>
      <c r="H195" s="29">
        <v>3</v>
      </c>
      <c r="I195" s="29" t="s">
        <v>605</v>
      </c>
      <c r="J195" s="25" t="s">
        <v>606</v>
      </c>
      <c r="K195" s="25" t="s">
        <v>326</v>
      </c>
      <c r="L195" s="30">
        <f t="shared" si="8"/>
        <v>535.71428571428567</v>
      </c>
      <c r="M195" s="30">
        <f t="shared" si="9"/>
        <v>64.285714285714278</v>
      </c>
      <c r="N195" s="30">
        <v>600</v>
      </c>
      <c r="O195" s="25"/>
      <c r="P195" s="25" t="s">
        <v>62</v>
      </c>
      <c r="Q195" s="25" t="s">
        <v>65</v>
      </c>
      <c r="R195">
        <v>0</v>
      </c>
    </row>
    <row r="196" spans="1:18" x14ac:dyDescent="0.3">
      <c r="A196" s="20">
        <v>45101</v>
      </c>
      <c r="B196" s="25" t="s">
        <v>852</v>
      </c>
      <c r="C196" s="25" t="s">
        <v>853</v>
      </c>
      <c r="D196" s="25" t="s">
        <v>854</v>
      </c>
      <c r="E196" s="34" t="s">
        <v>855</v>
      </c>
      <c r="F196" s="25">
        <v>991443838</v>
      </c>
      <c r="G196" s="29">
        <v>5</v>
      </c>
      <c r="H196" s="29">
        <v>5</v>
      </c>
      <c r="I196" s="29" t="s">
        <v>611</v>
      </c>
      <c r="J196" s="25" t="s">
        <v>606</v>
      </c>
      <c r="K196" s="25" t="s">
        <v>538</v>
      </c>
      <c r="L196" s="30">
        <f t="shared" si="8"/>
        <v>1428.5714285714284</v>
      </c>
      <c r="M196" s="30">
        <f t="shared" si="9"/>
        <v>171.42857142857142</v>
      </c>
      <c r="N196" s="30">
        <v>1600</v>
      </c>
      <c r="O196" s="27" t="s">
        <v>856</v>
      </c>
      <c r="P196" s="25" t="s">
        <v>782</v>
      </c>
      <c r="Q196" s="25" t="s">
        <v>65</v>
      </c>
      <c r="R196">
        <v>0</v>
      </c>
    </row>
    <row r="197" spans="1:18" x14ac:dyDescent="0.3">
      <c r="A197" s="20">
        <v>45107</v>
      </c>
      <c r="B197" s="25" t="s">
        <v>857</v>
      </c>
      <c r="C197" s="25" t="s">
        <v>626</v>
      </c>
      <c r="D197" s="25" t="s">
        <v>858</v>
      </c>
      <c r="E197" s="28" t="s">
        <v>859</v>
      </c>
      <c r="F197" s="25">
        <v>984723743</v>
      </c>
      <c r="G197" s="29">
        <v>5</v>
      </c>
      <c r="H197" s="29">
        <v>4</v>
      </c>
      <c r="I197" s="29" t="s">
        <v>605</v>
      </c>
      <c r="J197" s="25" t="s">
        <v>821</v>
      </c>
      <c r="K197" s="25" t="s">
        <v>538</v>
      </c>
      <c r="L197" s="30">
        <f t="shared" si="8"/>
        <v>1071.4285714285713</v>
      </c>
      <c r="M197" s="30">
        <f t="shared" si="9"/>
        <v>128.57142857142856</v>
      </c>
      <c r="N197" s="30">
        <v>1200</v>
      </c>
      <c r="O197" s="27" t="s">
        <v>860</v>
      </c>
      <c r="P197" s="25" t="s">
        <v>548</v>
      </c>
      <c r="Q197" s="25" t="s">
        <v>65</v>
      </c>
      <c r="R197">
        <v>0</v>
      </c>
    </row>
    <row r="198" spans="1:18" x14ac:dyDescent="0.3">
      <c r="A198" s="20">
        <v>45108</v>
      </c>
      <c r="B198" s="25" t="s">
        <v>861</v>
      </c>
      <c r="C198" s="25" t="s">
        <v>862</v>
      </c>
      <c r="D198" s="25" t="s">
        <v>863</v>
      </c>
      <c r="E198" s="28" t="s">
        <v>864</v>
      </c>
      <c r="F198" s="25">
        <v>992778276</v>
      </c>
      <c r="G198" s="29">
        <v>7</v>
      </c>
      <c r="H198" s="29">
        <v>5</v>
      </c>
      <c r="I198" s="29" t="s">
        <v>865</v>
      </c>
      <c r="J198" s="25" t="s">
        <v>821</v>
      </c>
      <c r="K198" s="25" t="s">
        <v>199</v>
      </c>
      <c r="L198" s="23">
        <f>+N198/1.12</f>
        <v>1776.7857142857142</v>
      </c>
      <c r="M198" s="23">
        <f>+L198*12%</f>
        <v>213.21428571428569</v>
      </c>
      <c r="N198" s="23">
        <v>1990</v>
      </c>
      <c r="O198" s="27" t="s">
        <v>866</v>
      </c>
      <c r="P198" s="25" t="s">
        <v>68</v>
      </c>
      <c r="Q198" s="25" t="s">
        <v>65</v>
      </c>
      <c r="R198">
        <v>0</v>
      </c>
    </row>
    <row r="199" spans="1:18" x14ac:dyDescent="0.3">
      <c r="A199" s="20">
        <v>45111</v>
      </c>
      <c r="B199" s="25" t="s">
        <v>867</v>
      </c>
      <c r="C199" s="25" t="s">
        <v>868</v>
      </c>
      <c r="D199" s="25" t="s">
        <v>869</v>
      </c>
      <c r="E199" s="28" t="s">
        <v>870</v>
      </c>
      <c r="F199" s="25">
        <v>984404888</v>
      </c>
      <c r="G199" s="29">
        <v>10</v>
      </c>
      <c r="H199" s="29">
        <v>5</v>
      </c>
      <c r="I199" s="29" t="s">
        <v>871</v>
      </c>
      <c r="J199" s="25" t="s">
        <v>539</v>
      </c>
      <c r="K199" s="25" t="s">
        <v>742</v>
      </c>
      <c r="L199" s="23">
        <f t="shared" ref="L199:L240" si="10">+N199/1.12</f>
        <v>1776.7857142857142</v>
      </c>
      <c r="M199" s="23">
        <f t="shared" ref="M199:M240" si="11">+L199*12%</f>
        <v>213.21428571428569</v>
      </c>
      <c r="N199" s="23">
        <v>1990</v>
      </c>
      <c r="O199" s="27" t="s">
        <v>872</v>
      </c>
      <c r="P199" s="25" t="s">
        <v>68</v>
      </c>
      <c r="Q199" s="25" t="s">
        <v>225</v>
      </c>
      <c r="R199">
        <v>0</v>
      </c>
    </row>
    <row r="200" spans="1:18" x14ac:dyDescent="0.3">
      <c r="A200" s="20">
        <v>45111</v>
      </c>
      <c r="B200" s="25" t="s">
        <v>873</v>
      </c>
      <c r="C200" s="25" t="s">
        <v>874</v>
      </c>
      <c r="D200" s="25" t="s">
        <v>875</v>
      </c>
      <c r="E200" s="28" t="s">
        <v>876</v>
      </c>
      <c r="F200" s="25">
        <v>995580196</v>
      </c>
      <c r="G200" s="29">
        <v>7</v>
      </c>
      <c r="H200" s="29">
        <v>6</v>
      </c>
      <c r="I200" s="29" t="s">
        <v>605</v>
      </c>
      <c r="J200" s="25" t="s">
        <v>539</v>
      </c>
      <c r="K200" s="25" t="s">
        <v>790</v>
      </c>
      <c r="L200" s="23">
        <f t="shared" si="10"/>
        <v>1776.7857142857142</v>
      </c>
      <c r="M200" s="23">
        <f t="shared" si="11"/>
        <v>213.21428571428569</v>
      </c>
      <c r="N200" s="23">
        <v>1990</v>
      </c>
      <c r="O200" s="27" t="s">
        <v>877</v>
      </c>
      <c r="P200" s="25" t="s">
        <v>68</v>
      </c>
      <c r="Q200" s="25" t="s">
        <v>225</v>
      </c>
      <c r="R200">
        <v>0</v>
      </c>
    </row>
    <row r="201" spans="1:18" x14ac:dyDescent="0.3">
      <c r="A201" s="20">
        <v>45111</v>
      </c>
      <c r="B201" s="25" t="s">
        <v>878</v>
      </c>
      <c r="C201" s="25"/>
      <c r="D201" s="25"/>
      <c r="E201" s="28"/>
      <c r="F201" s="25"/>
      <c r="G201" s="29"/>
      <c r="H201" s="29"/>
      <c r="I201" s="29"/>
      <c r="J201" s="25"/>
      <c r="K201" s="25"/>
      <c r="L201" s="23">
        <f t="shared" si="10"/>
        <v>0</v>
      </c>
      <c r="M201" s="23">
        <f t="shared" si="11"/>
        <v>0</v>
      </c>
      <c r="N201" s="23"/>
      <c r="O201" s="27"/>
      <c r="P201" s="25"/>
      <c r="Q201" s="25"/>
      <c r="R201">
        <v>0</v>
      </c>
    </row>
    <row r="202" spans="1:18" x14ac:dyDescent="0.3">
      <c r="A202" s="20">
        <v>45111</v>
      </c>
      <c r="B202" s="25" t="s">
        <v>879</v>
      </c>
      <c r="C202" s="25" t="s">
        <v>880</v>
      </c>
      <c r="D202" s="25" t="s">
        <v>881</v>
      </c>
      <c r="E202" s="28" t="s">
        <v>882</v>
      </c>
      <c r="F202" s="25">
        <v>995819475</v>
      </c>
      <c r="G202" s="29">
        <v>7</v>
      </c>
      <c r="H202" s="29">
        <v>3</v>
      </c>
      <c r="I202" s="29" t="s">
        <v>605</v>
      </c>
      <c r="J202" s="25" t="s">
        <v>539</v>
      </c>
      <c r="K202" s="25" t="s">
        <v>199</v>
      </c>
      <c r="L202" s="23">
        <f t="shared" si="10"/>
        <v>1339.2857142857142</v>
      </c>
      <c r="M202" s="23">
        <f t="shared" si="11"/>
        <v>160.71428571428569</v>
      </c>
      <c r="N202" s="23">
        <v>1500</v>
      </c>
      <c r="O202" s="27" t="s">
        <v>883</v>
      </c>
      <c r="P202" s="25" t="s">
        <v>68</v>
      </c>
      <c r="Q202" s="25" t="s">
        <v>337</v>
      </c>
      <c r="R202">
        <v>0</v>
      </c>
    </row>
    <row r="203" spans="1:18" x14ac:dyDescent="0.3">
      <c r="A203" s="20">
        <v>45111</v>
      </c>
      <c r="B203" s="25" t="s">
        <v>884</v>
      </c>
      <c r="C203" s="25" t="s">
        <v>885</v>
      </c>
      <c r="D203" s="25" t="s">
        <v>886</v>
      </c>
      <c r="E203" s="28" t="s">
        <v>887</v>
      </c>
      <c r="F203" s="25">
        <v>992613891</v>
      </c>
      <c r="G203" s="29">
        <v>7</v>
      </c>
      <c r="H203" s="29">
        <v>3</v>
      </c>
      <c r="I203" s="29" t="s">
        <v>771</v>
      </c>
      <c r="J203" s="25" t="s">
        <v>821</v>
      </c>
      <c r="K203" s="25" t="s">
        <v>200</v>
      </c>
      <c r="L203" s="23">
        <f t="shared" si="10"/>
        <v>2321.4285714285711</v>
      </c>
      <c r="M203" s="23">
        <f t="shared" si="11"/>
        <v>278.5714285714285</v>
      </c>
      <c r="N203" s="23">
        <v>2600</v>
      </c>
      <c r="O203" s="27" t="s">
        <v>888</v>
      </c>
      <c r="P203" s="25" t="s">
        <v>731</v>
      </c>
      <c r="Q203" s="25" t="s">
        <v>225</v>
      </c>
      <c r="R203">
        <v>0</v>
      </c>
    </row>
    <row r="204" spans="1:18" x14ac:dyDescent="0.3">
      <c r="A204" s="20">
        <v>45082</v>
      </c>
      <c r="B204" s="25" t="s">
        <v>889</v>
      </c>
      <c r="C204" s="25" t="s">
        <v>890</v>
      </c>
      <c r="D204" s="25" t="s">
        <v>891</v>
      </c>
      <c r="E204" s="28" t="s">
        <v>892</v>
      </c>
      <c r="F204" s="25">
        <v>999603851</v>
      </c>
      <c r="G204" s="29">
        <v>8</v>
      </c>
      <c r="H204" s="29">
        <v>6</v>
      </c>
      <c r="I204" s="29" t="s">
        <v>617</v>
      </c>
      <c r="J204" s="25" t="s">
        <v>821</v>
      </c>
      <c r="K204" s="25" t="s">
        <v>200</v>
      </c>
      <c r="L204" s="23">
        <f t="shared" si="10"/>
        <v>2142.8571428571427</v>
      </c>
      <c r="M204" s="23">
        <f t="shared" si="11"/>
        <v>257.14285714285711</v>
      </c>
      <c r="N204" s="23">
        <v>2400</v>
      </c>
      <c r="O204" s="27" t="s">
        <v>893</v>
      </c>
      <c r="P204" s="25" t="s">
        <v>731</v>
      </c>
      <c r="Q204" s="25" t="s">
        <v>225</v>
      </c>
      <c r="R204">
        <v>0</v>
      </c>
    </row>
    <row r="205" spans="1:18" x14ac:dyDescent="0.3">
      <c r="A205" s="20">
        <v>45082</v>
      </c>
      <c r="B205" s="25" t="s">
        <v>894</v>
      </c>
      <c r="C205" s="25" t="s">
        <v>895</v>
      </c>
      <c r="D205" s="25" t="s">
        <v>896</v>
      </c>
      <c r="E205" s="28" t="s">
        <v>897</v>
      </c>
      <c r="F205" s="25">
        <v>998645920</v>
      </c>
      <c r="G205" s="29">
        <v>7</v>
      </c>
      <c r="H205" s="29">
        <v>5</v>
      </c>
      <c r="I205" s="29" t="s">
        <v>605</v>
      </c>
      <c r="J205" s="25" t="s">
        <v>539</v>
      </c>
      <c r="K205" s="25" t="s">
        <v>722</v>
      </c>
      <c r="L205" s="23">
        <f t="shared" si="10"/>
        <v>1776.7857142857142</v>
      </c>
      <c r="M205" s="23">
        <f t="shared" si="11"/>
        <v>213.21428571428569</v>
      </c>
      <c r="N205" s="23">
        <v>1990</v>
      </c>
      <c r="O205" s="27" t="s">
        <v>898</v>
      </c>
      <c r="P205" s="25" t="s">
        <v>548</v>
      </c>
      <c r="Q205" s="25" t="s">
        <v>58</v>
      </c>
      <c r="R205">
        <v>0</v>
      </c>
    </row>
    <row r="206" spans="1:18" x14ac:dyDescent="0.3">
      <c r="A206" s="20">
        <v>45082</v>
      </c>
      <c r="B206" s="25" t="s">
        <v>899</v>
      </c>
      <c r="C206" s="25" t="s">
        <v>900</v>
      </c>
      <c r="D206" s="25" t="s">
        <v>901</v>
      </c>
      <c r="E206" s="28" t="s">
        <v>902</v>
      </c>
      <c r="F206" s="25">
        <v>982287077</v>
      </c>
      <c r="G206" s="29">
        <v>10</v>
      </c>
      <c r="H206" s="29">
        <v>10</v>
      </c>
      <c r="I206" s="29" t="s">
        <v>903</v>
      </c>
      <c r="J206" s="25" t="s">
        <v>821</v>
      </c>
      <c r="K206" s="25" t="s">
        <v>199</v>
      </c>
      <c r="L206" s="23">
        <f t="shared" si="10"/>
        <v>3562.4999999999995</v>
      </c>
      <c r="M206" s="23">
        <f t="shared" si="11"/>
        <v>427.49999999999994</v>
      </c>
      <c r="N206" s="30">
        <v>3990</v>
      </c>
      <c r="O206" s="27" t="s">
        <v>904</v>
      </c>
      <c r="P206" s="25" t="s">
        <v>731</v>
      </c>
      <c r="Q206" s="25" t="s">
        <v>65</v>
      </c>
      <c r="R206">
        <v>0</v>
      </c>
    </row>
    <row r="207" spans="1:18" x14ac:dyDescent="0.3">
      <c r="A207" s="20">
        <v>45112</v>
      </c>
      <c r="B207" s="25" t="s">
        <v>905</v>
      </c>
      <c r="C207" s="25" t="s">
        <v>906</v>
      </c>
      <c r="D207" s="25" t="s">
        <v>907</v>
      </c>
      <c r="E207" s="28" t="s">
        <v>908</v>
      </c>
      <c r="F207" s="25">
        <v>987789988</v>
      </c>
      <c r="G207" s="29">
        <v>8</v>
      </c>
      <c r="H207" s="29">
        <v>5</v>
      </c>
      <c r="I207" s="29" t="s">
        <v>605</v>
      </c>
      <c r="J207" s="25" t="s">
        <v>539</v>
      </c>
      <c r="K207" s="25" t="s">
        <v>812</v>
      </c>
      <c r="L207" s="23">
        <f t="shared" si="10"/>
        <v>223.21428571428569</v>
      </c>
      <c r="M207" s="23">
        <f t="shared" si="11"/>
        <v>26.785714285714281</v>
      </c>
      <c r="N207" s="23">
        <v>250</v>
      </c>
      <c r="O207" s="27" t="s">
        <v>909</v>
      </c>
      <c r="P207" s="25" t="s">
        <v>339</v>
      </c>
      <c r="Q207" s="25" t="s">
        <v>340</v>
      </c>
      <c r="R207">
        <v>0</v>
      </c>
    </row>
    <row r="208" spans="1:18" x14ac:dyDescent="0.3">
      <c r="A208" s="20">
        <v>45113</v>
      </c>
      <c r="B208" s="25" t="s">
        <v>910</v>
      </c>
      <c r="C208" s="25" t="s">
        <v>911</v>
      </c>
      <c r="D208" s="25" t="s">
        <v>912</v>
      </c>
      <c r="E208" s="28" t="s">
        <v>913</v>
      </c>
      <c r="F208" s="25">
        <v>995027054</v>
      </c>
      <c r="G208" s="29">
        <v>7</v>
      </c>
      <c r="H208" s="29">
        <v>3</v>
      </c>
      <c r="I208" s="29" t="s">
        <v>605</v>
      </c>
      <c r="J208" s="25" t="s">
        <v>539</v>
      </c>
      <c r="K208" s="25" t="s">
        <v>722</v>
      </c>
      <c r="L208" s="23">
        <f t="shared" si="10"/>
        <v>892.85714285714278</v>
      </c>
      <c r="M208" s="23">
        <f t="shared" si="11"/>
        <v>107.14285714285712</v>
      </c>
      <c r="N208" s="23">
        <v>1000</v>
      </c>
      <c r="O208" s="27" t="s">
        <v>914</v>
      </c>
      <c r="P208" s="25" t="s">
        <v>335</v>
      </c>
      <c r="Q208" s="25" t="s">
        <v>915</v>
      </c>
      <c r="R208">
        <v>0</v>
      </c>
    </row>
    <row r="209" spans="1:18" x14ac:dyDescent="0.3">
      <c r="A209" s="20">
        <v>45118</v>
      </c>
      <c r="B209" s="25" t="s">
        <v>916</v>
      </c>
      <c r="C209" s="25" t="s">
        <v>494</v>
      </c>
      <c r="D209" s="25" t="s">
        <v>917</v>
      </c>
      <c r="E209" s="28" t="s">
        <v>918</v>
      </c>
      <c r="F209" s="25">
        <v>992801081</v>
      </c>
      <c r="G209" s="29">
        <v>6</v>
      </c>
      <c r="H209" s="29">
        <v>3</v>
      </c>
      <c r="I209" s="29" t="s">
        <v>871</v>
      </c>
      <c r="J209" s="25" t="s">
        <v>539</v>
      </c>
      <c r="K209" s="25" t="s">
        <v>199</v>
      </c>
      <c r="L209" s="23">
        <f t="shared" si="10"/>
        <v>1428.5714285714284</v>
      </c>
      <c r="M209" s="23">
        <f t="shared" si="11"/>
        <v>171.42857142857142</v>
      </c>
      <c r="N209" s="23">
        <v>1600</v>
      </c>
      <c r="O209" s="27" t="s">
        <v>919</v>
      </c>
      <c r="P209" s="25" t="s">
        <v>335</v>
      </c>
      <c r="Q209" s="25" t="s">
        <v>225</v>
      </c>
      <c r="R209">
        <v>0</v>
      </c>
    </row>
    <row r="210" spans="1:18" x14ac:dyDescent="0.3">
      <c r="A210" s="20">
        <v>45118</v>
      </c>
      <c r="B210" s="25" t="s">
        <v>920</v>
      </c>
      <c r="C210" s="25" t="s">
        <v>921</v>
      </c>
      <c r="D210" s="25" t="s">
        <v>922</v>
      </c>
      <c r="E210" s="28" t="s">
        <v>923</v>
      </c>
      <c r="F210" s="25">
        <v>983733405</v>
      </c>
      <c r="G210" s="29">
        <v>8</v>
      </c>
      <c r="H210" s="29">
        <v>8</v>
      </c>
      <c r="I210" s="29" t="s">
        <v>924</v>
      </c>
      <c r="J210" s="25" t="s">
        <v>539</v>
      </c>
      <c r="K210" s="25" t="s">
        <v>200</v>
      </c>
      <c r="L210" s="23">
        <f t="shared" si="10"/>
        <v>1785.7142857142856</v>
      </c>
      <c r="M210" s="23">
        <f t="shared" si="11"/>
        <v>214.28571428571425</v>
      </c>
      <c r="N210" s="23">
        <v>2000</v>
      </c>
      <c r="O210" s="27" t="s">
        <v>925</v>
      </c>
      <c r="P210" s="25" t="s">
        <v>339</v>
      </c>
      <c r="Q210" s="25" t="s">
        <v>340</v>
      </c>
      <c r="R210">
        <v>0</v>
      </c>
    </row>
    <row r="211" spans="1:18" x14ac:dyDescent="0.3">
      <c r="A211" s="20">
        <v>45118</v>
      </c>
      <c r="B211" s="25" t="s">
        <v>926</v>
      </c>
      <c r="C211" s="25" t="s">
        <v>927</v>
      </c>
      <c r="D211" s="25" t="s">
        <v>928</v>
      </c>
      <c r="E211" s="28" t="s">
        <v>929</v>
      </c>
      <c r="F211" s="25">
        <v>993034618</v>
      </c>
      <c r="G211" s="29">
        <v>15</v>
      </c>
      <c r="H211" s="29">
        <v>10</v>
      </c>
      <c r="I211" s="29" t="s">
        <v>617</v>
      </c>
      <c r="J211" s="25" t="s">
        <v>539</v>
      </c>
      <c r="K211" s="25" t="s">
        <v>742</v>
      </c>
      <c r="L211" s="23">
        <f t="shared" si="10"/>
        <v>2669.6428571428569</v>
      </c>
      <c r="M211" s="23">
        <f t="shared" si="11"/>
        <v>320.35714285714283</v>
      </c>
      <c r="N211" s="23">
        <v>2990</v>
      </c>
      <c r="O211" s="27" t="s">
        <v>930</v>
      </c>
      <c r="P211" s="25" t="s">
        <v>548</v>
      </c>
      <c r="Q211" s="25" t="s">
        <v>65</v>
      </c>
      <c r="R211">
        <v>0</v>
      </c>
    </row>
    <row r="212" spans="1:18" x14ac:dyDescent="0.3">
      <c r="A212" s="20">
        <v>45119</v>
      </c>
      <c r="B212" s="25" t="s">
        <v>931</v>
      </c>
      <c r="C212" s="25"/>
      <c r="D212" s="25"/>
      <c r="E212" s="28"/>
      <c r="F212" s="25"/>
      <c r="G212" s="29"/>
      <c r="H212" s="29"/>
      <c r="I212" s="29"/>
      <c r="J212" s="25"/>
      <c r="K212" s="25"/>
      <c r="L212" s="23">
        <f t="shared" si="10"/>
        <v>0</v>
      </c>
      <c r="M212" s="23">
        <f t="shared" si="11"/>
        <v>0</v>
      </c>
      <c r="N212" s="23"/>
      <c r="O212" s="27"/>
      <c r="P212" s="25"/>
      <c r="Q212" s="25"/>
      <c r="R212">
        <v>0</v>
      </c>
    </row>
    <row r="213" spans="1:18" x14ac:dyDescent="0.3">
      <c r="A213" s="20">
        <v>45119</v>
      </c>
      <c r="B213" s="25" t="s">
        <v>932</v>
      </c>
      <c r="C213" s="25" t="s">
        <v>933</v>
      </c>
      <c r="D213" s="25" t="s">
        <v>934</v>
      </c>
      <c r="E213" s="28" t="s">
        <v>935</v>
      </c>
      <c r="F213" s="25">
        <v>991207392</v>
      </c>
      <c r="G213" s="29">
        <v>6</v>
      </c>
      <c r="H213" s="29">
        <v>3</v>
      </c>
      <c r="I213" s="29" t="s">
        <v>605</v>
      </c>
      <c r="J213" s="25" t="s">
        <v>539</v>
      </c>
      <c r="K213" s="25" t="s">
        <v>936</v>
      </c>
      <c r="L213" s="23">
        <f t="shared" si="10"/>
        <v>848.21428571428567</v>
      </c>
      <c r="M213" s="23">
        <f t="shared" si="11"/>
        <v>101.78571428571428</v>
      </c>
      <c r="N213" s="23">
        <v>950</v>
      </c>
      <c r="O213" s="27" t="s">
        <v>937</v>
      </c>
      <c r="P213" s="25" t="s">
        <v>224</v>
      </c>
      <c r="Q213" s="25" t="s">
        <v>782</v>
      </c>
      <c r="R213">
        <v>0</v>
      </c>
    </row>
    <row r="214" spans="1:18" x14ac:dyDescent="0.3">
      <c r="A214" s="20">
        <v>45119</v>
      </c>
      <c r="B214" s="25" t="s">
        <v>938</v>
      </c>
      <c r="C214" s="25" t="s">
        <v>939</v>
      </c>
      <c r="D214" s="25" t="s">
        <v>940</v>
      </c>
      <c r="E214" s="28" t="s">
        <v>941</v>
      </c>
      <c r="F214" s="25">
        <v>958920085</v>
      </c>
      <c r="G214" s="29">
        <v>5</v>
      </c>
      <c r="H214" s="29">
        <v>3</v>
      </c>
      <c r="I214" s="29" t="s">
        <v>605</v>
      </c>
      <c r="J214" s="25" t="s">
        <v>539</v>
      </c>
      <c r="K214" s="25" t="s">
        <v>742</v>
      </c>
      <c r="L214" s="23">
        <f t="shared" si="10"/>
        <v>624.99999999999989</v>
      </c>
      <c r="M214" s="23">
        <f t="shared" si="11"/>
        <v>74.999999999999986</v>
      </c>
      <c r="N214" s="23">
        <v>700</v>
      </c>
      <c r="O214" s="27" t="s">
        <v>942</v>
      </c>
      <c r="P214" s="25" t="s">
        <v>335</v>
      </c>
      <c r="Q214" s="25" t="s">
        <v>943</v>
      </c>
      <c r="R214">
        <v>0</v>
      </c>
    </row>
    <row r="215" spans="1:18" x14ac:dyDescent="0.3">
      <c r="A215" s="20">
        <v>45119</v>
      </c>
      <c r="B215" s="25" t="s">
        <v>944</v>
      </c>
      <c r="C215" s="25" t="s">
        <v>945</v>
      </c>
      <c r="D215" s="25" t="s">
        <v>946</v>
      </c>
      <c r="E215" s="28" t="s">
        <v>947</v>
      </c>
      <c r="F215" s="25">
        <v>997343649</v>
      </c>
      <c r="G215" s="29">
        <v>8</v>
      </c>
      <c r="H215" s="29">
        <v>3</v>
      </c>
      <c r="I215" s="29" t="s">
        <v>617</v>
      </c>
      <c r="J215" s="25" t="s">
        <v>539</v>
      </c>
      <c r="K215" s="25" t="s">
        <v>722</v>
      </c>
      <c r="L215" s="23">
        <f t="shared" si="10"/>
        <v>1071.4285714285713</v>
      </c>
      <c r="M215" s="23">
        <f t="shared" si="11"/>
        <v>128.57142857142856</v>
      </c>
      <c r="N215" s="23">
        <v>1200</v>
      </c>
      <c r="O215" s="27" t="s">
        <v>948</v>
      </c>
      <c r="P215" s="25" t="s">
        <v>823</v>
      </c>
      <c r="Q215" s="25" t="s">
        <v>782</v>
      </c>
      <c r="R215">
        <v>0</v>
      </c>
    </row>
    <row r="216" spans="1:18" x14ac:dyDescent="0.3">
      <c r="A216" s="20">
        <v>45120</v>
      </c>
      <c r="B216" s="25" t="s">
        <v>949</v>
      </c>
      <c r="C216" s="25" t="s">
        <v>950</v>
      </c>
      <c r="D216" s="25" t="s">
        <v>951</v>
      </c>
      <c r="E216" s="28" t="s">
        <v>952</v>
      </c>
      <c r="F216" s="25">
        <v>991869124</v>
      </c>
      <c r="G216" s="29">
        <v>10</v>
      </c>
      <c r="H216" s="29">
        <v>7</v>
      </c>
      <c r="I216" s="29" t="s">
        <v>617</v>
      </c>
      <c r="J216" s="25" t="s">
        <v>539</v>
      </c>
      <c r="K216" s="25" t="s">
        <v>736</v>
      </c>
      <c r="L216" s="23">
        <f t="shared" si="10"/>
        <v>1776.7857142857142</v>
      </c>
      <c r="M216" s="23">
        <f t="shared" si="11"/>
        <v>213.21428571428569</v>
      </c>
      <c r="N216" s="23">
        <v>1990</v>
      </c>
      <c r="O216" s="27" t="s">
        <v>953</v>
      </c>
      <c r="P216" s="25" t="s">
        <v>954</v>
      </c>
      <c r="Q216" s="25" t="s">
        <v>225</v>
      </c>
      <c r="R216">
        <v>0</v>
      </c>
    </row>
    <row r="217" spans="1:18" x14ac:dyDescent="0.3">
      <c r="A217" s="20">
        <v>45121</v>
      </c>
      <c r="B217" s="25" t="s">
        <v>955</v>
      </c>
      <c r="C217" s="25" t="s">
        <v>956</v>
      </c>
      <c r="D217" s="25" t="s">
        <v>957</v>
      </c>
      <c r="E217" s="28" t="s">
        <v>958</v>
      </c>
      <c r="F217" s="25">
        <v>990308387</v>
      </c>
      <c r="G217" s="29">
        <v>8</v>
      </c>
      <c r="H217" s="29">
        <v>4</v>
      </c>
      <c r="I217" s="29" t="s">
        <v>617</v>
      </c>
      <c r="J217" s="25" t="s">
        <v>539</v>
      </c>
      <c r="K217" s="25" t="s">
        <v>742</v>
      </c>
      <c r="L217" s="23">
        <f t="shared" si="10"/>
        <v>714.28571428571422</v>
      </c>
      <c r="M217" s="23">
        <f t="shared" si="11"/>
        <v>85.714285714285708</v>
      </c>
      <c r="N217" s="23">
        <v>800</v>
      </c>
      <c r="O217" s="27" t="s">
        <v>959</v>
      </c>
      <c r="P217" s="25" t="s">
        <v>548</v>
      </c>
      <c r="Q217" s="25" t="s">
        <v>65</v>
      </c>
      <c r="R217">
        <v>0</v>
      </c>
    </row>
    <row r="218" spans="1:18" x14ac:dyDescent="0.3">
      <c r="A218" s="20">
        <v>45122</v>
      </c>
      <c r="B218" s="25" t="s">
        <v>960</v>
      </c>
      <c r="C218" s="25" t="s">
        <v>961</v>
      </c>
      <c r="D218" s="25" t="s">
        <v>962</v>
      </c>
      <c r="E218" s="28" t="s">
        <v>963</v>
      </c>
      <c r="F218" s="25">
        <v>988335015</v>
      </c>
      <c r="G218" s="29">
        <v>5</v>
      </c>
      <c r="H218" s="29">
        <v>3</v>
      </c>
      <c r="I218" s="29" t="s">
        <v>605</v>
      </c>
      <c r="J218" s="25" t="s">
        <v>539</v>
      </c>
      <c r="K218" s="25" t="s">
        <v>200</v>
      </c>
      <c r="L218" s="23">
        <f t="shared" si="10"/>
        <v>714.28571428571422</v>
      </c>
      <c r="M218" s="23">
        <f t="shared" si="11"/>
        <v>85.714285714285708</v>
      </c>
      <c r="N218" s="23">
        <v>800</v>
      </c>
      <c r="O218" s="27" t="s">
        <v>964</v>
      </c>
      <c r="P218" s="25" t="s">
        <v>731</v>
      </c>
      <c r="Q218" s="25" t="s">
        <v>65</v>
      </c>
      <c r="R218">
        <v>0</v>
      </c>
    </row>
    <row r="219" spans="1:18" x14ac:dyDescent="0.3">
      <c r="A219" s="20">
        <v>45122</v>
      </c>
      <c r="B219" s="25" t="s">
        <v>965</v>
      </c>
      <c r="C219" s="25" t="s">
        <v>966</v>
      </c>
      <c r="D219" s="25" t="s">
        <v>967</v>
      </c>
      <c r="E219" s="28" t="s">
        <v>968</v>
      </c>
      <c r="F219" s="25">
        <v>986825716</v>
      </c>
      <c r="G219" s="29">
        <v>4</v>
      </c>
      <c r="H219" s="29">
        <v>2</v>
      </c>
      <c r="I219" s="29" t="s">
        <v>605</v>
      </c>
      <c r="J219" s="25" t="s">
        <v>539</v>
      </c>
      <c r="K219" s="25" t="s">
        <v>736</v>
      </c>
      <c r="L219" s="23">
        <f t="shared" si="10"/>
        <v>624.99999999999989</v>
      </c>
      <c r="M219" s="23">
        <f t="shared" si="11"/>
        <v>74.999999999999986</v>
      </c>
      <c r="N219" s="23">
        <v>700</v>
      </c>
      <c r="O219" s="27" t="s">
        <v>969</v>
      </c>
      <c r="P219" s="25" t="s">
        <v>339</v>
      </c>
      <c r="Q219" s="25" t="s">
        <v>340</v>
      </c>
      <c r="R219">
        <v>0</v>
      </c>
    </row>
    <row r="220" spans="1:18" x14ac:dyDescent="0.3">
      <c r="A220" s="36">
        <v>45125</v>
      </c>
      <c r="B220" s="25" t="s">
        <v>970</v>
      </c>
      <c r="C220" s="25" t="s">
        <v>971</v>
      </c>
      <c r="D220" s="25" t="s">
        <v>972</v>
      </c>
      <c r="E220" s="28" t="s">
        <v>973</v>
      </c>
      <c r="F220" s="25">
        <v>999572260</v>
      </c>
      <c r="G220" s="29">
        <v>4</v>
      </c>
      <c r="H220" s="29">
        <v>3</v>
      </c>
      <c r="I220" s="29" t="s">
        <v>605</v>
      </c>
      <c r="J220" s="25" t="s">
        <v>539</v>
      </c>
      <c r="K220" s="25" t="s">
        <v>974</v>
      </c>
      <c r="L220" s="23">
        <f t="shared" si="10"/>
        <v>535.71428571428567</v>
      </c>
      <c r="M220" s="23">
        <f t="shared" si="11"/>
        <v>64.285714285714278</v>
      </c>
      <c r="N220" s="23">
        <v>600</v>
      </c>
      <c r="O220" s="27" t="s">
        <v>975</v>
      </c>
      <c r="P220" s="25" t="s">
        <v>339</v>
      </c>
      <c r="Q220" s="25" t="s">
        <v>65</v>
      </c>
      <c r="R220">
        <v>0</v>
      </c>
    </row>
    <row r="221" spans="1:18" x14ac:dyDescent="0.3">
      <c r="A221" s="36">
        <v>45125</v>
      </c>
      <c r="B221" s="25" t="s">
        <v>976</v>
      </c>
      <c r="C221" s="25" t="s">
        <v>977</v>
      </c>
      <c r="D221" s="25" t="s">
        <v>978</v>
      </c>
      <c r="E221" s="28" t="s">
        <v>979</v>
      </c>
      <c r="F221" s="25">
        <v>967622121</v>
      </c>
      <c r="G221" s="29">
        <v>8</v>
      </c>
      <c r="H221" s="29">
        <v>6</v>
      </c>
      <c r="I221" s="29" t="s">
        <v>617</v>
      </c>
      <c r="J221" s="25" t="s">
        <v>539</v>
      </c>
      <c r="K221" s="25" t="s">
        <v>980</v>
      </c>
      <c r="L221" s="23">
        <f t="shared" si="10"/>
        <v>1776.7857142857142</v>
      </c>
      <c r="M221" s="23">
        <f t="shared" si="11"/>
        <v>213.21428571428569</v>
      </c>
      <c r="N221" s="23">
        <v>1990</v>
      </c>
      <c r="O221" s="27" t="s">
        <v>981</v>
      </c>
      <c r="P221" s="25" t="s">
        <v>68</v>
      </c>
      <c r="Q221" s="25" t="s">
        <v>225</v>
      </c>
      <c r="R221">
        <v>0</v>
      </c>
    </row>
    <row r="222" spans="1:18" x14ac:dyDescent="0.3">
      <c r="A222" s="36">
        <v>45125</v>
      </c>
      <c r="B222" s="25" t="s">
        <v>982</v>
      </c>
      <c r="C222" s="25" t="s">
        <v>983</v>
      </c>
      <c r="D222" s="25" t="s">
        <v>984</v>
      </c>
      <c r="E222" s="28" t="s">
        <v>985</v>
      </c>
      <c r="F222" s="25">
        <v>998600860</v>
      </c>
      <c r="G222" s="29">
        <v>6</v>
      </c>
      <c r="H222" s="29">
        <v>8</v>
      </c>
      <c r="I222" s="29" t="s">
        <v>605</v>
      </c>
      <c r="J222" s="25" t="s">
        <v>539</v>
      </c>
      <c r="K222" s="25" t="s">
        <v>200</v>
      </c>
      <c r="L222" s="23">
        <f t="shared" si="10"/>
        <v>2401.7857142857142</v>
      </c>
      <c r="M222" s="23">
        <f t="shared" si="11"/>
        <v>288.21428571428572</v>
      </c>
      <c r="N222" s="23">
        <v>2690</v>
      </c>
      <c r="O222" s="27" t="s">
        <v>986</v>
      </c>
      <c r="P222" s="25" t="s">
        <v>782</v>
      </c>
      <c r="Q222" s="25" t="s">
        <v>782</v>
      </c>
      <c r="R222">
        <v>0</v>
      </c>
    </row>
    <row r="223" spans="1:18" x14ac:dyDescent="0.3">
      <c r="A223" s="20">
        <v>45126</v>
      </c>
      <c r="B223" s="25" t="s">
        <v>987</v>
      </c>
      <c r="C223" s="25" t="s">
        <v>988</v>
      </c>
      <c r="D223" s="25" t="s">
        <v>989</v>
      </c>
      <c r="E223" s="28" t="s">
        <v>990</v>
      </c>
      <c r="F223" s="25">
        <v>992097207</v>
      </c>
      <c r="G223" s="29">
        <v>7</v>
      </c>
      <c r="H223" s="29">
        <v>3</v>
      </c>
      <c r="I223" s="29" t="s">
        <v>605</v>
      </c>
      <c r="J223" s="25" t="s">
        <v>539</v>
      </c>
      <c r="K223" s="25" t="s">
        <v>742</v>
      </c>
      <c r="L223" s="23">
        <f t="shared" si="10"/>
        <v>624.99999999999989</v>
      </c>
      <c r="M223" s="23">
        <f t="shared" si="11"/>
        <v>74.999999999999986</v>
      </c>
      <c r="N223" s="23">
        <v>700</v>
      </c>
      <c r="O223" s="27" t="s">
        <v>991</v>
      </c>
      <c r="P223" s="25" t="s">
        <v>548</v>
      </c>
      <c r="Q223" s="25" t="s">
        <v>225</v>
      </c>
      <c r="R223">
        <v>0</v>
      </c>
    </row>
    <row r="224" spans="1:18" x14ac:dyDescent="0.3">
      <c r="A224" s="20">
        <v>45126</v>
      </c>
      <c r="B224" s="25" t="s">
        <v>992</v>
      </c>
      <c r="C224" s="25" t="s">
        <v>324</v>
      </c>
      <c r="D224" s="25" t="s">
        <v>993</v>
      </c>
      <c r="E224" s="28" t="s">
        <v>994</v>
      </c>
      <c r="F224" s="25">
        <v>985868278</v>
      </c>
      <c r="G224" s="29">
        <v>8</v>
      </c>
      <c r="H224" s="29">
        <v>5</v>
      </c>
      <c r="I224" s="29" t="s">
        <v>871</v>
      </c>
      <c r="J224" s="25" t="s">
        <v>539</v>
      </c>
      <c r="K224" s="25" t="s">
        <v>722</v>
      </c>
      <c r="L224" s="23">
        <f t="shared" si="10"/>
        <v>937.49999999999989</v>
      </c>
      <c r="M224" s="23">
        <f t="shared" si="11"/>
        <v>112.49999999999999</v>
      </c>
      <c r="N224" s="23">
        <v>1050</v>
      </c>
      <c r="O224" s="27" t="s">
        <v>995</v>
      </c>
      <c r="P224" s="25" t="s">
        <v>954</v>
      </c>
      <c r="Q224" s="25" t="s">
        <v>340</v>
      </c>
      <c r="R224">
        <v>0</v>
      </c>
    </row>
    <row r="225" spans="1:18" x14ac:dyDescent="0.3">
      <c r="A225" s="20">
        <v>45126</v>
      </c>
      <c r="B225" s="25" t="s">
        <v>996</v>
      </c>
      <c r="C225" s="25" t="s">
        <v>997</v>
      </c>
      <c r="D225" s="25" t="s">
        <v>998</v>
      </c>
      <c r="E225" s="28" t="s">
        <v>999</v>
      </c>
      <c r="F225" s="25">
        <v>962105395</v>
      </c>
      <c r="G225" s="29">
        <v>8</v>
      </c>
      <c r="H225" s="29"/>
      <c r="I225" s="29" t="s">
        <v>617</v>
      </c>
      <c r="J225" s="25" t="s">
        <v>539</v>
      </c>
      <c r="K225" s="25" t="s">
        <v>199</v>
      </c>
      <c r="L225" s="23">
        <f t="shared" si="10"/>
        <v>1776.7857142857142</v>
      </c>
      <c r="M225" s="23">
        <f t="shared" si="11"/>
        <v>213.21428571428569</v>
      </c>
      <c r="N225" s="23">
        <v>1990</v>
      </c>
      <c r="O225" s="27" t="s">
        <v>1000</v>
      </c>
      <c r="P225" s="25" t="s">
        <v>339</v>
      </c>
      <c r="Q225" s="25" t="s">
        <v>58</v>
      </c>
      <c r="R225">
        <v>0</v>
      </c>
    </row>
    <row r="226" spans="1:18" x14ac:dyDescent="0.3">
      <c r="A226" s="20">
        <v>45127</v>
      </c>
      <c r="B226" s="25" t="s">
        <v>1001</v>
      </c>
      <c r="C226" s="25" t="s">
        <v>1002</v>
      </c>
      <c r="D226" s="25" t="s">
        <v>1003</v>
      </c>
      <c r="E226" s="28" t="s">
        <v>1004</v>
      </c>
      <c r="F226" s="25">
        <v>988295388</v>
      </c>
      <c r="G226" s="29">
        <v>6</v>
      </c>
      <c r="H226" s="29">
        <v>5</v>
      </c>
      <c r="I226" s="29" t="s">
        <v>617</v>
      </c>
      <c r="J226" s="25" t="s">
        <v>539</v>
      </c>
      <c r="K226" s="25" t="s">
        <v>1005</v>
      </c>
      <c r="L226" s="23">
        <f t="shared" si="10"/>
        <v>1776.7857142857142</v>
      </c>
      <c r="M226" s="23">
        <f t="shared" si="11"/>
        <v>213.21428571428569</v>
      </c>
      <c r="N226" s="23">
        <v>1990</v>
      </c>
      <c r="O226" s="27" t="s">
        <v>1006</v>
      </c>
      <c r="P226" s="25" t="s">
        <v>68</v>
      </c>
      <c r="Q226" s="25" t="s">
        <v>225</v>
      </c>
      <c r="R226">
        <v>0</v>
      </c>
    </row>
    <row r="227" spans="1:18" x14ac:dyDescent="0.3">
      <c r="A227" s="20">
        <v>45127</v>
      </c>
      <c r="B227" s="25" t="s">
        <v>1007</v>
      </c>
      <c r="C227" s="25" t="s">
        <v>1008</v>
      </c>
      <c r="D227" s="25" t="s">
        <v>1009</v>
      </c>
      <c r="E227" s="28" t="s">
        <v>1010</v>
      </c>
      <c r="F227" s="25">
        <v>986145562</v>
      </c>
      <c r="G227" s="29">
        <v>7</v>
      </c>
      <c r="H227" s="29">
        <v>3</v>
      </c>
      <c r="I227" s="29" t="s">
        <v>605</v>
      </c>
      <c r="J227" s="25" t="s">
        <v>539</v>
      </c>
      <c r="K227" s="25" t="s">
        <v>980</v>
      </c>
      <c r="L227" s="23">
        <f t="shared" si="10"/>
        <v>624.99999999999989</v>
      </c>
      <c r="M227" s="23">
        <f t="shared" si="11"/>
        <v>74.999999999999986</v>
      </c>
      <c r="N227" s="23">
        <v>700</v>
      </c>
      <c r="O227" s="27" t="s">
        <v>1011</v>
      </c>
      <c r="P227" s="25" t="s">
        <v>339</v>
      </c>
      <c r="Q227" s="25" t="s">
        <v>225</v>
      </c>
      <c r="R227">
        <v>0</v>
      </c>
    </row>
    <row r="228" spans="1:18" x14ac:dyDescent="0.3">
      <c r="A228" s="20">
        <v>45128</v>
      </c>
      <c r="B228" s="25" t="s">
        <v>1012</v>
      </c>
      <c r="C228" s="25" t="s">
        <v>1013</v>
      </c>
      <c r="D228" s="25" t="s">
        <v>1014</v>
      </c>
      <c r="E228" s="28" t="s">
        <v>1015</v>
      </c>
      <c r="F228" s="25">
        <v>980066080</v>
      </c>
      <c r="G228" s="29">
        <v>5</v>
      </c>
      <c r="H228" s="29">
        <v>3</v>
      </c>
      <c r="I228" s="29" t="s">
        <v>605</v>
      </c>
      <c r="J228" s="25" t="s">
        <v>539</v>
      </c>
      <c r="K228" s="25" t="s">
        <v>722</v>
      </c>
      <c r="L228" s="23">
        <f t="shared" si="10"/>
        <v>937.49999999999989</v>
      </c>
      <c r="M228" s="23">
        <f t="shared" si="11"/>
        <v>112.49999999999999</v>
      </c>
      <c r="N228" s="23">
        <v>1050</v>
      </c>
      <c r="O228" s="27" t="s">
        <v>1016</v>
      </c>
      <c r="P228" s="25" t="s">
        <v>954</v>
      </c>
      <c r="Q228" s="25" t="s">
        <v>65</v>
      </c>
      <c r="R228" s="29" t="s">
        <v>1017</v>
      </c>
    </row>
    <row r="229" spans="1:18" x14ac:dyDescent="0.3">
      <c r="A229" s="20">
        <v>45128</v>
      </c>
      <c r="B229" s="25" t="s">
        <v>1018</v>
      </c>
      <c r="C229" s="25" t="s">
        <v>1019</v>
      </c>
      <c r="D229" s="25" t="s">
        <v>1020</v>
      </c>
      <c r="E229" s="28" t="s">
        <v>1021</v>
      </c>
      <c r="F229" s="25">
        <v>986895446</v>
      </c>
      <c r="G229" s="29">
        <v>5</v>
      </c>
      <c r="H229" s="29">
        <v>2</v>
      </c>
      <c r="I229" s="29" t="s">
        <v>605</v>
      </c>
      <c r="J229" s="25" t="s">
        <v>539</v>
      </c>
      <c r="K229" s="25" t="s">
        <v>742</v>
      </c>
      <c r="L229" s="23">
        <f t="shared" si="10"/>
        <v>446.42857142857139</v>
      </c>
      <c r="M229" s="23">
        <f t="shared" si="11"/>
        <v>53.571428571428562</v>
      </c>
      <c r="N229" s="23">
        <v>500</v>
      </c>
      <c r="O229" s="27" t="s">
        <v>1022</v>
      </c>
      <c r="P229" s="25" t="s">
        <v>731</v>
      </c>
      <c r="Q229" s="25" t="s">
        <v>58</v>
      </c>
      <c r="R229" s="29">
        <v>0</v>
      </c>
    </row>
    <row r="230" spans="1:18" x14ac:dyDescent="0.3">
      <c r="A230" s="20">
        <v>45128</v>
      </c>
      <c r="B230" s="25" t="s">
        <v>1023</v>
      </c>
      <c r="C230" s="25" t="s">
        <v>1024</v>
      </c>
      <c r="D230" s="25" t="s">
        <v>1025</v>
      </c>
      <c r="E230" s="37" t="s">
        <v>1026</v>
      </c>
      <c r="F230" s="25">
        <v>989790346</v>
      </c>
      <c r="G230" s="29">
        <v>6</v>
      </c>
      <c r="H230" s="29">
        <v>3</v>
      </c>
      <c r="I230" s="29" t="s">
        <v>605</v>
      </c>
      <c r="J230" s="25" t="s">
        <v>539</v>
      </c>
      <c r="K230" s="25" t="s">
        <v>980</v>
      </c>
      <c r="L230" s="23">
        <f t="shared" si="10"/>
        <v>857.14285714285711</v>
      </c>
      <c r="M230" s="23">
        <f t="shared" si="11"/>
        <v>102.85714285714285</v>
      </c>
      <c r="N230" s="23">
        <v>960</v>
      </c>
      <c r="O230" s="27" t="s">
        <v>1027</v>
      </c>
      <c r="P230" s="25" t="s">
        <v>782</v>
      </c>
      <c r="Q230" s="25" t="s">
        <v>65</v>
      </c>
      <c r="R230" s="29">
        <v>0</v>
      </c>
    </row>
    <row r="231" spans="1:18" x14ac:dyDescent="0.3">
      <c r="A231" s="20">
        <v>45129</v>
      </c>
      <c r="B231" s="25" t="s">
        <v>1028</v>
      </c>
      <c r="C231" s="25" t="s">
        <v>1029</v>
      </c>
      <c r="D231" s="25" t="s">
        <v>1030</v>
      </c>
      <c r="E231" s="33">
        <v>1725782658</v>
      </c>
      <c r="F231" s="25">
        <v>988182831</v>
      </c>
      <c r="G231" s="29">
        <v>10</v>
      </c>
      <c r="H231" s="29">
        <v>10</v>
      </c>
      <c r="I231" s="29" t="s">
        <v>617</v>
      </c>
      <c r="J231" s="25" t="s">
        <v>539</v>
      </c>
      <c r="K231" s="25" t="s">
        <v>980</v>
      </c>
      <c r="L231" s="23">
        <f t="shared" si="10"/>
        <v>5071.4285714285706</v>
      </c>
      <c r="M231" s="23">
        <f t="shared" si="11"/>
        <v>608.57142857142844</v>
      </c>
      <c r="N231" s="23">
        <v>5680</v>
      </c>
      <c r="O231" s="27" t="s">
        <v>1031</v>
      </c>
      <c r="P231" s="25" t="s">
        <v>339</v>
      </c>
      <c r="Q231" s="25" t="s">
        <v>65</v>
      </c>
      <c r="R231" s="29" t="s">
        <v>1032</v>
      </c>
    </row>
    <row r="232" spans="1:18" x14ac:dyDescent="0.3">
      <c r="A232" s="20">
        <v>45132</v>
      </c>
      <c r="B232" s="25" t="s">
        <v>1033</v>
      </c>
      <c r="C232" s="25" t="s">
        <v>1034</v>
      </c>
      <c r="D232" s="25" t="s">
        <v>1035</v>
      </c>
      <c r="E232" s="33">
        <v>1004113963</v>
      </c>
      <c r="F232" s="25">
        <v>996792893</v>
      </c>
      <c r="G232" s="29">
        <v>12</v>
      </c>
      <c r="H232" s="29">
        <v>7</v>
      </c>
      <c r="I232" s="29" t="s">
        <v>617</v>
      </c>
      <c r="J232" s="38" t="s">
        <v>539</v>
      </c>
      <c r="K232" s="39" t="s">
        <v>1036</v>
      </c>
      <c r="L232" s="38">
        <f t="shared" si="10"/>
        <v>1334.8214285714284</v>
      </c>
      <c r="M232" s="40">
        <f t="shared" si="11"/>
        <v>160.17857142857142</v>
      </c>
      <c r="N232" s="30">
        <v>1495</v>
      </c>
      <c r="O232" s="27" t="s">
        <v>1037</v>
      </c>
      <c r="P232" s="35" t="s">
        <v>731</v>
      </c>
      <c r="Q232" s="35" t="s">
        <v>58</v>
      </c>
      <c r="R232" s="25">
        <v>0</v>
      </c>
    </row>
    <row r="233" spans="1:18" x14ac:dyDescent="0.3">
      <c r="A233" s="20">
        <v>45132</v>
      </c>
      <c r="B233" s="25" t="s">
        <v>1038</v>
      </c>
      <c r="C233" s="25" t="s">
        <v>1039</v>
      </c>
      <c r="D233" s="25" t="s">
        <v>1040</v>
      </c>
      <c r="E233" s="41" t="s">
        <v>1041</v>
      </c>
      <c r="F233" s="25">
        <v>986155185</v>
      </c>
      <c r="G233" s="29">
        <v>6</v>
      </c>
      <c r="H233" s="29">
        <v>3</v>
      </c>
      <c r="I233" s="29" t="s">
        <v>605</v>
      </c>
      <c r="J233" s="38" t="s">
        <v>539</v>
      </c>
      <c r="K233" s="42" t="s">
        <v>200</v>
      </c>
      <c r="L233" s="38">
        <f t="shared" si="10"/>
        <v>892.85714285714278</v>
      </c>
      <c r="M233" s="40">
        <f t="shared" si="11"/>
        <v>107.14285714285712</v>
      </c>
      <c r="N233" s="30">
        <v>1000</v>
      </c>
      <c r="O233" s="27" t="s">
        <v>1042</v>
      </c>
      <c r="P233" s="35" t="s">
        <v>548</v>
      </c>
      <c r="Q233" s="35" t="s">
        <v>340</v>
      </c>
      <c r="R233" s="25">
        <v>0</v>
      </c>
    </row>
    <row r="234" spans="1:18" x14ac:dyDescent="0.3">
      <c r="A234" s="20">
        <v>45133</v>
      </c>
      <c r="B234" s="25" t="s">
        <v>1043</v>
      </c>
      <c r="C234" s="25" t="s">
        <v>1044</v>
      </c>
      <c r="D234" s="25" t="s">
        <v>1045</v>
      </c>
      <c r="E234" s="33">
        <v>1002613477</v>
      </c>
      <c r="F234" s="25">
        <v>981018538</v>
      </c>
      <c r="G234" s="29">
        <v>10</v>
      </c>
      <c r="H234" s="29">
        <v>8</v>
      </c>
      <c r="I234" s="29" t="s">
        <v>617</v>
      </c>
      <c r="J234" s="38" t="s">
        <v>539</v>
      </c>
      <c r="K234" s="42" t="s">
        <v>199</v>
      </c>
      <c r="L234" s="38">
        <f t="shared" si="10"/>
        <v>2669.6428571428569</v>
      </c>
      <c r="M234" s="40">
        <f t="shared" si="11"/>
        <v>320.35714285714283</v>
      </c>
      <c r="N234" s="30">
        <v>2990</v>
      </c>
      <c r="O234" s="27" t="s">
        <v>1046</v>
      </c>
      <c r="P234" s="35" t="s">
        <v>335</v>
      </c>
      <c r="Q234" s="35" t="s">
        <v>340</v>
      </c>
      <c r="R234" s="25">
        <v>0</v>
      </c>
    </row>
    <row r="235" spans="1:18" x14ac:dyDescent="0.3">
      <c r="A235" s="20">
        <v>45134</v>
      </c>
      <c r="B235" s="25" t="s">
        <v>1047</v>
      </c>
      <c r="C235" s="25" t="s">
        <v>1048</v>
      </c>
      <c r="D235" s="25" t="s">
        <v>1049</v>
      </c>
      <c r="E235" s="33">
        <v>1001790201</v>
      </c>
      <c r="F235" s="25">
        <v>994431942</v>
      </c>
      <c r="G235" s="29">
        <v>10</v>
      </c>
      <c r="H235" s="29">
        <v>10</v>
      </c>
      <c r="I235" s="29" t="s">
        <v>617</v>
      </c>
      <c r="J235" s="38" t="s">
        <v>539</v>
      </c>
      <c r="K235" s="38" t="s">
        <v>200</v>
      </c>
      <c r="L235" s="38">
        <f t="shared" si="10"/>
        <v>2669.6428571428569</v>
      </c>
      <c r="M235" s="40">
        <f t="shared" si="11"/>
        <v>320.35714285714283</v>
      </c>
      <c r="N235" s="30">
        <v>2990</v>
      </c>
      <c r="O235" s="27" t="s">
        <v>1050</v>
      </c>
      <c r="P235" s="35" t="s">
        <v>731</v>
      </c>
      <c r="Q235" s="35" t="s">
        <v>340</v>
      </c>
      <c r="R235" s="25">
        <v>0</v>
      </c>
    </row>
    <row r="236" spans="1:18" x14ac:dyDescent="0.3">
      <c r="A236" s="20">
        <v>45135</v>
      </c>
      <c r="B236" s="25" t="s">
        <v>1051</v>
      </c>
      <c r="C236" s="25" t="s">
        <v>1052</v>
      </c>
      <c r="D236" s="25" t="s">
        <v>1053</v>
      </c>
      <c r="E236" s="33">
        <v>1002069274</v>
      </c>
      <c r="F236" s="25">
        <v>997134471</v>
      </c>
      <c r="G236" s="29">
        <v>7</v>
      </c>
      <c r="H236" s="29">
        <v>3</v>
      </c>
      <c r="I236" s="29" t="s">
        <v>617</v>
      </c>
      <c r="J236" s="38" t="s">
        <v>539</v>
      </c>
      <c r="K236" s="38" t="s">
        <v>200</v>
      </c>
      <c r="L236" s="38">
        <f t="shared" si="10"/>
        <v>1249.9999999999998</v>
      </c>
      <c r="M236" s="40">
        <f t="shared" si="11"/>
        <v>149.99999999999997</v>
      </c>
      <c r="N236" s="30">
        <v>1400</v>
      </c>
      <c r="O236" s="27" t="s">
        <v>1054</v>
      </c>
      <c r="P236" s="35" t="s">
        <v>782</v>
      </c>
      <c r="Q236" s="35" t="s">
        <v>58</v>
      </c>
      <c r="R236" s="25">
        <v>0</v>
      </c>
    </row>
    <row r="237" spans="1:18" x14ac:dyDescent="0.3">
      <c r="A237" s="20">
        <v>45135</v>
      </c>
      <c r="B237" s="25" t="s">
        <v>1055</v>
      </c>
      <c r="C237" s="25" t="s">
        <v>1056</v>
      </c>
      <c r="D237" s="25" t="s">
        <v>1057</v>
      </c>
      <c r="E237" s="33">
        <v>1002960431</v>
      </c>
      <c r="F237" s="25">
        <v>995574638</v>
      </c>
      <c r="G237" s="29">
        <v>7</v>
      </c>
      <c r="H237" s="29">
        <v>5</v>
      </c>
      <c r="I237" s="29" t="s">
        <v>617</v>
      </c>
      <c r="J237" s="38" t="s">
        <v>539</v>
      </c>
      <c r="K237" s="38" t="s">
        <v>722</v>
      </c>
      <c r="L237" s="38">
        <f t="shared" si="10"/>
        <v>1776.7857142857142</v>
      </c>
      <c r="M237" s="40">
        <f t="shared" si="11"/>
        <v>213.21428571428569</v>
      </c>
      <c r="N237" s="30">
        <v>1990</v>
      </c>
      <c r="O237" s="27" t="s">
        <v>1058</v>
      </c>
      <c r="P237" s="35" t="s">
        <v>335</v>
      </c>
      <c r="Q237" s="35" t="s">
        <v>65</v>
      </c>
      <c r="R237" s="25">
        <v>0</v>
      </c>
    </row>
    <row r="238" spans="1:18" x14ac:dyDescent="0.3">
      <c r="A238" s="20">
        <v>45135</v>
      </c>
      <c r="B238" s="25" t="s">
        <v>1059</v>
      </c>
      <c r="C238" s="25" t="s">
        <v>1060</v>
      </c>
      <c r="D238" s="25" t="s">
        <v>1061</v>
      </c>
      <c r="E238" s="33">
        <v>1001247541</v>
      </c>
      <c r="F238" s="25">
        <v>987062209</v>
      </c>
      <c r="G238" s="29">
        <v>6</v>
      </c>
      <c r="H238" s="29">
        <v>5</v>
      </c>
      <c r="I238" s="29" t="s">
        <v>617</v>
      </c>
      <c r="J238" s="43" t="s">
        <v>539</v>
      </c>
      <c r="K238" s="43" t="s">
        <v>200</v>
      </c>
      <c r="L238" s="38">
        <f t="shared" si="10"/>
        <v>1428.5714285714284</v>
      </c>
      <c r="M238" s="38">
        <f t="shared" si="11"/>
        <v>171.42857142857142</v>
      </c>
      <c r="N238" s="23">
        <v>1600</v>
      </c>
      <c r="O238" s="27" t="s">
        <v>1062</v>
      </c>
      <c r="P238" s="35" t="s">
        <v>548</v>
      </c>
      <c r="Q238" s="35" t="s">
        <v>58</v>
      </c>
      <c r="R238" s="25">
        <v>0</v>
      </c>
    </row>
    <row r="239" spans="1:18" x14ac:dyDescent="0.3">
      <c r="A239" s="20">
        <v>45135</v>
      </c>
      <c r="B239" s="25" t="s">
        <v>1063</v>
      </c>
      <c r="C239" s="25" t="s">
        <v>1064</v>
      </c>
      <c r="D239" s="25" t="s">
        <v>1065</v>
      </c>
      <c r="E239" s="33">
        <v>1002641486</v>
      </c>
      <c r="F239" s="25">
        <v>991945798</v>
      </c>
      <c r="G239" s="29">
        <v>7</v>
      </c>
      <c r="H239" s="29">
        <v>5</v>
      </c>
      <c r="I239" s="29" t="s">
        <v>617</v>
      </c>
      <c r="J239" s="43" t="s">
        <v>539</v>
      </c>
      <c r="K239" s="43" t="s">
        <v>722</v>
      </c>
      <c r="L239" s="38">
        <f t="shared" si="10"/>
        <v>1776.7857142857142</v>
      </c>
      <c r="M239" s="38">
        <f t="shared" si="11"/>
        <v>213.21428571428569</v>
      </c>
      <c r="N239" s="23">
        <v>1990</v>
      </c>
      <c r="O239" s="27" t="s">
        <v>1066</v>
      </c>
      <c r="P239" s="35" t="s">
        <v>954</v>
      </c>
      <c r="Q239" s="35" t="s">
        <v>65</v>
      </c>
      <c r="R239" s="25">
        <v>0</v>
      </c>
    </row>
    <row r="240" spans="1:18" x14ac:dyDescent="0.3">
      <c r="A240" s="20">
        <v>45135</v>
      </c>
      <c r="B240" s="25" t="s">
        <v>1067</v>
      </c>
      <c r="C240" s="25" t="s">
        <v>1068</v>
      </c>
      <c r="D240" s="25" t="s">
        <v>1069</v>
      </c>
      <c r="E240" s="33">
        <v>1003778915</v>
      </c>
      <c r="F240" s="25">
        <v>994275665</v>
      </c>
      <c r="G240" s="29">
        <v>7</v>
      </c>
      <c r="H240" s="29">
        <v>5</v>
      </c>
      <c r="I240" s="29" t="s">
        <v>605</v>
      </c>
      <c r="J240" s="43" t="s">
        <v>821</v>
      </c>
      <c r="K240" s="43" t="s">
        <v>199</v>
      </c>
      <c r="L240" s="38">
        <f t="shared" si="10"/>
        <v>803.57142857142844</v>
      </c>
      <c r="M240" s="38">
        <f t="shared" si="11"/>
        <v>96.428571428571416</v>
      </c>
      <c r="N240" s="23">
        <v>900</v>
      </c>
      <c r="O240" s="27" t="s">
        <v>1070</v>
      </c>
      <c r="P240" s="35" t="s">
        <v>823</v>
      </c>
      <c r="Q240" s="35" t="s">
        <v>58</v>
      </c>
      <c r="R240" s="25">
        <v>0</v>
      </c>
    </row>
    <row r="241" spans="1:18" x14ac:dyDescent="0.3">
      <c r="A241" s="20">
        <v>45139</v>
      </c>
      <c r="B241" s="25" t="s">
        <v>1071</v>
      </c>
      <c r="C241" s="25" t="s">
        <v>1072</v>
      </c>
      <c r="D241" s="25" t="s">
        <v>1073</v>
      </c>
      <c r="E241" s="44" t="s">
        <v>1074</v>
      </c>
      <c r="F241" s="25">
        <v>988472074</v>
      </c>
      <c r="G241" s="29">
        <v>5</v>
      </c>
      <c r="H241" s="29">
        <v>3</v>
      </c>
      <c r="I241" s="29" t="s">
        <v>605</v>
      </c>
      <c r="J241" s="25" t="s">
        <v>539</v>
      </c>
      <c r="K241" s="25" t="s">
        <v>199</v>
      </c>
      <c r="L241" s="23">
        <f>+N241/1.12</f>
        <v>1071.4285714285713</v>
      </c>
      <c r="M241" s="23">
        <f>+L241*12%</f>
        <v>128.57142857142856</v>
      </c>
      <c r="N241" s="23">
        <v>1200</v>
      </c>
      <c r="O241" s="27" t="s">
        <v>1075</v>
      </c>
      <c r="P241" s="25" t="s">
        <v>731</v>
      </c>
      <c r="Q241" s="25" t="s">
        <v>65</v>
      </c>
      <c r="R241" s="25">
        <v>0</v>
      </c>
    </row>
    <row r="242" spans="1:18" x14ac:dyDescent="0.3">
      <c r="A242" s="20">
        <v>45139</v>
      </c>
      <c r="B242" s="25" t="s">
        <v>1076</v>
      </c>
      <c r="C242" s="25" t="s">
        <v>1077</v>
      </c>
      <c r="D242" s="25" t="s">
        <v>1078</v>
      </c>
      <c r="E242" s="44" t="s">
        <v>1079</v>
      </c>
      <c r="F242" s="25">
        <v>986288880</v>
      </c>
      <c r="G242" s="29">
        <v>7</v>
      </c>
      <c r="H242" s="29">
        <v>4</v>
      </c>
      <c r="I242" s="29" t="s">
        <v>617</v>
      </c>
      <c r="J242" s="25" t="s">
        <v>821</v>
      </c>
      <c r="K242" s="25" t="s">
        <v>200</v>
      </c>
      <c r="L242" s="23">
        <f t="shared" ref="L242:L305" si="12">+N242/1.12</f>
        <v>1339.2857142857142</v>
      </c>
      <c r="M242" s="23">
        <f t="shared" ref="M242:M305" si="13">+L242*12%</f>
        <v>160.71428571428569</v>
      </c>
      <c r="N242" s="23">
        <v>1500</v>
      </c>
      <c r="O242" s="27" t="s">
        <v>1080</v>
      </c>
      <c r="P242" s="25" t="s">
        <v>782</v>
      </c>
      <c r="Q242" s="25" t="s">
        <v>358</v>
      </c>
      <c r="R242" s="25">
        <v>0</v>
      </c>
    </row>
    <row r="243" spans="1:18" x14ac:dyDescent="0.3">
      <c r="A243" s="20">
        <v>45140</v>
      </c>
      <c r="B243" s="25" t="s">
        <v>1081</v>
      </c>
      <c r="C243" s="25" t="s">
        <v>1082</v>
      </c>
      <c r="D243" s="25" t="s">
        <v>1083</v>
      </c>
      <c r="E243" s="44" t="s">
        <v>1084</v>
      </c>
      <c r="F243" s="25">
        <v>983287440</v>
      </c>
      <c r="G243" s="29">
        <v>7</v>
      </c>
      <c r="H243" s="29">
        <v>6</v>
      </c>
      <c r="I243" s="29" t="s">
        <v>605</v>
      </c>
      <c r="J243" s="25" t="s">
        <v>539</v>
      </c>
      <c r="K243" s="25" t="s">
        <v>200</v>
      </c>
      <c r="L243" s="23">
        <f t="shared" si="12"/>
        <v>1776.7857142857142</v>
      </c>
      <c r="M243" s="23">
        <f t="shared" si="13"/>
        <v>213.21428571428569</v>
      </c>
      <c r="N243" s="23">
        <v>1990</v>
      </c>
      <c r="O243" s="27" t="s">
        <v>1085</v>
      </c>
      <c r="P243" s="25" t="s">
        <v>337</v>
      </c>
      <c r="Q243" s="25" t="s">
        <v>225</v>
      </c>
      <c r="R243" s="25">
        <v>0</v>
      </c>
    </row>
    <row r="244" spans="1:18" x14ac:dyDescent="0.3">
      <c r="A244" s="20">
        <v>45141</v>
      </c>
      <c r="B244" s="25" t="s">
        <v>1086</v>
      </c>
      <c r="C244" s="25" t="s">
        <v>1087</v>
      </c>
      <c r="D244" s="25" t="s">
        <v>1088</v>
      </c>
      <c r="E244" s="44" t="s">
        <v>1089</v>
      </c>
      <c r="F244" s="25">
        <v>986046217</v>
      </c>
      <c r="G244" s="29">
        <v>7</v>
      </c>
      <c r="H244" s="29">
        <v>5</v>
      </c>
      <c r="I244" s="45" t="s">
        <v>617</v>
      </c>
      <c r="J244" s="252" t="s">
        <v>1090</v>
      </c>
      <c r="K244" s="253"/>
      <c r="L244" s="23">
        <f t="shared" si="12"/>
        <v>1071.4285714285713</v>
      </c>
      <c r="M244" s="23">
        <f t="shared" si="13"/>
        <v>128.57142857142856</v>
      </c>
      <c r="N244" s="23">
        <v>1200</v>
      </c>
      <c r="O244" s="27" t="s">
        <v>1091</v>
      </c>
      <c r="P244" s="25" t="s">
        <v>823</v>
      </c>
      <c r="Q244" s="25" t="s">
        <v>225</v>
      </c>
      <c r="R244" s="25">
        <v>0</v>
      </c>
    </row>
    <row r="245" spans="1:18" x14ac:dyDescent="0.3">
      <c r="A245" s="20">
        <v>45141</v>
      </c>
      <c r="B245" s="25" t="s">
        <v>1092</v>
      </c>
      <c r="C245" s="25" t="s">
        <v>1093</v>
      </c>
      <c r="D245" s="25" t="s">
        <v>1094</v>
      </c>
      <c r="E245" s="44" t="s">
        <v>1095</v>
      </c>
      <c r="F245" s="25">
        <v>981851634</v>
      </c>
      <c r="G245" s="29">
        <v>5</v>
      </c>
      <c r="H245" s="29">
        <v>2</v>
      </c>
      <c r="I245" s="29" t="s">
        <v>605</v>
      </c>
      <c r="J245" s="25" t="s">
        <v>539</v>
      </c>
      <c r="K245" s="25" t="s">
        <v>200</v>
      </c>
      <c r="L245" s="23">
        <f t="shared" si="12"/>
        <v>624.99999999999989</v>
      </c>
      <c r="M245" s="23">
        <f t="shared" si="13"/>
        <v>74.999999999999986</v>
      </c>
      <c r="N245" s="23">
        <v>700</v>
      </c>
      <c r="O245" s="27" t="s">
        <v>1096</v>
      </c>
      <c r="P245" s="25" t="s">
        <v>782</v>
      </c>
      <c r="Q245" s="25" t="s">
        <v>65</v>
      </c>
      <c r="R245" s="25">
        <v>0</v>
      </c>
    </row>
    <row r="246" spans="1:18" x14ac:dyDescent="0.3">
      <c r="A246" s="20">
        <v>45142</v>
      </c>
      <c r="B246" s="25" t="s">
        <v>1097</v>
      </c>
      <c r="C246" s="25" t="s">
        <v>1098</v>
      </c>
      <c r="D246" s="25" t="s">
        <v>1099</v>
      </c>
      <c r="E246" s="44" t="s">
        <v>1100</v>
      </c>
      <c r="F246" s="25">
        <v>991415546</v>
      </c>
      <c r="G246" s="29">
        <v>10</v>
      </c>
      <c r="H246" s="29">
        <v>12</v>
      </c>
      <c r="I246" s="29" t="s">
        <v>617</v>
      </c>
      <c r="J246" s="25" t="s">
        <v>539</v>
      </c>
      <c r="K246" s="25" t="s">
        <v>200</v>
      </c>
      <c r="L246" s="23">
        <f t="shared" si="12"/>
        <v>2723.2142857142853</v>
      </c>
      <c r="M246" s="23">
        <f t="shared" si="13"/>
        <v>326.78571428571422</v>
      </c>
      <c r="N246" s="23">
        <v>3050</v>
      </c>
      <c r="O246" s="27" t="s">
        <v>1101</v>
      </c>
      <c r="P246" s="25" t="s">
        <v>782</v>
      </c>
      <c r="Q246" s="25" t="s">
        <v>65</v>
      </c>
      <c r="R246" s="25">
        <v>0</v>
      </c>
    </row>
    <row r="247" spans="1:18" x14ac:dyDescent="0.3">
      <c r="A247" s="20">
        <v>45142</v>
      </c>
      <c r="B247" s="25" t="s">
        <v>1102</v>
      </c>
      <c r="C247" s="25" t="s">
        <v>1103</v>
      </c>
      <c r="D247" s="25" t="s">
        <v>1104</v>
      </c>
      <c r="E247" s="44" t="s">
        <v>1105</v>
      </c>
      <c r="F247" s="25">
        <v>989072809</v>
      </c>
      <c r="G247" s="29">
        <v>6</v>
      </c>
      <c r="H247" s="29">
        <v>4</v>
      </c>
      <c r="I247" s="29" t="s">
        <v>605</v>
      </c>
      <c r="J247" s="25" t="s">
        <v>539</v>
      </c>
      <c r="K247" s="25" t="s">
        <v>200</v>
      </c>
      <c r="L247" s="23">
        <f t="shared" si="12"/>
        <v>1071.4285714285713</v>
      </c>
      <c r="M247" s="23">
        <f t="shared" si="13"/>
        <v>128.57142857142856</v>
      </c>
      <c r="N247" s="23">
        <v>1200</v>
      </c>
      <c r="O247" s="27" t="s">
        <v>1106</v>
      </c>
      <c r="P247" s="25" t="s">
        <v>337</v>
      </c>
      <c r="Q247" s="25" t="s">
        <v>340</v>
      </c>
      <c r="R247" s="25">
        <v>0</v>
      </c>
    </row>
    <row r="248" spans="1:18" x14ac:dyDescent="0.3">
      <c r="A248" s="20">
        <v>45142</v>
      </c>
      <c r="B248" s="25" t="s">
        <v>1107</v>
      </c>
      <c r="C248" s="25" t="s">
        <v>1108</v>
      </c>
      <c r="D248" s="25" t="s">
        <v>1109</v>
      </c>
      <c r="E248" s="44" t="s">
        <v>1110</v>
      </c>
      <c r="F248" s="25">
        <v>997288808</v>
      </c>
      <c r="G248" s="29">
        <v>8</v>
      </c>
      <c r="H248" s="29">
        <v>6</v>
      </c>
      <c r="I248" s="29" t="s">
        <v>605</v>
      </c>
      <c r="J248" s="25" t="s">
        <v>539</v>
      </c>
      <c r="K248" s="25" t="s">
        <v>199</v>
      </c>
      <c r="L248" s="23">
        <f t="shared" si="12"/>
        <v>1776.7857142857142</v>
      </c>
      <c r="M248" s="23">
        <f t="shared" si="13"/>
        <v>213.21428571428569</v>
      </c>
      <c r="N248" s="23">
        <v>1990</v>
      </c>
      <c r="O248" s="27" t="s">
        <v>1111</v>
      </c>
      <c r="P248" s="25" t="s">
        <v>339</v>
      </c>
      <c r="Q248" s="25" t="s">
        <v>225</v>
      </c>
      <c r="R248" s="25">
        <v>0</v>
      </c>
    </row>
    <row r="249" spans="1:18" x14ac:dyDescent="0.3">
      <c r="A249" s="20">
        <v>45142</v>
      </c>
      <c r="B249" s="25" t="s">
        <v>1112</v>
      </c>
      <c r="C249" s="25" t="s">
        <v>1113</v>
      </c>
      <c r="D249" s="25" t="s">
        <v>1114</v>
      </c>
      <c r="E249" s="44" t="s">
        <v>1115</v>
      </c>
      <c r="F249" s="25">
        <v>991347812</v>
      </c>
      <c r="G249" s="29">
        <v>5</v>
      </c>
      <c r="H249" s="29">
        <v>3</v>
      </c>
      <c r="I249" s="29" t="s">
        <v>1116</v>
      </c>
      <c r="J249" s="25" t="s">
        <v>539</v>
      </c>
      <c r="K249" s="25" t="s">
        <v>200</v>
      </c>
      <c r="L249" s="23">
        <f t="shared" si="12"/>
        <v>714.28571428571422</v>
      </c>
      <c r="M249" s="23">
        <f t="shared" si="13"/>
        <v>85.714285714285708</v>
      </c>
      <c r="N249" s="30">
        <v>800</v>
      </c>
      <c r="O249" s="27" t="s">
        <v>1117</v>
      </c>
      <c r="P249" s="25" t="s">
        <v>954</v>
      </c>
      <c r="Q249" s="25" t="s">
        <v>65</v>
      </c>
      <c r="R249" s="25">
        <v>0</v>
      </c>
    </row>
    <row r="250" spans="1:18" x14ac:dyDescent="0.3">
      <c r="A250" s="20">
        <v>45142</v>
      </c>
      <c r="B250" s="25" t="s">
        <v>1118</v>
      </c>
      <c r="C250" s="25" t="s">
        <v>1119</v>
      </c>
      <c r="D250" s="25" t="s">
        <v>1120</v>
      </c>
      <c r="E250" s="44" t="s">
        <v>1121</v>
      </c>
      <c r="F250" s="25">
        <v>969953231</v>
      </c>
      <c r="G250" s="29">
        <v>4</v>
      </c>
      <c r="H250" s="29">
        <v>3</v>
      </c>
      <c r="I250" s="29" t="s">
        <v>605</v>
      </c>
      <c r="J250" s="25" t="s">
        <v>539</v>
      </c>
      <c r="K250" s="25" t="s">
        <v>199</v>
      </c>
      <c r="L250" s="23">
        <f t="shared" si="12"/>
        <v>624.99999999999989</v>
      </c>
      <c r="M250" s="23">
        <f t="shared" si="13"/>
        <v>74.999999999999986</v>
      </c>
      <c r="N250" s="23">
        <v>700</v>
      </c>
      <c r="O250" s="27" t="s">
        <v>1122</v>
      </c>
      <c r="P250" s="25" t="s">
        <v>782</v>
      </c>
      <c r="Q250" s="25" t="s">
        <v>340</v>
      </c>
      <c r="R250" s="25">
        <v>0</v>
      </c>
    </row>
    <row r="251" spans="1:18" x14ac:dyDescent="0.3">
      <c r="A251" s="20">
        <v>45142</v>
      </c>
      <c r="B251" s="25" t="s">
        <v>1123</v>
      </c>
      <c r="C251" s="25" t="s">
        <v>1124</v>
      </c>
      <c r="D251" s="25" t="s">
        <v>1125</v>
      </c>
      <c r="E251" s="44" t="s">
        <v>1126</v>
      </c>
      <c r="F251" s="25">
        <v>985118599</v>
      </c>
      <c r="G251" s="29">
        <v>7</v>
      </c>
      <c r="H251" s="29">
        <v>5</v>
      </c>
      <c r="I251" s="29" t="s">
        <v>605</v>
      </c>
      <c r="J251" s="25" t="s">
        <v>539</v>
      </c>
      <c r="K251" s="25" t="s">
        <v>200</v>
      </c>
      <c r="L251" s="23">
        <f t="shared" si="12"/>
        <v>892.85714285714278</v>
      </c>
      <c r="M251" s="23">
        <f t="shared" si="13"/>
        <v>107.14285714285712</v>
      </c>
      <c r="N251" s="23">
        <v>1000</v>
      </c>
      <c r="O251" s="27" t="s">
        <v>1127</v>
      </c>
      <c r="P251" s="25" t="s">
        <v>225</v>
      </c>
      <c r="Q251" s="25" t="s">
        <v>225</v>
      </c>
      <c r="R251" s="25">
        <v>0</v>
      </c>
    </row>
    <row r="252" spans="1:18" x14ac:dyDescent="0.3">
      <c r="A252" s="20">
        <v>45143</v>
      </c>
      <c r="B252" s="25" t="s">
        <v>1128</v>
      </c>
      <c r="C252" s="25" t="s">
        <v>1129</v>
      </c>
      <c r="D252" s="25" t="s">
        <v>1130</v>
      </c>
      <c r="E252" s="44" t="s">
        <v>1131</v>
      </c>
      <c r="F252" s="25">
        <v>960972022</v>
      </c>
      <c r="G252" s="29">
        <v>5</v>
      </c>
      <c r="H252" s="29">
        <v>4</v>
      </c>
      <c r="I252" s="29" t="s">
        <v>617</v>
      </c>
      <c r="J252" s="25" t="s">
        <v>539</v>
      </c>
      <c r="K252" s="25" t="s">
        <v>200</v>
      </c>
      <c r="L252" s="23">
        <f t="shared" si="12"/>
        <v>1071.4285714285713</v>
      </c>
      <c r="M252" s="23">
        <f t="shared" si="13"/>
        <v>128.57142857142856</v>
      </c>
      <c r="N252" s="23">
        <v>1200</v>
      </c>
      <c r="O252" s="27" t="s">
        <v>1132</v>
      </c>
      <c r="P252" s="25" t="s">
        <v>339</v>
      </c>
      <c r="Q252" s="25" t="s">
        <v>340</v>
      </c>
      <c r="R252" s="25">
        <v>0</v>
      </c>
    </row>
    <row r="253" spans="1:18" x14ac:dyDescent="0.3">
      <c r="A253" s="20">
        <v>45143</v>
      </c>
      <c r="B253" s="25" t="s">
        <v>1133</v>
      </c>
      <c r="C253" s="25" t="s">
        <v>1134</v>
      </c>
      <c r="D253" s="25" t="s">
        <v>1135</v>
      </c>
      <c r="E253" s="44" t="s">
        <v>1136</v>
      </c>
      <c r="F253" s="25">
        <v>994467757</v>
      </c>
      <c r="G253" s="29">
        <v>5</v>
      </c>
      <c r="H253" s="29">
        <v>3</v>
      </c>
      <c r="I253" s="29" t="s">
        <v>605</v>
      </c>
      <c r="J253" s="25" t="s">
        <v>539</v>
      </c>
      <c r="K253" s="25" t="s">
        <v>200</v>
      </c>
      <c r="L253" s="23">
        <f t="shared" si="12"/>
        <v>892.85714285714278</v>
      </c>
      <c r="M253" s="23">
        <f t="shared" si="13"/>
        <v>107.14285714285712</v>
      </c>
      <c r="N253" s="23">
        <v>1000</v>
      </c>
      <c r="O253" s="27" t="s">
        <v>1137</v>
      </c>
      <c r="P253" s="25" t="s">
        <v>731</v>
      </c>
      <c r="Q253" s="25" t="s">
        <v>340</v>
      </c>
      <c r="R253" s="25">
        <v>0</v>
      </c>
    </row>
    <row r="254" spans="1:18" x14ac:dyDescent="0.3">
      <c r="A254" s="20">
        <v>45143</v>
      </c>
      <c r="B254" s="25" t="s">
        <v>1138</v>
      </c>
      <c r="C254" s="25" t="s">
        <v>1139</v>
      </c>
      <c r="D254" s="25" t="s">
        <v>1140</v>
      </c>
      <c r="E254" s="44" t="s">
        <v>1141</v>
      </c>
      <c r="F254" s="25">
        <v>993928898</v>
      </c>
      <c r="G254" s="29">
        <v>5</v>
      </c>
      <c r="H254" s="29">
        <v>5</v>
      </c>
      <c r="I254" s="29" t="s">
        <v>611</v>
      </c>
      <c r="J254" s="25" t="s">
        <v>539</v>
      </c>
      <c r="K254" s="25" t="s">
        <v>722</v>
      </c>
      <c r="L254" s="23">
        <f t="shared" si="12"/>
        <v>892.85714285714278</v>
      </c>
      <c r="M254" s="23">
        <f t="shared" si="13"/>
        <v>107.14285714285712</v>
      </c>
      <c r="N254" s="23">
        <v>1000</v>
      </c>
      <c r="O254" s="27" t="s">
        <v>1142</v>
      </c>
      <c r="P254" s="25" t="s">
        <v>782</v>
      </c>
      <c r="Q254" s="25" t="s">
        <v>782</v>
      </c>
      <c r="R254" s="25">
        <v>0</v>
      </c>
    </row>
    <row r="255" spans="1:18" x14ac:dyDescent="0.3">
      <c r="A255" s="20">
        <v>45143</v>
      </c>
      <c r="B255" s="25" t="s">
        <v>1143</v>
      </c>
      <c r="C255" s="25" t="s">
        <v>1144</v>
      </c>
      <c r="D255" s="25" t="s">
        <v>1145</v>
      </c>
      <c r="E255" s="44" t="s">
        <v>1146</v>
      </c>
      <c r="F255" s="25">
        <v>993808358</v>
      </c>
      <c r="G255" s="29">
        <v>8</v>
      </c>
      <c r="H255" s="29">
        <v>5</v>
      </c>
      <c r="I255" s="29" t="s">
        <v>617</v>
      </c>
      <c r="J255" s="25" t="s">
        <v>539</v>
      </c>
      <c r="K255" s="25" t="s">
        <v>200</v>
      </c>
      <c r="L255" s="23">
        <f t="shared" si="12"/>
        <v>1776.7857142857142</v>
      </c>
      <c r="M255" s="23">
        <f t="shared" si="13"/>
        <v>213.21428571428569</v>
      </c>
      <c r="N255" s="23">
        <v>1990</v>
      </c>
      <c r="O255" s="27" t="s">
        <v>1147</v>
      </c>
      <c r="P255" s="25" t="s">
        <v>337</v>
      </c>
      <c r="Q255" s="25" t="s">
        <v>58</v>
      </c>
      <c r="R255" s="25">
        <v>0</v>
      </c>
    </row>
    <row r="256" spans="1:18" x14ac:dyDescent="0.3">
      <c r="A256" s="20">
        <v>45143</v>
      </c>
      <c r="B256" s="25" t="s">
        <v>1148</v>
      </c>
      <c r="C256" s="25" t="s">
        <v>1149</v>
      </c>
      <c r="D256" s="25" t="s">
        <v>1150</v>
      </c>
      <c r="E256" s="44" t="s">
        <v>1151</v>
      </c>
      <c r="F256" s="25">
        <v>959157338</v>
      </c>
      <c r="G256" s="29">
        <v>8</v>
      </c>
      <c r="H256" s="29">
        <v>3</v>
      </c>
      <c r="I256" s="29" t="s">
        <v>605</v>
      </c>
      <c r="J256" s="25" t="s">
        <v>821</v>
      </c>
      <c r="K256" s="25" t="s">
        <v>200</v>
      </c>
      <c r="L256" s="23">
        <f t="shared" si="12"/>
        <v>892.85714285714278</v>
      </c>
      <c r="M256" s="23">
        <f t="shared" si="13"/>
        <v>107.14285714285712</v>
      </c>
      <c r="N256" s="23">
        <v>1000</v>
      </c>
      <c r="O256" s="27" t="s">
        <v>1152</v>
      </c>
      <c r="P256" s="25" t="s">
        <v>335</v>
      </c>
      <c r="Q256" s="25" t="s">
        <v>340</v>
      </c>
      <c r="R256" s="25">
        <v>0</v>
      </c>
    </row>
    <row r="257" spans="1:18" x14ac:dyDescent="0.3">
      <c r="A257" s="20">
        <v>45143</v>
      </c>
      <c r="B257" s="25" t="s">
        <v>1153</v>
      </c>
      <c r="C257" s="25" t="s">
        <v>1154</v>
      </c>
      <c r="D257" s="25" t="s">
        <v>1155</v>
      </c>
      <c r="E257" s="44" t="s">
        <v>1156</v>
      </c>
      <c r="F257" s="25">
        <v>998369649</v>
      </c>
      <c r="G257" s="29">
        <v>5</v>
      </c>
      <c r="H257" s="29">
        <v>3</v>
      </c>
      <c r="I257" s="29" t="s">
        <v>617</v>
      </c>
      <c r="J257" s="25" t="s">
        <v>539</v>
      </c>
      <c r="K257" s="25" t="s">
        <v>200</v>
      </c>
      <c r="L257" s="23">
        <f t="shared" si="12"/>
        <v>892.85714285714278</v>
      </c>
      <c r="M257" s="23">
        <f t="shared" si="13"/>
        <v>107.14285714285712</v>
      </c>
      <c r="N257" s="23">
        <v>1000</v>
      </c>
      <c r="O257" s="27" t="s">
        <v>1157</v>
      </c>
      <c r="P257" s="25" t="s">
        <v>339</v>
      </c>
      <c r="Q257" s="25" t="s">
        <v>65</v>
      </c>
      <c r="R257" s="25">
        <v>0</v>
      </c>
    </row>
    <row r="258" spans="1:18" x14ac:dyDescent="0.3">
      <c r="A258" s="20">
        <v>45146</v>
      </c>
      <c r="B258" s="25" t="s">
        <v>1158</v>
      </c>
      <c r="C258" s="25" t="s">
        <v>1159</v>
      </c>
      <c r="D258" s="25" t="s">
        <v>1160</v>
      </c>
      <c r="E258" s="44" t="s">
        <v>1161</v>
      </c>
      <c r="F258" s="25">
        <v>998031228</v>
      </c>
      <c r="G258" s="29">
        <v>5</v>
      </c>
      <c r="H258" s="29">
        <v>3</v>
      </c>
      <c r="I258" s="29" t="s">
        <v>605</v>
      </c>
      <c r="J258" s="25" t="s">
        <v>539</v>
      </c>
      <c r="K258" s="25" t="s">
        <v>1162</v>
      </c>
      <c r="L258" s="23">
        <f t="shared" si="12"/>
        <v>1339.2857142857142</v>
      </c>
      <c r="M258" s="23">
        <f t="shared" si="13"/>
        <v>160.71428571428569</v>
      </c>
      <c r="N258" s="23">
        <v>1500</v>
      </c>
      <c r="O258" s="27" t="s">
        <v>1163</v>
      </c>
      <c r="P258" s="25" t="s">
        <v>823</v>
      </c>
      <c r="Q258" s="25" t="s">
        <v>58</v>
      </c>
      <c r="R258" s="25">
        <v>0</v>
      </c>
    </row>
    <row r="259" spans="1:18" x14ac:dyDescent="0.3">
      <c r="A259" s="20">
        <v>45147</v>
      </c>
      <c r="B259" s="25" t="s">
        <v>1164</v>
      </c>
      <c r="C259" s="25" t="s">
        <v>1165</v>
      </c>
      <c r="D259" s="25" t="s">
        <v>1166</v>
      </c>
      <c r="E259" s="44" t="s">
        <v>1167</v>
      </c>
      <c r="F259" s="25">
        <v>980461305</v>
      </c>
      <c r="G259" s="29">
        <v>10</v>
      </c>
      <c r="H259" s="29">
        <v>10</v>
      </c>
      <c r="I259" s="29" t="s">
        <v>617</v>
      </c>
      <c r="J259" s="25" t="s">
        <v>821</v>
      </c>
      <c r="K259" s="25" t="s">
        <v>200</v>
      </c>
      <c r="L259" s="23">
        <f t="shared" si="12"/>
        <v>1428.5714285714284</v>
      </c>
      <c r="M259" s="23">
        <f t="shared" si="13"/>
        <v>171.42857142857142</v>
      </c>
      <c r="N259" s="23">
        <v>1600</v>
      </c>
      <c r="O259" s="27" t="s">
        <v>1168</v>
      </c>
      <c r="P259" s="25" t="s">
        <v>337</v>
      </c>
      <c r="Q259" s="25" t="s">
        <v>65</v>
      </c>
      <c r="R259" s="25">
        <v>0</v>
      </c>
    </row>
    <row r="260" spans="1:18" x14ac:dyDescent="0.3">
      <c r="A260" s="20">
        <v>45147</v>
      </c>
      <c r="B260" s="25" t="s">
        <v>1169</v>
      </c>
      <c r="C260" s="25" t="s">
        <v>1170</v>
      </c>
      <c r="D260" s="25" t="s">
        <v>1171</v>
      </c>
      <c r="E260" s="44" t="s">
        <v>1172</v>
      </c>
      <c r="F260" s="25">
        <v>980453271</v>
      </c>
      <c r="G260" s="29">
        <v>5</v>
      </c>
      <c r="H260" s="29">
        <v>5</v>
      </c>
      <c r="I260" s="45">
        <v>0</v>
      </c>
      <c r="J260" s="254" t="s">
        <v>1173</v>
      </c>
      <c r="K260" s="255"/>
      <c r="L260" s="23">
        <f t="shared" si="12"/>
        <v>0</v>
      </c>
      <c r="M260" s="23">
        <f t="shared" si="13"/>
        <v>0</v>
      </c>
      <c r="N260" s="23"/>
      <c r="O260" s="27" t="s">
        <v>1174</v>
      </c>
      <c r="P260" s="25" t="s">
        <v>954</v>
      </c>
      <c r="Q260" s="25" t="s">
        <v>225</v>
      </c>
      <c r="R260" s="25">
        <v>0</v>
      </c>
    </row>
    <row r="261" spans="1:18" x14ac:dyDescent="0.3">
      <c r="A261" s="20">
        <v>45148</v>
      </c>
      <c r="B261" s="25" t="s">
        <v>1175</v>
      </c>
      <c r="C261" s="25" t="s">
        <v>1176</v>
      </c>
      <c r="D261" s="25" t="s">
        <v>1177</v>
      </c>
      <c r="E261" s="44" t="s">
        <v>1178</v>
      </c>
      <c r="F261" s="25">
        <v>997236693</v>
      </c>
      <c r="G261" s="29">
        <v>9</v>
      </c>
      <c r="H261" s="29">
        <v>9</v>
      </c>
      <c r="I261" s="45">
        <v>0</v>
      </c>
      <c r="J261" s="25" t="s">
        <v>539</v>
      </c>
      <c r="K261" s="25" t="s">
        <v>200</v>
      </c>
      <c r="L261" s="23">
        <f t="shared" si="12"/>
        <v>624.99999999999989</v>
      </c>
      <c r="M261" s="23">
        <f t="shared" si="13"/>
        <v>74.999999999999986</v>
      </c>
      <c r="N261" s="23">
        <v>700</v>
      </c>
      <c r="O261" s="27" t="s">
        <v>1179</v>
      </c>
      <c r="P261" s="25" t="s">
        <v>548</v>
      </c>
      <c r="Q261" s="25" t="s">
        <v>225</v>
      </c>
      <c r="R261" s="25">
        <v>0</v>
      </c>
    </row>
    <row r="262" spans="1:18" x14ac:dyDescent="0.3">
      <c r="A262" s="20">
        <v>45148</v>
      </c>
      <c r="B262" s="25" t="s">
        <v>1180</v>
      </c>
      <c r="C262" s="25" t="s">
        <v>1181</v>
      </c>
      <c r="D262" s="25" t="s">
        <v>1182</v>
      </c>
      <c r="E262" s="44" t="s">
        <v>1183</v>
      </c>
      <c r="F262" s="25">
        <v>986673406</v>
      </c>
      <c r="G262" s="29">
        <v>4</v>
      </c>
      <c r="H262" s="29">
        <v>4</v>
      </c>
      <c r="I262" s="45">
        <v>0</v>
      </c>
      <c r="J262" s="25" t="s">
        <v>539</v>
      </c>
      <c r="K262" s="25" t="s">
        <v>200</v>
      </c>
      <c r="L262" s="23">
        <f t="shared" si="12"/>
        <v>1517.8571428571427</v>
      </c>
      <c r="M262" s="23">
        <f t="shared" si="13"/>
        <v>182.14285714285711</v>
      </c>
      <c r="N262" s="23">
        <v>1700</v>
      </c>
      <c r="O262" s="27" t="s">
        <v>1184</v>
      </c>
      <c r="P262" s="25" t="s">
        <v>548</v>
      </c>
      <c r="Q262" s="25" t="s">
        <v>65</v>
      </c>
      <c r="R262" s="25">
        <v>0</v>
      </c>
    </row>
    <row r="263" spans="1:18" x14ac:dyDescent="0.3">
      <c r="A263" s="36">
        <v>45153</v>
      </c>
      <c r="B263" s="25" t="s">
        <v>1185</v>
      </c>
      <c r="C263" s="25" t="s">
        <v>1186</v>
      </c>
      <c r="D263" s="25" t="s">
        <v>1187</v>
      </c>
      <c r="E263" s="44" t="s">
        <v>1188</v>
      </c>
      <c r="F263" s="25">
        <v>995122061</v>
      </c>
      <c r="G263" s="29">
        <v>10</v>
      </c>
      <c r="H263" s="29">
        <v>10</v>
      </c>
      <c r="I263" s="45">
        <v>0</v>
      </c>
      <c r="J263" s="25" t="s">
        <v>539</v>
      </c>
      <c r="K263" s="25" t="s">
        <v>200</v>
      </c>
      <c r="L263" s="23">
        <f t="shared" si="12"/>
        <v>3562.4999999999995</v>
      </c>
      <c r="M263" s="23">
        <f t="shared" si="13"/>
        <v>427.49999999999994</v>
      </c>
      <c r="N263" s="23">
        <v>3990</v>
      </c>
      <c r="O263" s="27" t="s">
        <v>1189</v>
      </c>
      <c r="P263" s="25" t="s">
        <v>58</v>
      </c>
      <c r="Q263" s="25" t="s">
        <v>358</v>
      </c>
      <c r="R263" s="25">
        <v>0</v>
      </c>
    </row>
    <row r="264" spans="1:18" x14ac:dyDescent="0.3">
      <c r="A264" s="36">
        <v>45153</v>
      </c>
      <c r="B264" s="25" t="s">
        <v>1190</v>
      </c>
      <c r="C264" s="25" t="s">
        <v>1191</v>
      </c>
      <c r="D264" s="25" t="s">
        <v>1192</v>
      </c>
      <c r="E264" s="44" t="s">
        <v>1193</v>
      </c>
      <c r="F264" s="25">
        <v>958950909</v>
      </c>
      <c r="G264" s="29">
        <v>10</v>
      </c>
      <c r="H264" s="29">
        <v>10</v>
      </c>
      <c r="I264" s="45">
        <v>0</v>
      </c>
      <c r="J264" s="25" t="s">
        <v>821</v>
      </c>
      <c r="K264" s="25" t="s">
        <v>199</v>
      </c>
      <c r="L264" s="23">
        <f t="shared" si="12"/>
        <v>223.21428571428569</v>
      </c>
      <c r="M264" s="23">
        <f t="shared" si="13"/>
        <v>26.785714285714281</v>
      </c>
      <c r="N264" s="23">
        <v>250</v>
      </c>
      <c r="O264" s="27" t="s">
        <v>1194</v>
      </c>
      <c r="P264" s="25" t="s">
        <v>337</v>
      </c>
      <c r="Q264" s="25" t="s">
        <v>65</v>
      </c>
      <c r="R264" s="25">
        <v>0</v>
      </c>
    </row>
    <row r="265" spans="1:18" x14ac:dyDescent="0.3">
      <c r="A265" s="36">
        <v>45153</v>
      </c>
      <c r="B265" s="25" t="s">
        <v>1195</v>
      </c>
      <c r="C265" s="25" t="s">
        <v>1196</v>
      </c>
      <c r="D265" s="25" t="s">
        <v>1197</v>
      </c>
      <c r="E265" s="44" t="s">
        <v>1198</v>
      </c>
      <c r="F265" s="25">
        <v>939300750</v>
      </c>
      <c r="G265" s="29">
        <v>5</v>
      </c>
      <c r="H265" s="29">
        <v>5</v>
      </c>
      <c r="I265" s="45">
        <v>0</v>
      </c>
      <c r="J265" s="25" t="s">
        <v>539</v>
      </c>
      <c r="K265" s="25" t="s">
        <v>742</v>
      </c>
      <c r="L265" s="23">
        <f t="shared" si="12"/>
        <v>1339.2857142857142</v>
      </c>
      <c r="M265" s="23">
        <f t="shared" si="13"/>
        <v>160.71428571428569</v>
      </c>
      <c r="N265" s="23">
        <v>1500</v>
      </c>
      <c r="O265" s="27" t="s">
        <v>1199</v>
      </c>
      <c r="P265" s="25" t="s">
        <v>66</v>
      </c>
      <c r="Q265" s="25" t="s">
        <v>340</v>
      </c>
      <c r="R265" s="25">
        <v>0</v>
      </c>
    </row>
    <row r="266" spans="1:18" x14ac:dyDescent="0.3">
      <c r="A266" s="36">
        <v>45153</v>
      </c>
      <c r="B266" s="25" t="s">
        <v>1200</v>
      </c>
      <c r="C266" s="25" t="s">
        <v>1201</v>
      </c>
      <c r="D266" s="25" t="s">
        <v>1202</v>
      </c>
      <c r="E266" s="44" t="s">
        <v>1203</v>
      </c>
      <c r="F266" s="46" t="s">
        <v>1204</v>
      </c>
      <c r="G266" s="29">
        <v>8</v>
      </c>
      <c r="H266" s="29">
        <v>8</v>
      </c>
      <c r="I266" s="45">
        <v>0</v>
      </c>
      <c r="J266" s="25" t="s">
        <v>539</v>
      </c>
      <c r="K266" s="25" t="s">
        <v>199</v>
      </c>
      <c r="L266" s="23">
        <f t="shared" si="12"/>
        <v>2669.6428571428569</v>
      </c>
      <c r="M266" s="23">
        <f t="shared" si="13"/>
        <v>320.35714285714283</v>
      </c>
      <c r="N266" s="23">
        <v>2990</v>
      </c>
      <c r="O266" s="27" t="s">
        <v>1205</v>
      </c>
      <c r="P266" s="25" t="s">
        <v>337</v>
      </c>
      <c r="Q266" s="25" t="s">
        <v>337</v>
      </c>
      <c r="R266" s="25">
        <v>0</v>
      </c>
    </row>
    <row r="267" spans="1:18" x14ac:dyDescent="0.3">
      <c r="A267" s="20">
        <v>45155</v>
      </c>
      <c r="B267" s="25" t="s">
        <v>1206</v>
      </c>
      <c r="C267" s="25" t="s">
        <v>1207</v>
      </c>
      <c r="D267" s="25" t="s">
        <v>1208</v>
      </c>
      <c r="E267" s="44" t="s">
        <v>1209</v>
      </c>
      <c r="F267" s="25">
        <v>991838604</v>
      </c>
      <c r="G267" s="29">
        <v>3</v>
      </c>
      <c r="H267" s="29">
        <v>3</v>
      </c>
      <c r="I267" s="45">
        <v>0</v>
      </c>
      <c r="J267" s="25" t="s">
        <v>821</v>
      </c>
      <c r="K267" s="25" t="s">
        <v>722</v>
      </c>
      <c r="L267" s="23">
        <f t="shared" si="12"/>
        <v>892.85714285714278</v>
      </c>
      <c r="M267" s="23">
        <f t="shared" si="13"/>
        <v>107.14285714285712</v>
      </c>
      <c r="N267" s="23">
        <v>1000</v>
      </c>
      <c r="O267" s="27" t="s">
        <v>1210</v>
      </c>
      <c r="P267" s="25" t="s">
        <v>782</v>
      </c>
      <c r="Q267" s="25" t="s">
        <v>225</v>
      </c>
      <c r="R267" s="25">
        <v>0</v>
      </c>
    </row>
    <row r="268" spans="1:18" x14ac:dyDescent="0.3">
      <c r="A268" s="20">
        <v>45155</v>
      </c>
      <c r="B268" s="25" t="s">
        <v>1211</v>
      </c>
      <c r="C268" s="25" t="s">
        <v>1212</v>
      </c>
      <c r="D268" s="25" t="s">
        <v>1213</v>
      </c>
      <c r="E268" s="256" t="s">
        <v>1214</v>
      </c>
      <c r="F268" s="257"/>
      <c r="G268" s="29">
        <v>3</v>
      </c>
      <c r="H268" s="29">
        <v>3</v>
      </c>
      <c r="I268" s="45">
        <v>0</v>
      </c>
      <c r="J268" s="25" t="s">
        <v>821</v>
      </c>
      <c r="K268" s="25" t="s">
        <v>200</v>
      </c>
      <c r="L268" s="23">
        <f t="shared" si="12"/>
        <v>357.14285714285711</v>
      </c>
      <c r="M268" s="23">
        <f t="shared" si="13"/>
        <v>42.857142857142854</v>
      </c>
      <c r="N268" s="23">
        <v>400</v>
      </c>
      <c r="O268" s="27" t="s">
        <v>1215</v>
      </c>
      <c r="P268" s="25" t="s">
        <v>731</v>
      </c>
      <c r="Q268" s="25" t="s">
        <v>340</v>
      </c>
      <c r="R268" s="25">
        <v>0</v>
      </c>
    </row>
    <row r="269" spans="1:18" x14ac:dyDescent="0.3">
      <c r="A269" s="20">
        <v>45155</v>
      </c>
      <c r="B269" s="25" t="s">
        <v>1216</v>
      </c>
      <c r="C269" s="25" t="s">
        <v>1217</v>
      </c>
      <c r="D269" s="25" t="s">
        <v>1218</v>
      </c>
      <c r="E269" s="44" t="s">
        <v>1219</v>
      </c>
      <c r="F269" s="25">
        <v>990097211</v>
      </c>
      <c r="G269" s="29">
        <v>5</v>
      </c>
      <c r="H269" s="29">
        <v>5</v>
      </c>
      <c r="I269" s="45">
        <v>0</v>
      </c>
      <c r="J269" s="25" t="s">
        <v>539</v>
      </c>
      <c r="K269" s="25" t="s">
        <v>722</v>
      </c>
      <c r="L269" s="23">
        <f t="shared" si="12"/>
        <v>669.64285714285711</v>
      </c>
      <c r="M269" s="23">
        <f t="shared" si="13"/>
        <v>80.357142857142847</v>
      </c>
      <c r="N269" s="23">
        <v>750</v>
      </c>
      <c r="O269" s="27" t="s">
        <v>1220</v>
      </c>
      <c r="P269" s="25" t="s">
        <v>548</v>
      </c>
      <c r="Q269" s="25" t="s">
        <v>65</v>
      </c>
      <c r="R269" s="25">
        <v>0</v>
      </c>
    </row>
    <row r="270" spans="1:18" x14ac:dyDescent="0.3">
      <c r="A270" s="20">
        <v>45156</v>
      </c>
      <c r="B270" s="25" t="s">
        <v>1221</v>
      </c>
      <c r="C270" s="25" t="s">
        <v>1222</v>
      </c>
      <c r="D270" s="25" t="s">
        <v>1223</v>
      </c>
      <c r="E270" s="44" t="s">
        <v>1224</v>
      </c>
      <c r="F270" s="25">
        <v>987669081</v>
      </c>
      <c r="G270" s="29">
        <v>3</v>
      </c>
      <c r="H270" s="29">
        <v>3</v>
      </c>
      <c r="I270" s="45">
        <v>0</v>
      </c>
      <c r="J270" s="25" t="s">
        <v>821</v>
      </c>
      <c r="K270" s="25" t="s">
        <v>200</v>
      </c>
      <c r="L270" s="23">
        <f t="shared" si="12"/>
        <v>624.99999999999989</v>
      </c>
      <c r="M270" s="23">
        <f t="shared" si="13"/>
        <v>74.999999999999986</v>
      </c>
      <c r="N270" s="23">
        <v>700</v>
      </c>
      <c r="O270" s="27" t="s">
        <v>1225</v>
      </c>
      <c r="P270" s="25" t="s">
        <v>339</v>
      </c>
      <c r="Q270" s="25" t="s">
        <v>225</v>
      </c>
      <c r="R270" s="25">
        <v>0</v>
      </c>
    </row>
    <row r="271" spans="1:18" x14ac:dyDescent="0.3">
      <c r="A271" s="20">
        <v>45156</v>
      </c>
      <c r="B271" s="25" t="s">
        <v>1226</v>
      </c>
      <c r="C271" s="25" t="s">
        <v>1227</v>
      </c>
      <c r="D271" s="25" t="s">
        <v>1228</v>
      </c>
      <c r="E271" s="44" t="s">
        <v>1229</v>
      </c>
      <c r="F271" s="25">
        <v>983621180</v>
      </c>
      <c r="G271" s="29">
        <v>3</v>
      </c>
      <c r="H271" s="29">
        <v>3</v>
      </c>
      <c r="I271" s="45">
        <v>0</v>
      </c>
      <c r="J271" s="25" t="s">
        <v>539</v>
      </c>
      <c r="K271" s="25" t="s">
        <v>722</v>
      </c>
      <c r="L271" s="23">
        <f t="shared" si="12"/>
        <v>892.85714285714278</v>
      </c>
      <c r="M271" s="23">
        <f t="shared" si="13"/>
        <v>107.14285714285712</v>
      </c>
      <c r="N271" s="23">
        <v>1000</v>
      </c>
      <c r="O271" s="27" t="s">
        <v>1230</v>
      </c>
      <c r="P271" s="25" t="s">
        <v>225</v>
      </c>
      <c r="Q271" s="25" t="s">
        <v>225</v>
      </c>
      <c r="R271" s="25">
        <v>0</v>
      </c>
    </row>
    <row r="272" spans="1:18" x14ac:dyDescent="0.3">
      <c r="A272" s="20">
        <v>45157</v>
      </c>
      <c r="B272" s="25" t="s">
        <v>1231</v>
      </c>
      <c r="C272" s="25" t="s">
        <v>1232</v>
      </c>
      <c r="D272" s="25" t="s">
        <v>1233</v>
      </c>
      <c r="E272" s="44" t="s">
        <v>1234</v>
      </c>
      <c r="F272" s="25">
        <v>939243894</v>
      </c>
      <c r="G272" s="29">
        <v>3</v>
      </c>
      <c r="H272" s="29">
        <v>3</v>
      </c>
      <c r="I272" s="45">
        <v>0</v>
      </c>
      <c r="J272" s="25" t="s">
        <v>539</v>
      </c>
      <c r="K272" s="25" t="s">
        <v>722</v>
      </c>
      <c r="L272" s="23">
        <f t="shared" si="12"/>
        <v>624.99999999999989</v>
      </c>
      <c r="M272" s="23">
        <f t="shared" si="13"/>
        <v>74.999999999999986</v>
      </c>
      <c r="N272" s="23">
        <v>700</v>
      </c>
      <c r="O272" s="27" t="s">
        <v>1235</v>
      </c>
      <c r="P272" s="25" t="s">
        <v>215</v>
      </c>
      <c r="Q272" s="25" t="s">
        <v>225</v>
      </c>
      <c r="R272" s="25">
        <v>0</v>
      </c>
    </row>
    <row r="273" spans="1:18" x14ac:dyDescent="0.3">
      <c r="A273" s="20">
        <v>45157</v>
      </c>
      <c r="B273" s="25" t="s">
        <v>1236</v>
      </c>
      <c r="C273" s="25" t="s">
        <v>1237</v>
      </c>
      <c r="D273" s="25" t="s">
        <v>1238</v>
      </c>
      <c r="E273" s="44">
        <v>2450097452</v>
      </c>
      <c r="F273" s="25">
        <v>962146205</v>
      </c>
      <c r="G273" s="29">
        <v>3</v>
      </c>
      <c r="H273" s="29">
        <v>3</v>
      </c>
      <c r="I273" s="45">
        <v>0</v>
      </c>
      <c r="J273" s="25" t="s">
        <v>539</v>
      </c>
      <c r="K273" s="25" t="s">
        <v>199</v>
      </c>
      <c r="L273" s="23">
        <f t="shared" si="12"/>
        <v>1071.4285714285713</v>
      </c>
      <c r="M273" s="23">
        <f t="shared" si="13"/>
        <v>128.57142857142856</v>
      </c>
      <c r="N273" s="23">
        <v>1200</v>
      </c>
      <c r="O273" s="27"/>
      <c r="P273" s="25" t="s">
        <v>1239</v>
      </c>
      <c r="Q273" s="25" t="s">
        <v>65</v>
      </c>
      <c r="R273" s="25">
        <v>0</v>
      </c>
    </row>
    <row r="274" spans="1:18" x14ac:dyDescent="0.3">
      <c r="A274" s="20">
        <v>45157</v>
      </c>
      <c r="B274" s="25" t="s">
        <v>1240</v>
      </c>
      <c r="C274" s="25" t="s">
        <v>1241</v>
      </c>
      <c r="D274" s="25" t="s">
        <v>1242</v>
      </c>
      <c r="E274" s="44">
        <v>922470208</v>
      </c>
      <c r="F274" s="25">
        <v>990131871</v>
      </c>
      <c r="G274" s="29">
        <v>3</v>
      </c>
      <c r="H274" s="29">
        <v>3</v>
      </c>
      <c r="I274" s="45">
        <v>0</v>
      </c>
      <c r="J274" s="25" t="s">
        <v>539</v>
      </c>
      <c r="K274" s="25" t="s">
        <v>200</v>
      </c>
      <c r="L274" s="23">
        <f t="shared" si="12"/>
        <v>892.85714285714278</v>
      </c>
      <c r="M274" s="23">
        <f t="shared" si="13"/>
        <v>107.14285714285712</v>
      </c>
      <c r="N274" s="23">
        <v>1000</v>
      </c>
      <c r="O274" s="27" t="s">
        <v>1243</v>
      </c>
      <c r="P274" s="25" t="s">
        <v>339</v>
      </c>
      <c r="Q274" s="25" t="s">
        <v>340</v>
      </c>
      <c r="R274" s="25">
        <v>0</v>
      </c>
    </row>
    <row r="275" spans="1:18" x14ac:dyDescent="0.3">
      <c r="A275" s="20">
        <v>45160</v>
      </c>
      <c r="B275" s="25" t="s">
        <v>1244</v>
      </c>
      <c r="C275" s="25" t="s">
        <v>1245</v>
      </c>
      <c r="D275" s="25" t="s">
        <v>1246</v>
      </c>
      <c r="E275" s="44" t="s">
        <v>1247</v>
      </c>
      <c r="F275" s="25">
        <v>969779657</v>
      </c>
      <c r="G275" s="47">
        <v>4</v>
      </c>
      <c r="H275" s="47">
        <v>4</v>
      </c>
      <c r="I275" s="45">
        <v>0</v>
      </c>
      <c r="J275" s="39" t="s">
        <v>539</v>
      </c>
      <c r="K275" s="38" t="s">
        <v>199</v>
      </c>
      <c r="L275" s="40">
        <f t="shared" si="12"/>
        <v>1249.9999999999998</v>
      </c>
      <c r="M275" s="30">
        <f t="shared" si="13"/>
        <v>149.99999999999997</v>
      </c>
      <c r="N275" s="48">
        <v>1400</v>
      </c>
      <c r="O275" s="49" t="s">
        <v>1248</v>
      </c>
      <c r="P275" s="35" t="s">
        <v>731</v>
      </c>
      <c r="Q275" s="25" t="s">
        <v>65</v>
      </c>
      <c r="R275" s="25">
        <v>0</v>
      </c>
    </row>
    <row r="276" spans="1:18" x14ac:dyDescent="0.3">
      <c r="A276" s="20">
        <v>45160</v>
      </c>
      <c r="B276" s="25" t="s">
        <v>1249</v>
      </c>
      <c r="C276" s="25" t="s">
        <v>1250</v>
      </c>
      <c r="D276" s="25" t="s">
        <v>1251</v>
      </c>
      <c r="E276" s="44" t="s">
        <v>1252</v>
      </c>
      <c r="F276" s="25">
        <v>980566540</v>
      </c>
      <c r="G276" s="29">
        <v>10</v>
      </c>
      <c r="H276" s="29">
        <v>10</v>
      </c>
      <c r="I276" s="45">
        <v>0</v>
      </c>
      <c r="J276" s="38" t="s">
        <v>539</v>
      </c>
      <c r="K276" s="42" t="s">
        <v>200</v>
      </c>
      <c r="L276" s="38">
        <f t="shared" si="12"/>
        <v>2669.6428571428569</v>
      </c>
      <c r="M276" s="40">
        <f t="shared" si="13"/>
        <v>320.35714285714283</v>
      </c>
      <c r="N276" s="30">
        <v>2990</v>
      </c>
      <c r="O276" s="27" t="s">
        <v>1253</v>
      </c>
      <c r="P276" s="35" t="s">
        <v>782</v>
      </c>
      <c r="Q276" s="35" t="s">
        <v>225</v>
      </c>
      <c r="R276" s="25">
        <v>0</v>
      </c>
    </row>
    <row r="277" spans="1:18" x14ac:dyDescent="0.3">
      <c r="A277" s="20">
        <v>45160</v>
      </c>
      <c r="B277" s="25" t="s">
        <v>1254</v>
      </c>
      <c r="C277" s="25" t="s">
        <v>1255</v>
      </c>
      <c r="D277" s="25" t="s">
        <v>1256</v>
      </c>
      <c r="E277" s="250" t="s">
        <v>1214</v>
      </c>
      <c r="F277" s="251"/>
      <c r="G277" s="29">
        <v>10</v>
      </c>
      <c r="H277" s="29">
        <v>10</v>
      </c>
      <c r="I277" s="45">
        <v>0</v>
      </c>
      <c r="J277" s="38" t="s">
        <v>821</v>
      </c>
      <c r="K277" s="42" t="s">
        <v>200</v>
      </c>
      <c r="L277" s="38">
        <f t="shared" si="12"/>
        <v>1517.8571428571427</v>
      </c>
      <c r="M277" s="40">
        <f t="shared" si="13"/>
        <v>182.14285714285711</v>
      </c>
      <c r="N277" s="30">
        <v>1700</v>
      </c>
      <c r="O277" s="27" t="s">
        <v>1257</v>
      </c>
      <c r="P277" s="35" t="s">
        <v>66</v>
      </c>
      <c r="Q277" s="35" t="s">
        <v>65</v>
      </c>
      <c r="R277" s="25">
        <v>0</v>
      </c>
    </row>
    <row r="278" spans="1:18" x14ac:dyDescent="0.3">
      <c r="A278" s="20">
        <v>45160</v>
      </c>
      <c r="B278" s="25" t="s">
        <v>1258</v>
      </c>
      <c r="C278" s="25" t="s">
        <v>1259</v>
      </c>
      <c r="D278" s="25" t="s">
        <v>1260</v>
      </c>
      <c r="E278" s="44" t="s">
        <v>1261</v>
      </c>
      <c r="F278" s="25">
        <v>979951550</v>
      </c>
      <c r="G278" s="29">
        <v>3</v>
      </c>
      <c r="H278" s="29">
        <v>3</v>
      </c>
      <c r="I278" s="45">
        <v>0</v>
      </c>
      <c r="J278" s="38" t="s">
        <v>539</v>
      </c>
      <c r="K278" s="42" t="s">
        <v>980</v>
      </c>
      <c r="L278" s="38">
        <f t="shared" si="12"/>
        <v>624.99999999999989</v>
      </c>
      <c r="M278" s="40">
        <f t="shared" si="13"/>
        <v>74.999999999999986</v>
      </c>
      <c r="N278" s="30">
        <v>700</v>
      </c>
      <c r="O278" s="27" t="s">
        <v>1262</v>
      </c>
      <c r="P278" s="35" t="s">
        <v>1239</v>
      </c>
      <c r="Q278" s="35" t="s">
        <v>225</v>
      </c>
      <c r="R278" s="25">
        <v>0</v>
      </c>
    </row>
    <row r="279" spans="1:18" x14ac:dyDescent="0.3">
      <c r="A279" s="20">
        <v>45160</v>
      </c>
      <c r="B279" s="25" t="s">
        <v>1263</v>
      </c>
      <c r="C279" s="25" t="s">
        <v>1264</v>
      </c>
      <c r="D279" s="25" t="s">
        <v>1265</v>
      </c>
      <c r="E279" s="44" t="s">
        <v>1266</v>
      </c>
      <c r="F279" s="25">
        <v>990061015</v>
      </c>
      <c r="G279" s="29">
        <v>3</v>
      </c>
      <c r="H279" s="29">
        <v>3</v>
      </c>
      <c r="I279" s="45">
        <v>0</v>
      </c>
      <c r="J279" s="38" t="s">
        <v>539</v>
      </c>
      <c r="K279" s="38" t="s">
        <v>200</v>
      </c>
      <c r="L279" s="38">
        <f t="shared" si="12"/>
        <v>1339.2857142857142</v>
      </c>
      <c r="M279" s="40">
        <f t="shared" si="13"/>
        <v>160.71428571428569</v>
      </c>
      <c r="N279" s="30">
        <v>1500</v>
      </c>
      <c r="O279" s="27" t="s">
        <v>1267</v>
      </c>
      <c r="P279" s="35" t="s">
        <v>337</v>
      </c>
      <c r="Q279" s="35" t="s">
        <v>65</v>
      </c>
      <c r="R279" s="25">
        <v>0</v>
      </c>
    </row>
    <row r="280" spans="1:18" x14ac:dyDescent="0.3">
      <c r="A280" s="20">
        <v>45160</v>
      </c>
      <c r="B280" s="25" t="s">
        <v>1268</v>
      </c>
      <c r="C280" s="25" t="s">
        <v>1269</v>
      </c>
      <c r="D280" s="25" t="s">
        <v>1270</v>
      </c>
      <c r="E280" s="44" t="s">
        <v>1271</v>
      </c>
      <c r="F280" s="25">
        <v>998641380</v>
      </c>
      <c r="G280" s="29">
        <v>3</v>
      </c>
      <c r="H280" s="29">
        <v>3</v>
      </c>
      <c r="I280" s="45">
        <v>0</v>
      </c>
      <c r="J280" s="38" t="s">
        <v>539</v>
      </c>
      <c r="K280" s="38" t="s">
        <v>199</v>
      </c>
      <c r="L280" s="38">
        <f t="shared" si="12"/>
        <v>714.28571428571422</v>
      </c>
      <c r="M280" s="40">
        <f t="shared" si="13"/>
        <v>85.714285714285708</v>
      </c>
      <c r="N280" s="30">
        <v>800</v>
      </c>
      <c r="O280" s="27" t="s">
        <v>1272</v>
      </c>
      <c r="P280" s="35" t="s">
        <v>548</v>
      </c>
      <c r="Q280" s="35" t="s">
        <v>337</v>
      </c>
      <c r="R280" s="25">
        <v>0</v>
      </c>
    </row>
    <row r="281" spans="1:18" x14ac:dyDescent="0.3">
      <c r="A281" s="20">
        <v>45160</v>
      </c>
      <c r="B281" s="25" t="s">
        <v>1273</v>
      </c>
      <c r="C281" s="25" t="s">
        <v>1274</v>
      </c>
      <c r="D281" s="25" t="s">
        <v>1275</v>
      </c>
      <c r="E281" s="44" t="s">
        <v>1276</v>
      </c>
      <c r="F281" s="25">
        <v>960980766</v>
      </c>
      <c r="G281" s="29">
        <v>4</v>
      </c>
      <c r="H281" s="29">
        <v>4</v>
      </c>
      <c r="I281" s="45">
        <v>0</v>
      </c>
      <c r="J281" s="43" t="s">
        <v>539</v>
      </c>
      <c r="K281" s="43" t="s">
        <v>722</v>
      </c>
      <c r="L281" s="38">
        <f t="shared" si="12"/>
        <v>937.49999999999989</v>
      </c>
      <c r="M281" s="38">
        <f t="shared" si="13"/>
        <v>112.49999999999999</v>
      </c>
      <c r="N281" s="23">
        <v>1050</v>
      </c>
      <c r="O281" s="27" t="s">
        <v>1277</v>
      </c>
      <c r="P281" s="35" t="s">
        <v>782</v>
      </c>
      <c r="Q281" s="35" t="s">
        <v>782</v>
      </c>
      <c r="R281" s="25">
        <v>0</v>
      </c>
    </row>
    <row r="282" spans="1:18" x14ac:dyDescent="0.3">
      <c r="A282" s="20">
        <v>45160</v>
      </c>
      <c r="B282" s="25" t="s">
        <v>1278</v>
      </c>
      <c r="C282" s="25" t="s">
        <v>1279</v>
      </c>
      <c r="D282" s="25" t="s">
        <v>1280</v>
      </c>
      <c r="E282" s="44" t="s">
        <v>1281</v>
      </c>
      <c r="F282" s="25">
        <v>996050014</v>
      </c>
      <c r="G282" s="29">
        <v>4</v>
      </c>
      <c r="H282" s="29">
        <v>4</v>
      </c>
      <c r="I282" s="45">
        <v>0</v>
      </c>
      <c r="J282" s="43" t="s">
        <v>539</v>
      </c>
      <c r="K282" s="43" t="s">
        <v>790</v>
      </c>
      <c r="L282" s="38">
        <f t="shared" si="12"/>
        <v>937.49999999999989</v>
      </c>
      <c r="M282" s="38">
        <f t="shared" si="13"/>
        <v>112.49999999999999</v>
      </c>
      <c r="N282" s="23">
        <v>1050</v>
      </c>
      <c r="O282" s="27" t="s">
        <v>1282</v>
      </c>
      <c r="P282" s="35" t="s">
        <v>954</v>
      </c>
      <c r="Q282" s="35" t="s">
        <v>65</v>
      </c>
      <c r="R282" s="25">
        <v>0</v>
      </c>
    </row>
    <row r="283" spans="1:18" x14ac:dyDescent="0.3">
      <c r="A283" s="20">
        <v>45160</v>
      </c>
      <c r="B283" s="25" t="s">
        <v>1283</v>
      </c>
      <c r="C283" s="25" t="s">
        <v>1284</v>
      </c>
      <c r="D283" s="25" t="s">
        <v>1285</v>
      </c>
      <c r="E283" s="44" t="s">
        <v>1286</v>
      </c>
      <c r="F283" s="25">
        <v>998960206</v>
      </c>
      <c r="G283" s="29">
        <v>4</v>
      </c>
      <c r="H283" s="29">
        <v>4</v>
      </c>
      <c r="I283" s="45">
        <v>0</v>
      </c>
      <c r="J283" s="43" t="s">
        <v>539</v>
      </c>
      <c r="K283" s="43" t="s">
        <v>742</v>
      </c>
      <c r="L283" s="38">
        <f t="shared" si="12"/>
        <v>982.142857142857</v>
      </c>
      <c r="M283" s="38">
        <f t="shared" si="13"/>
        <v>117.85714285714283</v>
      </c>
      <c r="N283" s="23">
        <v>1100</v>
      </c>
      <c r="O283" s="27" t="s">
        <v>1287</v>
      </c>
      <c r="P283" s="35" t="s">
        <v>548</v>
      </c>
      <c r="Q283" s="35" t="s">
        <v>58</v>
      </c>
      <c r="R283" s="25">
        <v>0</v>
      </c>
    </row>
    <row r="284" spans="1:18" x14ac:dyDescent="0.3">
      <c r="A284" s="20">
        <v>45160</v>
      </c>
      <c r="B284" s="25" t="s">
        <v>1288</v>
      </c>
      <c r="C284" s="25" t="s">
        <v>1289</v>
      </c>
      <c r="D284" s="25" t="s">
        <v>1290</v>
      </c>
      <c r="E284" s="44" t="s">
        <v>1291</v>
      </c>
      <c r="F284" s="25">
        <v>987594993</v>
      </c>
      <c r="G284" s="29">
        <v>5</v>
      </c>
      <c r="H284" s="29">
        <v>5</v>
      </c>
      <c r="I284" s="45">
        <v>0</v>
      </c>
      <c r="J284" s="25" t="s">
        <v>539</v>
      </c>
      <c r="K284" s="25" t="s">
        <v>200</v>
      </c>
      <c r="L284" s="30">
        <f t="shared" si="12"/>
        <v>2669.6428571428569</v>
      </c>
      <c r="M284" s="30">
        <f t="shared" si="13"/>
        <v>320.35714285714283</v>
      </c>
      <c r="N284" s="30">
        <v>2990</v>
      </c>
      <c r="O284" s="27" t="s">
        <v>1292</v>
      </c>
      <c r="P284" s="35" t="s">
        <v>62</v>
      </c>
      <c r="Q284" s="35" t="s">
        <v>225</v>
      </c>
      <c r="R284" s="25">
        <v>0</v>
      </c>
    </row>
    <row r="285" spans="1:18" x14ac:dyDescent="0.3">
      <c r="A285" s="20">
        <v>45161</v>
      </c>
      <c r="B285" s="25" t="s">
        <v>1293</v>
      </c>
      <c r="C285" s="25" t="s">
        <v>1294</v>
      </c>
      <c r="D285" s="25" t="s">
        <v>1295</v>
      </c>
      <c r="E285" s="44" t="s">
        <v>1296</v>
      </c>
      <c r="F285" s="25">
        <v>968353906</v>
      </c>
      <c r="G285" s="29">
        <v>5</v>
      </c>
      <c r="H285" s="29">
        <v>5</v>
      </c>
      <c r="I285" s="45">
        <v>0</v>
      </c>
      <c r="J285" s="25" t="s">
        <v>539</v>
      </c>
      <c r="K285" s="25" t="s">
        <v>199</v>
      </c>
      <c r="L285" s="30">
        <f t="shared" si="12"/>
        <v>1776.7857142857142</v>
      </c>
      <c r="M285" s="30">
        <f t="shared" si="13"/>
        <v>213.21428571428569</v>
      </c>
      <c r="N285" s="30">
        <v>1990</v>
      </c>
      <c r="O285" s="27" t="s">
        <v>1297</v>
      </c>
      <c r="P285" s="25" t="s">
        <v>215</v>
      </c>
      <c r="Q285" s="25" t="s">
        <v>225</v>
      </c>
      <c r="R285" s="25">
        <v>0</v>
      </c>
    </row>
    <row r="286" spans="1:18" x14ac:dyDescent="0.3">
      <c r="A286" s="20">
        <v>45161</v>
      </c>
      <c r="B286" s="25" t="s">
        <v>1298</v>
      </c>
      <c r="C286" s="25" t="s">
        <v>1299</v>
      </c>
      <c r="D286" s="25" t="s">
        <v>1300</v>
      </c>
      <c r="E286" s="44" t="s">
        <v>1301</v>
      </c>
      <c r="F286" s="25">
        <v>995514830</v>
      </c>
      <c r="G286" s="29">
        <v>5</v>
      </c>
      <c r="H286" s="29">
        <v>5</v>
      </c>
      <c r="I286" s="45">
        <v>0</v>
      </c>
      <c r="J286" s="25" t="s">
        <v>539</v>
      </c>
      <c r="K286" s="25" t="s">
        <v>199</v>
      </c>
      <c r="L286" s="30">
        <f t="shared" si="12"/>
        <v>1339.2857142857142</v>
      </c>
      <c r="M286" s="30">
        <f t="shared" si="13"/>
        <v>160.71428571428569</v>
      </c>
      <c r="N286" s="30">
        <v>1500</v>
      </c>
      <c r="O286" s="27" t="s">
        <v>1302</v>
      </c>
      <c r="P286" s="25" t="s">
        <v>731</v>
      </c>
      <c r="Q286" s="25" t="s">
        <v>782</v>
      </c>
      <c r="R286" s="25">
        <v>0</v>
      </c>
    </row>
    <row r="287" spans="1:18" x14ac:dyDescent="0.3">
      <c r="A287" s="20">
        <v>45161</v>
      </c>
      <c r="B287" s="25" t="s">
        <v>1303</v>
      </c>
      <c r="C287" s="25" t="s">
        <v>1304</v>
      </c>
      <c r="D287" s="25" t="s">
        <v>1305</v>
      </c>
      <c r="E287" s="44">
        <v>1500698475</v>
      </c>
      <c r="F287" s="25">
        <v>995749241</v>
      </c>
      <c r="G287" s="29">
        <v>5</v>
      </c>
      <c r="H287" s="29">
        <v>5</v>
      </c>
      <c r="I287" s="45">
        <v>0</v>
      </c>
      <c r="J287" s="25" t="s">
        <v>539</v>
      </c>
      <c r="K287" s="25" t="s">
        <v>200</v>
      </c>
      <c r="L287" s="30">
        <f t="shared" si="12"/>
        <v>1517.8571428571427</v>
      </c>
      <c r="M287" s="30">
        <f t="shared" si="13"/>
        <v>182.14285714285711</v>
      </c>
      <c r="N287" s="30">
        <v>1700</v>
      </c>
      <c r="O287" s="27" t="s">
        <v>1306</v>
      </c>
      <c r="P287" s="25" t="s">
        <v>954</v>
      </c>
      <c r="Q287" s="25" t="s">
        <v>337</v>
      </c>
      <c r="R287" s="25">
        <v>0</v>
      </c>
    </row>
    <row r="288" spans="1:18" x14ac:dyDescent="0.3">
      <c r="A288" s="20">
        <v>45161</v>
      </c>
      <c r="B288" s="25" t="s">
        <v>1307</v>
      </c>
      <c r="C288" s="25" t="s">
        <v>1308</v>
      </c>
      <c r="D288" s="25" t="s">
        <v>1309</v>
      </c>
      <c r="E288" s="44" t="s">
        <v>1310</v>
      </c>
      <c r="F288" s="25">
        <v>993722667</v>
      </c>
      <c r="G288" s="29">
        <v>4</v>
      </c>
      <c r="H288" s="29">
        <v>4</v>
      </c>
      <c r="I288" s="45">
        <v>0</v>
      </c>
      <c r="J288" s="25" t="s">
        <v>539</v>
      </c>
      <c r="K288" s="25" t="s">
        <v>980</v>
      </c>
      <c r="L288" s="30">
        <f t="shared" si="12"/>
        <v>892.85714285714278</v>
      </c>
      <c r="M288" s="30">
        <f t="shared" si="13"/>
        <v>107.14285714285712</v>
      </c>
      <c r="N288" s="30">
        <v>1000</v>
      </c>
      <c r="O288" s="27" t="s">
        <v>1311</v>
      </c>
      <c r="P288" s="25" t="s">
        <v>335</v>
      </c>
      <c r="Q288" s="25" t="s">
        <v>58</v>
      </c>
      <c r="R288" s="25">
        <v>0</v>
      </c>
    </row>
    <row r="289" spans="1:18" x14ac:dyDescent="0.3">
      <c r="A289" s="20">
        <v>45161</v>
      </c>
      <c r="B289" s="25" t="s">
        <v>1312</v>
      </c>
      <c r="C289" s="25" t="s">
        <v>1313</v>
      </c>
      <c r="D289" s="25" t="s">
        <v>1314</v>
      </c>
      <c r="E289" s="44">
        <v>1104394042</v>
      </c>
      <c r="F289" s="25">
        <v>967022933</v>
      </c>
      <c r="G289" s="29">
        <v>7</v>
      </c>
      <c r="H289" s="29">
        <v>7</v>
      </c>
      <c r="I289" s="45">
        <v>0</v>
      </c>
      <c r="J289" s="25" t="s">
        <v>539</v>
      </c>
      <c r="K289" s="25" t="s">
        <v>200</v>
      </c>
      <c r="L289" s="30">
        <f t="shared" si="12"/>
        <v>2232.1428571428569</v>
      </c>
      <c r="M289" s="30">
        <f t="shared" si="13"/>
        <v>267.85714285714283</v>
      </c>
      <c r="N289" s="30">
        <v>2500</v>
      </c>
      <c r="O289" s="27" t="s">
        <v>1315</v>
      </c>
      <c r="P289" s="25" t="s">
        <v>215</v>
      </c>
      <c r="Q289" s="25" t="s">
        <v>224</v>
      </c>
      <c r="R289" s="25">
        <v>0</v>
      </c>
    </row>
    <row r="290" spans="1:18" x14ac:dyDescent="0.3">
      <c r="A290" s="20">
        <v>45161</v>
      </c>
      <c r="B290" s="25" t="s">
        <v>1316</v>
      </c>
      <c r="C290" s="25" t="s">
        <v>1317</v>
      </c>
      <c r="D290" s="25" t="s">
        <v>1318</v>
      </c>
      <c r="E290" s="44" t="s">
        <v>1319</v>
      </c>
      <c r="F290" s="25">
        <v>984294361</v>
      </c>
      <c r="G290" s="29">
        <v>10</v>
      </c>
      <c r="H290" s="29">
        <v>10</v>
      </c>
      <c r="I290" s="45">
        <v>0</v>
      </c>
      <c r="J290" s="25" t="s">
        <v>539</v>
      </c>
      <c r="K290" s="25" t="s">
        <v>742</v>
      </c>
      <c r="L290" s="30">
        <f t="shared" si="12"/>
        <v>2857.1428571428569</v>
      </c>
      <c r="M290" s="30">
        <f t="shared" si="13"/>
        <v>342.85714285714283</v>
      </c>
      <c r="N290" s="30">
        <v>3200</v>
      </c>
      <c r="O290" s="27" t="s">
        <v>1320</v>
      </c>
      <c r="P290" s="25" t="s">
        <v>954</v>
      </c>
      <c r="Q290" s="25" t="s">
        <v>782</v>
      </c>
      <c r="R290" s="25">
        <v>0</v>
      </c>
    </row>
    <row r="291" spans="1:18" x14ac:dyDescent="0.3">
      <c r="A291" s="20">
        <v>45161</v>
      </c>
      <c r="B291" s="25" t="s">
        <v>1321</v>
      </c>
      <c r="C291" s="25" t="s">
        <v>1322</v>
      </c>
      <c r="D291" s="25" t="s">
        <v>1323</v>
      </c>
      <c r="E291" s="44" t="s">
        <v>1324</v>
      </c>
      <c r="F291" s="25">
        <v>998901983</v>
      </c>
      <c r="G291" s="29">
        <v>4</v>
      </c>
      <c r="H291" s="29">
        <v>4</v>
      </c>
      <c r="I291" s="45">
        <v>0</v>
      </c>
      <c r="J291" s="25" t="s">
        <v>539</v>
      </c>
      <c r="K291" s="25" t="s">
        <v>200</v>
      </c>
      <c r="L291" s="30">
        <f t="shared" si="12"/>
        <v>892.85714285714278</v>
      </c>
      <c r="M291" s="30">
        <f t="shared" si="13"/>
        <v>107.14285714285712</v>
      </c>
      <c r="N291" s="30">
        <v>1000</v>
      </c>
      <c r="O291" s="27" t="s">
        <v>1325</v>
      </c>
      <c r="P291" s="25" t="s">
        <v>66</v>
      </c>
      <c r="Q291" s="25" t="s">
        <v>782</v>
      </c>
      <c r="R291" s="25">
        <v>0</v>
      </c>
    </row>
    <row r="292" spans="1:18" x14ac:dyDescent="0.3">
      <c r="A292" s="50">
        <v>45162</v>
      </c>
      <c r="B292" s="43" t="s">
        <v>1326</v>
      </c>
      <c r="C292" s="43" t="s">
        <v>1327</v>
      </c>
      <c r="D292" s="43" t="s">
        <v>1328</v>
      </c>
      <c r="E292" s="51" t="s">
        <v>1329</v>
      </c>
      <c r="F292" s="43">
        <v>989293446</v>
      </c>
      <c r="G292" s="52">
        <v>10</v>
      </c>
      <c r="H292" s="52">
        <v>10</v>
      </c>
      <c r="I292" s="45">
        <v>0</v>
      </c>
      <c r="J292" s="43" t="s">
        <v>539</v>
      </c>
      <c r="K292" s="43" t="s">
        <v>200</v>
      </c>
      <c r="L292" s="38">
        <f t="shared" si="12"/>
        <v>3124.9999999999995</v>
      </c>
      <c r="M292" s="38">
        <f t="shared" si="13"/>
        <v>374.99999999999994</v>
      </c>
      <c r="N292" s="38">
        <v>3500</v>
      </c>
      <c r="O292" s="53" t="s">
        <v>1330</v>
      </c>
      <c r="P292" s="43" t="s">
        <v>215</v>
      </c>
      <c r="Q292" s="43" t="s">
        <v>65</v>
      </c>
      <c r="R292" s="25">
        <v>0</v>
      </c>
    </row>
    <row r="293" spans="1:18" x14ac:dyDescent="0.3">
      <c r="A293" s="50">
        <v>45162</v>
      </c>
      <c r="B293" s="43" t="s">
        <v>1331</v>
      </c>
      <c r="C293" s="43" t="s">
        <v>1332</v>
      </c>
      <c r="D293" s="43" t="s">
        <v>1333</v>
      </c>
      <c r="E293" s="51" t="s">
        <v>1334</v>
      </c>
      <c r="F293" s="43">
        <v>997959123</v>
      </c>
      <c r="G293" s="52">
        <v>10</v>
      </c>
      <c r="H293" s="52">
        <v>10</v>
      </c>
      <c r="I293" s="45">
        <v>0</v>
      </c>
      <c r="J293" s="43" t="s">
        <v>821</v>
      </c>
      <c r="K293" s="43" t="s">
        <v>200</v>
      </c>
      <c r="L293" s="38">
        <f t="shared" si="12"/>
        <v>3562.4999999999995</v>
      </c>
      <c r="M293" s="38">
        <f t="shared" si="13"/>
        <v>427.49999999999994</v>
      </c>
      <c r="N293" s="38">
        <v>3990</v>
      </c>
      <c r="O293" s="53" t="s">
        <v>1335</v>
      </c>
      <c r="P293" s="43" t="s">
        <v>339</v>
      </c>
      <c r="Q293" s="43" t="s">
        <v>58</v>
      </c>
      <c r="R293" s="25">
        <v>0</v>
      </c>
    </row>
    <row r="294" spans="1:18" x14ac:dyDescent="0.3">
      <c r="A294" s="20">
        <v>45163</v>
      </c>
      <c r="B294" s="25" t="s">
        <v>1336</v>
      </c>
      <c r="C294" s="25" t="s">
        <v>1337</v>
      </c>
      <c r="D294" s="25" t="s">
        <v>1338</v>
      </c>
      <c r="E294" s="44" t="s">
        <v>1339</v>
      </c>
      <c r="F294" s="25">
        <v>960429675</v>
      </c>
      <c r="G294" s="29">
        <v>3</v>
      </c>
      <c r="H294" s="29">
        <v>3</v>
      </c>
      <c r="I294" s="45">
        <v>0</v>
      </c>
      <c r="J294" s="25" t="s">
        <v>539</v>
      </c>
      <c r="K294" s="25" t="s">
        <v>722</v>
      </c>
      <c r="L294" s="30">
        <f t="shared" si="12"/>
        <v>892.85714285714278</v>
      </c>
      <c r="M294" s="30">
        <f t="shared" si="13"/>
        <v>107.14285714285712</v>
      </c>
      <c r="N294" s="30">
        <v>1000</v>
      </c>
      <c r="O294" s="27" t="s">
        <v>1340</v>
      </c>
      <c r="P294" s="25" t="s">
        <v>731</v>
      </c>
      <c r="Q294" s="25" t="s">
        <v>225</v>
      </c>
      <c r="R294" s="25">
        <v>0</v>
      </c>
    </row>
    <row r="295" spans="1:18" x14ac:dyDescent="0.3">
      <c r="A295" s="20">
        <v>45163</v>
      </c>
      <c r="B295" s="25" t="s">
        <v>1341</v>
      </c>
      <c r="C295" s="25" t="s">
        <v>1342</v>
      </c>
      <c r="D295" s="25" t="s">
        <v>1343</v>
      </c>
      <c r="E295" s="44" t="s">
        <v>1344</v>
      </c>
      <c r="F295" s="25">
        <v>995767257</v>
      </c>
      <c r="G295" s="29">
        <v>2</v>
      </c>
      <c r="H295" s="29">
        <v>2</v>
      </c>
      <c r="I295" s="45">
        <v>0</v>
      </c>
      <c r="J295" s="25" t="s">
        <v>539</v>
      </c>
      <c r="K295" s="25" t="s">
        <v>200</v>
      </c>
      <c r="L295" s="30">
        <f t="shared" si="12"/>
        <v>624.99999999999989</v>
      </c>
      <c r="M295" s="30">
        <f t="shared" si="13"/>
        <v>74.999999999999986</v>
      </c>
      <c r="N295" s="30">
        <v>700</v>
      </c>
      <c r="O295" s="27" t="s">
        <v>1345</v>
      </c>
      <c r="P295" s="25" t="s">
        <v>337</v>
      </c>
      <c r="Q295" s="25" t="s">
        <v>225</v>
      </c>
      <c r="R295" s="25">
        <v>0</v>
      </c>
    </row>
    <row r="296" spans="1:18" x14ac:dyDescent="0.3">
      <c r="A296" s="20">
        <v>45163</v>
      </c>
      <c r="B296" s="25" t="s">
        <v>1346</v>
      </c>
      <c r="C296" s="25" t="s">
        <v>1347</v>
      </c>
      <c r="D296" s="25" t="s">
        <v>1348</v>
      </c>
      <c r="E296" s="44" t="s">
        <v>1349</v>
      </c>
      <c r="F296" s="25">
        <v>985864042</v>
      </c>
      <c r="G296" s="29">
        <v>4</v>
      </c>
      <c r="H296" s="29">
        <v>4</v>
      </c>
      <c r="I296" s="45">
        <v>0</v>
      </c>
      <c r="J296" s="25" t="s">
        <v>539</v>
      </c>
      <c r="K296" s="25" t="s">
        <v>742</v>
      </c>
      <c r="L296" s="30">
        <f t="shared" si="12"/>
        <v>892.85714285714278</v>
      </c>
      <c r="M296" s="30">
        <f t="shared" si="13"/>
        <v>107.14285714285712</v>
      </c>
      <c r="N296" s="30">
        <v>1000</v>
      </c>
      <c r="O296" s="27" t="s">
        <v>1350</v>
      </c>
      <c r="P296" s="25" t="s">
        <v>782</v>
      </c>
      <c r="Q296" s="25" t="s">
        <v>782</v>
      </c>
      <c r="R296" s="25">
        <v>0</v>
      </c>
    </row>
    <row r="297" spans="1:18" x14ac:dyDescent="0.3">
      <c r="A297" s="20">
        <v>45163</v>
      </c>
      <c r="B297" s="25" t="s">
        <v>1351</v>
      </c>
      <c r="C297" s="25" t="s">
        <v>1352</v>
      </c>
      <c r="D297" s="25" t="s">
        <v>1353</v>
      </c>
      <c r="E297" s="44" t="s">
        <v>1354</v>
      </c>
      <c r="F297" s="25">
        <v>993880645</v>
      </c>
      <c r="G297" s="29">
        <v>10</v>
      </c>
      <c r="H297" s="29">
        <v>10</v>
      </c>
      <c r="I297" s="45">
        <v>0</v>
      </c>
      <c r="J297" s="25" t="s">
        <v>539</v>
      </c>
      <c r="K297" s="25" t="s">
        <v>200</v>
      </c>
      <c r="L297" s="30">
        <f t="shared" si="12"/>
        <v>3562.4999999999995</v>
      </c>
      <c r="M297" s="30">
        <f t="shared" si="13"/>
        <v>427.49999999999994</v>
      </c>
      <c r="N297" s="30">
        <v>3990</v>
      </c>
      <c r="O297" s="27" t="s">
        <v>1355</v>
      </c>
      <c r="P297" s="25" t="s">
        <v>731</v>
      </c>
      <c r="Q297" s="25" t="s">
        <v>65</v>
      </c>
      <c r="R297" s="25">
        <v>0</v>
      </c>
    </row>
    <row r="298" spans="1:18" x14ac:dyDescent="0.3">
      <c r="A298" s="20">
        <v>45163</v>
      </c>
      <c r="B298" s="25" t="s">
        <v>1356</v>
      </c>
      <c r="C298" s="25" t="s">
        <v>1357</v>
      </c>
      <c r="D298" s="25" t="s">
        <v>1358</v>
      </c>
      <c r="E298" s="44" t="s">
        <v>1359</v>
      </c>
      <c r="F298" s="25">
        <v>998358446</v>
      </c>
      <c r="G298" s="29">
        <v>4</v>
      </c>
      <c r="H298" s="29">
        <v>4</v>
      </c>
      <c r="I298" s="45">
        <v>0</v>
      </c>
      <c r="J298" s="25" t="s">
        <v>821</v>
      </c>
      <c r="K298" s="25" t="s">
        <v>199</v>
      </c>
      <c r="L298" s="30">
        <f t="shared" si="12"/>
        <v>892.85714285714278</v>
      </c>
      <c r="M298" s="30">
        <f t="shared" si="13"/>
        <v>107.14285714285712</v>
      </c>
      <c r="N298" s="30">
        <v>1000</v>
      </c>
      <c r="O298" s="27" t="s">
        <v>1360</v>
      </c>
      <c r="P298" s="25" t="s">
        <v>215</v>
      </c>
      <c r="Q298" s="25" t="s">
        <v>58</v>
      </c>
      <c r="R298" s="25">
        <v>0</v>
      </c>
    </row>
    <row r="299" spans="1:18" x14ac:dyDescent="0.3">
      <c r="A299" s="20">
        <v>45163</v>
      </c>
      <c r="B299" s="25" t="s">
        <v>1361</v>
      </c>
      <c r="C299" s="25" t="s">
        <v>1362</v>
      </c>
      <c r="D299" s="25" t="s">
        <v>1363</v>
      </c>
      <c r="E299" s="44" t="s">
        <v>1364</v>
      </c>
      <c r="F299" s="25">
        <v>987232173</v>
      </c>
      <c r="G299" s="29">
        <v>3</v>
      </c>
      <c r="H299" s="29">
        <v>3</v>
      </c>
      <c r="I299" s="45">
        <v>0</v>
      </c>
      <c r="J299" s="25" t="s">
        <v>539</v>
      </c>
      <c r="K299" s="25" t="s">
        <v>200</v>
      </c>
      <c r="L299" s="30">
        <f t="shared" si="12"/>
        <v>892.85714285714278</v>
      </c>
      <c r="M299" s="30">
        <f t="shared" si="13"/>
        <v>107.14285714285712</v>
      </c>
      <c r="N299" s="30">
        <v>1000</v>
      </c>
      <c r="O299" s="27" t="s">
        <v>1365</v>
      </c>
      <c r="P299" s="25" t="s">
        <v>335</v>
      </c>
      <c r="Q299" s="25" t="s">
        <v>58</v>
      </c>
      <c r="R299" s="25">
        <v>0</v>
      </c>
    </row>
    <row r="300" spans="1:18" x14ac:dyDescent="0.3">
      <c r="A300" s="20">
        <v>45163</v>
      </c>
      <c r="B300" s="25" t="s">
        <v>1366</v>
      </c>
      <c r="C300" s="25" t="s">
        <v>1367</v>
      </c>
      <c r="D300" s="25" t="s">
        <v>1368</v>
      </c>
      <c r="E300" s="44" t="s">
        <v>1369</v>
      </c>
      <c r="F300" s="25">
        <v>985860938</v>
      </c>
      <c r="G300" s="29">
        <v>10</v>
      </c>
      <c r="H300" s="29">
        <v>10</v>
      </c>
      <c r="I300" s="45">
        <v>0</v>
      </c>
      <c r="J300" s="25" t="s">
        <v>539</v>
      </c>
      <c r="K300" s="25" t="s">
        <v>200</v>
      </c>
      <c r="L300" s="30">
        <f t="shared" si="12"/>
        <v>2669.6428571428569</v>
      </c>
      <c r="M300" s="30">
        <f t="shared" si="13"/>
        <v>320.35714285714283</v>
      </c>
      <c r="N300" s="30">
        <v>2990</v>
      </c>
      <c r="O300" s="27" t="s">
        <v>1370</v>
      </c>
      <c r="P300" s="25" t="s">
        <v>225</v>
      </c>
      <c r="Q300" s="25" t="s">
        <v>225</v>
      </c>
      <c r="R300" s="25">
        <v>0</v>
      </c>
    </row>
    <row r="301" spans="1:18" x14ac:dyDescent="0.3">
      <c r="A301" s="50">
        <v>45164</v>
      </c>
      <c r="B301" s="43" t="s">
        <v>1371</v>
      </c>
      <c r="C301" s="43" t="s">
        <v>1372</v>
      </c>
      <c r="D301" s="43" t="s">
        <v>1373</v>
      </c>
      <c r="E301" s="51" t="s">
        <v>1374</v>
      </c>
      <c r="F301" s="43">
        <v>980703235</v>
      </c>
      <c r="G301" s="52">
        <v>3</v>
      </c>
      <c r="H301" s="52">
        <v>3</v>
      </c>
      <c r="I301" s="45">
        <v>0</v>
      </c>
      <c r="J301" s="43" t="s">
        <v>821</v>
      </c>
      <c r="K301" s="43" t="s">
        <v>199</v>
      </c>
      <c r="L301" s="38">
        <f t="shared" si="12"/>
        <v>1071.4285714285713</v>
      </c>
      <c r="M301" s="38">
        <f t="shared" si="13"/>
        <v>128.57142857142856</v>
      </c>
      <c r="N301" s="38">
        <v>1200</v>
      </c>
      <c r="O301" s="53" t="s">
        <v>1375</v>
      </c>
      <c r="P301" s="43" t="s">
        <v>731</v>
      </c>
      <c r="Q301" s="43" t="s">
        <v>225</v>
      </c>
      <c r="R301" s="25">
        <v>0</v>
      </c>
    </row>
    <row r="302" spans="1:18" x14ac:dyDescent="0.3">
      <c r="A302" s="20">
        <v>45164</v>
      </c>
      <c r="B302" s="25" t="s">
        <v>1376</v>
      </c>
      <c r="C302" s="25" t="s">
        <v>1377</v>
      </c>
      <c r="D302" s="25" t="s">
        <v>1378</v>
      </c>
      <c r="E302" s="44" t="s">
        <v>1379</v>
      </c>
      <c r="F302" s="25">
        <v>982212565</v>
      </c>
      <c r="G302" s="29">
        <v>6</v>
      </c>
      <c r="H302" s="29">
        <v>6</v>
      </c>
      <c r="I302" s="45">
        <v>0</v>
      </c>
      <c r="J302" s="25" t="s">
        <v>539</v>
      </c>
      <c r="K302" s="25" t="s">
        <v>200</v>
      </c>
      <c r="L302" s="30">
        <f t="shared" si="12"/>
        <v>1776.7857142857142</v>
      </c>
      <c r="M302" s="30">
        <f t="shared" si="13"/>
        <v>213.21428571428569</v>
      </c>
      <c r="N302" s="30">
        <v>1990</v>
      </c>
      <c r="O302" s="27" t="s">
        <v>1380</v>
      </c>
      <c r="P302" s="25" t="s">
        <v>337</v>
      </c>
      <c r="Q302" s="25" t="s">
        <v>225</v>
      </c>
      <c r="R302" s="25">
        <v>0</v>
      </c>
    </row>
    <row r="303" spans="1:18" x14ac:dyDescent="0.3">
      <c r="A303" s="20">
        <v>45164</v>
      </c>
      <c r="B303" s="25" t="s">
        <v>1381</v>
      </c>
      <c r="C303" s="25" t="s">
        <v>1382</v>
      </c>
      <c r="D303" s="25" t="s">
        <v>1383</v>
      </c>
      <c r="E303" s="44" t="s">
        <v>1384</v>
      </c>
      <c r="F303" s="25">
        <v>992888279</v>
      </c>
      <c r="G303" s="29">
        <v>5</v>
      </c>
      <c r="H303" s="29">
        <v>5</v>
      </c>
      <c r="I303" s="45">
        <v>0</v>
      </c>
      <c r="J303" s="25" t="s">
        <v>539</v>
      </c>
      <c r="K303" s="25" t="s">
        <v>200</v>
      </c>
      <c r="L303" s="30">
        <f t="shared" si="12"/>
        <v>892.85714285714278</v>
      </c>
      <c r="M303" s="30">
        <f t="shared" si="13"/>
        <v>107.14285714285712</v>
      </c>
      <c r="N303" s="30">
        <v>1000</v>
      </c>
      <c r="O303" s="27" t="s">
        <v>1385</v>
      </c>
      <c r="P303" s="25" t="s">
        <v>215</v>
      </c>
      <c r="Q303" s="25" t="s">
        <v>65</v>
      </c>
      <c r="R303" s="25">
        <v>0</v>
      </c>
    </row>
    <row r="304" spans="1:18" x14ac:dyDescent="0.3">
      <c r="A304" s="20">
        <v>45167</v>
      </c>
      <c r="B304" s="25" t="s">
        <v>1386</v>
      </c>
      <c r="C304" s="25" t="s">
        <v>1387</v>
      </c>
      <c r="D304" s="25" t="s">
        <v>1388</v>
      </c>
      <c r="E304" s="44" t="s">
        <v>1389</v>
      </c>
      <c r="F304" s="25">
        <v>986676892</v>
      </c>
      <c r="G304" s="29">
        <v>8</v>
      </c>
      <c r="H304" s="29">
        <v>8</v>
      </c>
      <c r="I304" s="45">
        <v>0</v>
      </c>
      <c r="J304" s="25" t="s">
        <v>821</v>
      </c>
      <c r="K304" s="25" t="s">
        <v>980</v>
      </c>
      <c r="L304" s="30">
        <f t="shared" si="12"/>
        <v>2053.5714285714284</v>
      </c>
      <c r="M304" s="30">
        <f t="shared" si="13"/>
        <v>246.42857142857142</v>
      </c>
      <c r="N304" s="30">
        <v>2300</v>
      </c>
      <c r="O304" s="27" t="s">
        <v>1390</v>
      </c>
      <c r="P304" s="25" t="s">
        <v>954</v>
      </c>
      <c r="Q304" s="25" t="s">
        <v>782</v>
      </c>
      <c r="R304" s="25">
        <v>0</v>
      </c>
    </row>
    <row r="305" spans="1:18" x14ac:dyDescent="0.3">
      <c r="A305" s="20">
        <v>45167</v>
      </c>
      <c r="B305" s="25" t="s">
        <v>1391</v>
      </c>
      <c r="C305" s="25" t="s">
        <v>1392</v>
      </c>
      <c r="D305" s="25" t="s">
        <v>1393</v>
      </c>
      <c r="E305" s="44" t="s">
        <v>1394</v>
      </c>
      <c r="F305" s="25">
        <v>983960167</v>
      </c>
      <c r="G305" s="29">
        <v>5</v>
      </c>
      <c r="H305" s="29">
        <v>5</v>
      </c>
      <c r="I305" s="45">
        <v>0</v>
      </c>
      <c r="J305" s="25" t="s">
        <v>539</v>
      </c>
      <c r="K305" s="25" t="s">
        <v>200</v>
      </c>
      <c r="L305" s="30">
        <f t="shared" si="12"/>
        <v>1776.7857142857142</v>
      </c>
      <c r="M305" s="30">
        <f t="shared" si="13"/>
        <v>213.21428571428569</v>
      </c>
      <c r="N305" s="30">
        <v>1990</v>
      </c>
      <c r="O305" s="27" t="s">
        <v>1395</v>
      </c>
      <c r="P305" s="25" t="s">
        <v>339</v>
      </c>
      <c r="Q305" s="25" t="s">
        <v>225</v>
      </c>
      <c r="R305" s="25">
        <v>0</v>
      </c>
    </row>
    <row r="306" spans="1:18" x14ac:dyDescent="0.3">
      <c r="A306" s="20">
        <v>45167</v>
      </c>
      <c r="B306" s="25" t="s">
        <v>1396</v>
      </c>
      <c r="C306" s="25" t="s">
        <v>1397</v>
      </c>
      <c r="D306" s="25" t="s">
        <v>1398</v>
      </c>
      <c r="E306" s="44" t="s">
        <v>1399</v>
      </c>
      <c r="F306" s="25">
        <v>969853323</v>
      </c>
      <c r="G306" s="29">
        <v>5</v>
      </c>
      <c r="H306" s="29">
        <v>5</v>
      </c>
      <c r="I306" s="45">
        <v>0</v>
      </c>
      <c r="J306" s="25" t="s">
        <v>539</v>
      </c>
      <c r="K306" s="25" t="s">
        <v>199</v>
      </c>
      <c r="L306" s="30">
        <f t="shared" ref="L306:L369" si="14">+N306/1.12</f>
        <v>1249.9999999999998</v>
      </c>
      <c r="M306" s="30">
        <f t="shared" ref="M306:M369" si="15">+L306*12%</f>
        <v>149.99999999999997</v>
      </c>
      <c r="N306" s="30">
        <v>1400</v>
      </c>
      <c r="O306" s="27" t="s">
        <v>1400</v>
      </c>
      <c r="P306" s="25" t="s">
        <v>548</v>
      </c>
      <c r="Q306" s="25" t="s">
        <v>782</v>
      </c>
      <c r="R306" s="25">
        <v>0</v>
      </c>
    </row>
    <row r="307" spans="1:18" x14ac:dyDescent="0.3">
      <c r="A307" s="20">
        <v>45167</v>
      </c>
      <c r="B307" s="25" t="s">
        <v>1401</v>
      </c>
      <c r="C307" s="25" t="s">
        <v>1402</v>
      </c>
      <c r="D307" s="25" t="s">
        <v>1403</v>
      </c>
      <c r="E307" s="44" t="s">
        <v>1404</v>
      </c>
      <c r="F307" s="25">
        <v>985118476</v>
      </c>
      <c r="G307" s="29">
        <v>7</v>
      </c>
      <c r="H307" s="29">
        <v>7</v>
      </c>
      <c r="I307" s="45">
        <v>0</v>
      </c>
      <c r="J307" s="25" t="s">
        <v>539</v>
      </c>
      <c r="K307" s="25" t="s">
        <v>980</v>
      </c>
      <c r="L307" s="30">
        <f t="shared" si="14"/>
        <v>2857.1428571428569</v>
      </c>
      <c r="M307" s="30">
        <f t="shared" si="15"/>
        <v>342.85714285714283</v>
      </c>
      <c r="N307" s="30">
        <v>3200</v>
      </c>
      <c r="O307" s="27" t="s">
        <v>1405</v>
      </c>
      <c r="P307" s="25" t="s">
        <v>337</v>
      </c>
      <c r="Q307" s="25" t="s">
        <v>337</v>
      </c>
      <c r="R307" s="25">
        <v>0</v>
      </c>
    </row>
    <row r="308" spans="1:18" x14ac:dyDescent="0.3">
      <c r="A308" s="20">
        <v>45167</v>
      </c>
      <c r="B308" s="25" t="s">
        <v>1406</v>
      </c>
      <c r="C308" s="25" t="s">
        <v>1407</v>
      </c>
      <c r="D308" s="25" t="s">
        <v>1408</v>
      </c>
      <c r="E308" s="44" t="s">
        <v>1409</v>
      </c>
      <c r="F308" s="25">
        <v>993924025</v>
      </c>
      <c r="G308" s="29">
        <v>3</v>
      </c>
      <c r="H308" s="29">
        <v>3</v>
      </c>
      <c r="I308" s="45">
        <v>0</v>
      </c>
      <c r="J308" s="25" t="s">
        <v>539</v>
      </c>
      <c r="K308" s="25" t="s">
        <v>199</v>
      </c>
      <c r="L308" s="30">
        <f t="shared" si="14"/>
        <v>892.85714285714278</v>
      </c>
      <c r="M308" s="30">
        <f t="shared" si="15"/>
        <v>107.14285714285712</v>
      </c>
      <c r="N308" s="30">
        <v>1000</v>
      </c>
      <c r="O308" s="27" t="s">
        <v>1410</v>
      </c>
      <c r="P308" s="25" t="s">
        <v>339</v>
      </c>
      <c r="Q308" s="25" t="s">
        <v>225</v>
      </c>
      <c r="R308" s="25">
        <v>0</v>
      </c>
    </row>
    <row r="309" spans="1:18" x14ac:dyDescent="0.3">
      <c r="A309" s="20">
        <v>45167</v>
      </c>
      <c r="B309" s="25" t="s">
        <v>1411</v>
      </c>
      <c r="C309" s="25" t="s">
        <v>1412</v>
      </c>
      <c r="D309" s="25" t="s">
        <v>1413</v>
      </c>
      <c r="E309" s="44" t="s">
        <v>1414</v>
      </c>
      <c r="F309" s="25">
        <v>980262075</v>
      </c>
      <c r="G309" s="29">
        <v>5</v>
      </c>
      <c r="H309" s="29">
        <v>5</v>
      </c>
      <c r="I309" s="45">
        <v>0</v>
      </c>
      <c r="J309" s="25" t="s">
        <v>539</v>
      </c>
      <c r="K309" s="25" t="s">
        <v>200</v>
      </c>
      <c r="L309" s="30">
        <f t="shared" si="14"/>
        <v>36.607142857142854</v>
      </c>
      <c r="M309" s="30">
        <f t="shared" si="15"/>
        <v>4.3928571428571423</v>
      </c>
      <c r="N309" s="30">
        <v>41</v>
      </c>
      <c r="O309" s="27" t="s">
        <v>1415</v>
      </c>
      <c r="P309" s="25" t="s">
        <v>1239</v>
      </c>
      <c r="Q309" s="25" t="s">
        <v>592</v>
      </c>
      <c r="R309" s="25">
        <v>0</v>
      </c>
    </row>
    <row r="310" spans="1:18" x14ac:dyDescent="0.3">
      <c r="A310" s="20">
        <v>45168</v>
      </c>
      <c r="B310" s="25" t="s">
        <v>1416</v>
      </c>
      <c r="C310" s="25" t="s">
        <v>1417</v>
      </c>
      <c r="D310" s="25" t="s">
        <v>1418</v>
      </c>
      <c r="E310" s="44" t="s">
        <v>1419</v>
      </c>
      <c r="F310" s="25">
        <v>968969037</v>
      </c>
      <c r="G310" s="29">
        <v>3</v>
      </c>
      <c r="H310" s="29">
        <v>3</v>
      </c>
      <c r="I310" s="45">
        <v>0</v>
      </c>
      <c r="J310" s="25" t="s">
        <v>539</v>
      </c>
      <c r="K310" s="25" t="s">
        <v>722</v>
      </c>
      <c r="L310" s="30">
        <f t="shared" si="14"/>
        <v>892.85714285714278</v>
      </c>
      <c r="M310" s="30">
        <f t="shared" si="15"/>
        <v>107.14285714285712</v>
      </c>
      <c r="N310" s="30">
        <v>1000</v>
      </c>
      <c r="O310" s="27" t="s">
        <v>1420</v>
      </c>
      <c r="P310" s="25" t="s">
        <v>339</v>
      </c>
      <c r="Q310" s="25" t="s">
        <v>225</v>
      </c>
      <c r="R310" s="25">
        <v>0</v>
      </c>
    </row>
    <row r="311" spans="1:18" x14ac:dyDescent="0.3">
      <c r="A311" s="20">
        <v>45168</v>
      </c>
      <c r="B311" s="25" t="s">
        <v>1421</v>
      </c>
      <c r="C311" s="25" t="s">
        <v>1422</v>
      </c>
      <c r="D311" s="25" t="s">
        <v>1423</v>
      </c>
      <c r="E311" s="44" t="s">
        <v>1424</v>
      </c>
      <c r="F311" s="25">
        <v>997961765</v>
      </c>
      <c r="G311" s="29">
        <v>2</v>
      </c>
      <c r="H311" s="29">
        <v>2</v>
      </c>
      <c r="I311" s="45">
        <v>0</v>
      </c>
      <c r="J311" s="25" t="s">
        <v>539</v>
      </c>
      <c r="K311" s="25" t="s">
        <v>200</v>
      </c>
      <c r="L311" s="30">
        <f t="shared" si="14"/>
        <v>446.42857142857139</v>
      </c>
      <c r="M311" s="30">
        <f t="shared" si="15"/>
        <v>53.571428571428562</v>
      </c>
      <c r="N311" s="30">
        <v>500</v>
      </c>
      <c r="O311" s="27" t="s">
        <v>1425</v>
      </c>
      <c r="P311" s="25" t="s">
        <v>339</v>
      </c>
      <c r="Q311" s="25" t="s">
        <v>782</v>
      </c>
      <c r="R311" s="25">
        <v>0</v>
      </c>
    </row>
    <row r="312" spans="1:18" x14ac:dyDescent="0.3">
      <c r="A312" s="20">
        <v>45169</v>
      </c>
      <c r="B312" s="25" t="s">
        <v>1426</v>
      </c>
      <c r="C312" s="25" t="s">
        <v>1427</v>
      </c>
      <c r="D312" s="25" t="s">
        <v>1428</v>
      </c>
      <c r="E312" s="44" t="s">
        <v>1429</v>
      </c>
      <c r="F312" s="25">
        <v>990380932</v>
      </c>
      <c r="G312" s="29">
        <v>3</v>
      </c>
      <c r="H312" s="29">
        <v>3</v>
      </c>
      <c r="I312" s="45">
        <v>0</v>
      </c>
      <c r="J312" s="25" t="s">
        <v>211</v>
      </c>
      <c r="K312" s="25"/>
      <c r="L312" s="30">
        <f t="shared" si="14"/>
        <v>89.285714285714278</v>
      </c>
      <c r="M312" s="30">
        <f t="shared" si="15"/>
        <v>10.714285714285714</v>
      </c>
      <c r="N312" s="30">
        <v>100</v>
      </c>
      <c r="O312" s="27" t="s">
        <v>1430</v>
      </c>
      <c r="P312" s="25" t="s">
        <v>731</v>
      </c>
      <c r="Q312" s="25" t="s">
        <v>225</v>
      </c>
      <c r="R312" s="25">
        <v>0</v>
      </c>
    </row>
    <row r="313" spans="1:18" x14ac:dyDescent="0.3">
      <c r="A313" s="20">
        <v>45169</v>
      </c>
      <c r="B313" s="25" t="s">
        <v>1431</v>
      </c>
      <c r="C313" s="25" t="s">
        <v>1432</v>
      </c>
      <c r="D313" s="25" t="s">
        <v>1433</v>
      </c>
      <c r="E313" s="44" t="s">
        <v>1434</v>
      </c>
      <c r="F313" s="25">
        <v>990171296</v>
      </c>
      <c r="G313" s="29">
        <v>10</v>
      </c>
      <c r="H313" s="29">
        <v>10</v>
      </c>
      <c r="I313" s="45">
        <v>0</v>
      </c>
      <c r="J313" s="25" t="s">
        <v>539</v>
      </c>
      <c r="K313" s="25" t="s">
        <v>1435</v>
      </c>
      <c r="L313" s="30">
        <f t="shared" si="14"/>
        <v>2678.5714285714284</v>
      </c>
      <c r="M313" s="30">
        <f t="shared" si="15"/>
        <v>321.42857142857139</v>
      </c>
      <c r="N313" s="30">
        <v>3000</v>
      </c>
      <c r="O313" s="27" t="s">
        <v>1436</v>
      </c>
      <c r="P313" s="25" t="s">
        <v>215</v>
      </c>
      <c r="Q313" s="25" t="s">
        <v>225</v>
      </c>
      <c r="R313" s="25">
        <v>0</v>
      </c>
    </row>
    <row r="314" spans="1:18" x14ac:dyDescent="0.3">
      <c r="A314" s="20">
        <v>45170</v>
      </c>
      <c r="B314" s="25" t="s">
        <v>1437</v>
      </c>
      <c r="C314" s="25" t="s">
        <v>1438</v>
      </c>
      <c r="D314" s="25" t="s">
        <v>1439</v>
      </c>
      <c r="E314" s="44" t="s">
        <v>1440</v>
      </c>
      <c r="F314" s="44">
        <v>939888386</v>
      </c>
      <c r="G314" s="44"/>
      <c r="H314" s="25">
        <v>5</v>
      </c>
      <c r="I314" s="25"/>
      <c r="J314" s="25" t="s">
        <v>539</v>
      </c>
      <c r="K314" s="25" t="s">
        <v>199</v>
      </c>
      <c r="L314" s="23">
        <f t="shared" si="14"/>
        <v>1339.2857142857142</v>
      </c>
      <c r="M314" s="23">
        <f t="shared" si="15"/>
        <v>160.71428571428569</v>
      </c>
      <c r="N314" s="23">
        <v>1500</v>
      </c>
      <c r="O314" s="27" t="s">
        <v>1441</v>
      </c>
      <c r="P314" s="25" t="s">
        <v>548</v>
      </c>
      <c r="Q314" s="25" t="s">
        <v>340</v>
      </c>
      <c r="R314" s="25">
        <v>0</v>
      </c>
    </row>
    <row r="315" spans="1:18" x14ac:dyDescent="0.3">
      <c r="A315" s="20">
        <v>45170</v>
      </c>
      <c r="B315" s="25" t="s">
        <v>1442</v>
      </c>
      <c r="C315" s="25" t="s">
        <v>1443</v>
      </c>
      <c r="D315" s="25" t="s">
        <v>1444</v>
      </c>
      <c r="E315" s="44" t="s">
        <v>1445</v>
      </c>
      <c r="F315" s="44">
        <v>997037061</v>
      </c>
      <c r="G315" s="44"/>
      <c r="H315" s="25">
        <v>10</v>
      </c>
      <c r="I315" s="25"/>
      <c r="J315" s="25" t="s">
        <v>539</v>
      </c>
      <c r="K315" s="25" t="s">
        <v>742</v>
      </c>
      <c r="L315" s="23">
        <f t="shared" si="14"/>
        <v>2493.7499999999995</v>
      </c>
      <c r="M315" s="23">
        <f t="shared" si="15"/>
        <v>299.24999999999994</v>
      </c>
      <c r="N315" s="23">
        <v>2793</v>
      </c>
      <c r="O315" s="27" t="s">
        <v>1446</v>
      </c>
      <c r="P315" s="25" t="s">
        <v>58</v>
      </c>
      <c r="Q315" s="25" t="s">
        <v>58</v>
      </c>
      <c r="R315" s="25">
        <v>0</v>
      </c>
    </row>
    <row r="316" spans="1:18" x14ac:dyDescent="0.3">
      <c r="A316" s="20">
        <v>45171</v>
      </c>
      <c r="B316" s="25" t="s">
        <v>1447</v>
      </c>
      <c r="C316" s="25" t="s">
        <v>1448</v>
      </c>
      <c r="D316" s="25" t="s">
        <v>1449</v>
      </c>
      <c r="E316" s="44" t="s">
        <v>1450</v>
      </c>
      <c r="F316" s="44">
        <v>998083223</v>
      </c>
      <c r="G316" s="44"/>
      <c r="H316" s="25">
        <v>4</v>
      </c>
      <c r="I316" s="25"/>
      <c r="J316" s="25" t="s">
        <v>821</v>
      </c>
      <c r="K316" s="25" t="s">
        <v>200</v>
      </c>
      <c r="L316" s="23">
        <f t="shared" si="14"/>
        <v>1428.5714285714284</v>
      </c>
      <c r="M316" s="23">
        <f t="shared" si="15"/>
        <v>171.42857142857142</v>
      </c>
      <c r="N316" s="23">
        <v>1600</v>
      </c>
      <c r="O316" s="27" t="s">
        <v>1451</v>
      </c>
      <c r="P316" s="25" t="s">
        <v>1239</v>
      </c>
      <c r="Q316" s="25" t="s">
        <v>65</v>
      </c>
      <c r="R316" s="25">
        <v>0</v>
      </c>
    </row>
    <row r="317" spans="1:18" x14ac:dyDescent="0.3">
      <c r="A317" s="20">
        <v>45171</v>
      </c>
      <c r="B317" s="25" t="s">
        <v>1452</v>
      </c>
      <c r="C317" s="25" t="s">
        <v>1453</v>
      </c>
      <c r="D317" s="25" t="s">
        <v>1454</v>
      </c>
      <c r="E317" s="44" t="s">
        <v>1455</v>
      </c>
      <c r="F317" s="44">
        <v>989874085</v>
      </c>
      <c r="G317" s="44"/>
      <c r="H317" s="25">
        <v>5</v>
      </c>
      <c r="I317" s="25"/>
      <c r="J317" s="54" t="s">
        <v>539</v>
      </c>
      <c r="K317" s="54" t="s">
        <v>200</v>
      </c>
      <c r="L317" s="23">
        <f t="shared" si="14"/>
        <v>1776.7857142857142</v>
      </c>
      <c r="M317" s="23">
        <f t="shared" si="15"/>
        <v>213.21428571428569</v>
      </c>
      <c r="N317" s="23">
        <v>1990</v>
      </c>
      <c r="O317" s="27" t="s">
        <v>1456</v>
      </c>
      <c r="P317" s="25" t="s">
        <v>224</v>
      </c>
      <c r="Q317" s="25" t="s">
        <v>225</v>
      </c>
      <c r="R317" s="25">
        <v>0</v>
      </c>
    </row>
    <row r="318" spans="1:18" x14ac:dyDescent="0.3">
      <c r="A318" s="20">
        <v>45174</v>
      </c>
      <c r="B318" s="25" t="s">
        <v>1457</v>
      </c>
      <c r="C318" s="25" t="s">
        <v>1458</v>
      </c>
      <c r="D318" s="25" t="s">
        <v>1459</v>
      </c>
      <c r="E318" s="44" t="s">
        <v>1460</v>
      </c>
      <c r="F318" s="44">
        <v>991392233</v>
      </c>
      <c r="G318" s="44"/>
      <c r="H318" s="25">
        <v>4</v>
      </c>
      <c r="I318" s="25"/>
      <c r="J318" s="25" t="s">
        <v>821</v>
      </c>
      <c r="K318" s="25" t="s">
        <v>200</v>
      </c>
      <c r="L318" s="23">
        <f t="shared" si="14"/>
        <v>892.85714285714278</v>
      </c>
      <c r="M318" s="23">
        <f t="shared" si="15"/>
        <v>107.14285714285712</v>
      </c>
      <c r="N318" s="23">
        <v>1000</v>
      </c>
      <c r="O318" s="27" t="s">
        <v>1461</v>
      </c>
      <c r="P318" s="25" t="s">
        <v>823</v>
      </c>
      <c r="Q318" s="25" t="s">
        <v>340</v>
      </c>
      <c r="R318" s="25">
        <v>0</v>
      </c>
    </row>
    <row r="319" spans="1:18" x14ac:dyDescent="0.3">
      <c r="A319" s="20">
        <v>45175</v>
      </c>
      <c r="B319" s="25" t="s">
        <v>1462</v>
      </c>
      <c r="C319" s="25" t="s">
        <v>1463</v>
      </c>
      <c r="D319" s="25" t="s">
        <v>1464</v>
      </c>
      <c r="E319" s="44" t="s">
        <v>1465</v>
      </c>
      <c r="F319" s="44">
        <v>990470915</v>
      </c>
      <c r="G319" s="44"/>
      <c r="H319" s="25">
        <v>3</v>
      </c>
      <c r="I319" s="25"/>
      <c r="J319" s="25" t="s">
        <v>821</v>
      </c>
      <c r="K319" s="25" t="s">
        <v>200</v>
      </c>
      <c r="L319" s="23">
        <f t="shared" si="14"/>
        <v>937.49999999999989</v>
      </c>
      <c r="M319" s="23">
        <f t="shared" si="15"/>
        <v>112.49999999999999</v>
      </c>
      <c r="N319" s="23">
        <v>1050</v>
      </c>
      <c r="O319" s="27" t="s">
        <v>1466</v>
      </c>
      <c r="P319" s="25" t="s">
        <v>337</v>
      </c>
      <c r="Q319" s="25" t="s">
        <v>65</v>
      </c>
      <c r="R319" s="25">
        <v>0</v>
      </c>
    </row>
    <row r="320" spans="1:18" x14ac:dyDescent="0.3">
      <c r="A320" s="20">
        <v>45175</v>
      </c>
      <c r="B320" s="25" t="s">
        <v>1467</v>
      </c>
      <c r="C320" s="25" t="s">
        <v>1468</v>
      </c>
      <c r="D320" s="25" t="s">
        <v>1469</v>
      </c>
      <c r="E320" s="44" t="s">
        <v>1470</v>
      </c>
      <c r="F320" s="44">
        <v>991732879</v>
      </c>
      <c r="G320" s="44"/>
      <c r="H320" s="25">
        <v>6</v>
      </c>
      <c r="I320" s="25"/>
      <c r="J320" s="25" t="s">
        <v>539</v>
      </c>
      <c r="K320" s="25" t="s">
        <v>980</v>
      </c>
      <c r="L320" s="23">
        <f t="shared" si="14"/>
        <v>2053.5714285714284</v>
      </c>
      <c r="M320" s="23">
        <f t="shared" si="15"/>
        <v>246.42857142857142</v>
      </c>
      <c r="N320" s="23">
        <v>2300</v>
      </c>
      <c r="O320" s="27" t="s">
        <v>1471</v>
      </c>
      <c r="P320" s="25" t="s">
        <v>58</v>
      </c>
      <c r="Q320" s="25" t="s">
        <v>58</v>
      </c>
      <c r="R320" s="25">
        <v>0</v>
      </c>
    </row>
    <row r="321" spans="1:18" x14ac:dyDescent="0.3">
      <c r="A321" s="20">
        <v>45175</v>
      </c>
      <c r="B321" s="25" t="s">
        <v>1472</v>
      </c>
      <c r="C321" s="25" t="s">
        <v>1473</v>
      </c>
      <c r="D321" s="25" t="s">
        <v>1474</v>
      </c>
      <c r="E321" s="44" t="s">
        <v>1475</v>
      </c>
      <c r="F321" s="44">
        <v>992130448</v>
      </c>
      <c r="G321" s="44"/>
      <c r="H321" s="25">
        <v>3</v>
      </c>
      <c r="I321" s="25"/>
      <c r="J321" s="25" t="s">
        <v>539</v>
      </c>
      <c r="K321" s="25" t="s">
        <v>200</v>
      </c>
      <c r="L321" s="23">
        <f t="shared" si="14"/>
        <v>892.85714285714278</v>
      </c>
      <c r="M321" s="23">
        <f t="shared" si="15"/>
        <v>107.14285714285712</v>
      </c>
      <c r="N321" s="23">
        <v>1000</v>
      </c>
      <c r="O321" s="27" t="s">
        <v>1476</v>
      </c>
      <c r="P321" s="25" t="s">
        <v>548</v>
      </c>
      <c r="Q321" s="25" t="s">
        <v>225</v>
      </c>
      <c r="R321" s="25">
        <v>0</v>
      </c>
    </row>
    <row r="322" spans="1:18" x14ac:dyDescent="0.3">
      <c r="A322" s="20">
        <v>45175</v>
      </c>
      <c r="B322" s="25" t="s">
        <v>1477</v>
      </c>
      <c r="C322" s="25" t="s">
        <v>1478</v>
      </c>
      <c r="D322" s="25" t="s">
        <v>1479</v>
      </c>
      <c r="E322" s="44" t="s">
        <v>1480</v>
      </c>
      <c r="F322" s="44">
        <v>992573288</v>
      </c>
      <c r="G322" s="44"/>
      <c r="H322" s="25">
        <v>5</v>
      </c>
      <c r="I322" s="25"/>
      <c r="J322" s="25" t="s">
        <v>821</v>
      </c>
      <c r="K322" s="25" t="s">
        <v>199</v>
      </c>
      <c r="L322" s="23">
        <f t="shared" si="14"/>
        <v>1919.6428571428569</v>
      </c>
      <c r="M322" s="23">
        <f t="shared" si="15"/>
        <v>230.3571428571428</v>
      </c>
      <c r="N322" s="30">
        <v>2150</v>
      </c>
      <c r="O322" s="27" t="s">
        <v>1481</v>
      </c>
      <c r="P322" s="25" t="s">
        <v>1482</v>
      </c>
      <c r="Q322" s="25" t="s">
        <v>782</v>
      </c>
      <c r="R322" s="25">
        <v>0</v>
      </c>
    </row>
    <row r="323" spans="1:18" x14ac:dyDescent="0.3">
      <c r="A323" s="20">
        <v>45175</v>
      </c>
      <c r="B323" s="25" t="s">
        <v>1483</v>
      </c>
      <c r="C323" s="25" t="s">
        <v>1484</v>
      </c>
      <c r="D323" s="25" t="s">
        <v>1485</v>
      </c>
      <c r="E323" s="44" t="s">
        <v>1486</v>
      </c>
      <c r="F323" s="44">
        <v>984304547</v>
      </c>
      <c r="G323" s="44"/>
      <c r="H323" s="25">
        <v>3</v>
      </c>
      <c r="I323" s="25"/>
      <c r="J323" s="25" t="s">
        <v>539</v>
      </c>
      <c r="K323" s="25" t="s">
        <v>199</v>
      </c>
      <c r="L323" s="23">
        <f t="shared" si="14"/>
        <v>624.99999999999989</v>
      </c>
      <c r="M323" s="23">
        <f t="shared" si="15"/>
        <v>74.999999999999986</v>
      </c>
      <c r="N323" s="23">
        <v>700</v>
      </c>
      <c r="O323" s="27" t="s">
        <v>1487</v>
      </c>
      <c r="P323" s="25" t="s">
        <v>339</v>
      </c>
      <c r="Q323" s="25" t="s">
        <v>358</v>
      </c>
      <c r="R323" s="25">
        <v>0</v>
      </c>
    </row>
    <row r="324" spans="1:18" x14ac:dyDescent="0.3">
      <c r="A324" s="20">
        <v>45176</v>
      </c>
      <c r="B324" s="25" t="s">
        <v>1488</v>
      </c>
      <c r="C324" s="25" t="s">
        <v>1489</v>
      </c>
      <c r="D324" s="25" t="s">
        <v>1490</v>
      </c>
      <c r="E324" s="44" t="s">
        <v>1491</v>
      </c>
      <c r="F324" s="44">
        <v>993234939</v>
      </c>
      <c r="G324" s="44"/>
      <c r="H324" s="25">
        <v>3</v>
      </c>
      <c r="I324" s="25"/>
      <c r="J324" s="25" t="s">
        <v>539</v>
      </c>
      <c r="K324" s="25" t="s">
        <v>200</v>
      </c>
      <c r="L324" s="23">
        <f t="shared" si="14"/>
        <v>892.85714285714278</v>
      </c>
      <c r="M324" s="23">
        <f t="shared" si="15"/>
        <v>107.14285714285712</v>
      </c>
      <c r="N324" s="23">
        <v>1000</v>
      </c>
      <c r="O324" s="27" t="s">
        <v>1492</v>
      </c>
      <c r="P324" s="25" t="s">
        <v>548</v>
      </c>
      <c r="Q324" s="25" t="s">
        <v>58</v>
      </c>
      <c r="R324" s="25">
        <v>0</v>
      </c>
    </row>
    <row r="325" spans="1:18" x14ac:dyDescent="0.3">
      <c r="A325" s="20">
        <v>45176</v>
      </c>
      <c r="B325" s="25" t="s">
        <v>1493</v>
      </c>
      <c r="C325" s="25" t="s">
        <v>1494</v>
      </c>
      <c r="D325" s="25" t="s">
        <v>1495</v>
      </c>
      <c r="E325" s="44" t="s">
        <v>1496</v>
      </c>
      <c r="F325" s="44">
        <v>968110776</v>
      </c>
      <c r="G325" s="44"/>
      <c r="H325" s="25">
        <v>10</v>
      </c>
      <c r="I325" s="25"/>
      <c r="J325" s="25" t="s">
        <v>539</v>
      </c>
      <c r="K325" s="25" t="s">
        <v>199</v>
      </c>
      <c r="L325" s="23">
        <f t="shared" si="14"/>
        <v>2767.8571428571427</v>
      </c>
      <c r="M325" s="23">
        <f t="shared" si="15"/>
        <v>332.14285714285711</v>
      </c>
      <c r="N325" s="23">
        <v>3100</v>
      </c>
      <c r="O325" s="27" t="s">
        <v>1497</v>
      </c>
      <c r="P325" s="25" t="s">
        <v>548</v>
      </c>
      <c r="Q325" s="25" t="s">
        <v>65</v>
      </c>
      <c r="R325" s="25">
        <v>0</v>
      </c>
    </row>
    <row r="326" spans="1:18" x14ac:dyDescent="0.3">
      <c r="A326" s="20">
        <v>45177</v>
      </c>
      <c r="B326" s="25" t="s">
        <v>1498</v>
      </c>
      <c r="C326" s="25" t="s">
        <v>1499</v>
      </c>
      <c r="D326" s="25" t="s">
        <v>1500</v>
      </c>
      <c r="E326" s="44" t="s">
        <v>1501</v>
      </c>
      <c r="F326" s="44">
        <v>939159738</v>
      </c>
      <c r="G326" s="44"/>
      <c r="H326" s="25">
        <v>4</v>
      </c>
      <c r="I326" s="25"/>
      <c r="J326" s="25" t="s">
        <v>539</v>
      </c>
      <c r="K326" s="25" t="s">
        <v>199</v>
      </c>
      <c r="L326" s="23">
        <f t="shared" si="14"/>
        <v>1339.2857142857142</v>
      </c>
      <c r="M326" s="23">
        <f t="shared" si="15"/>
        <v>160.71428571428569</v>
      </c>
      <c r="N326" s="23">
        <v>1500</v>
      </c>
      <c r="O326" s="27" t="s">
        <v>1502</v>
      </c>
      <c r="P326" s="25" t="s">
        <v>335</v>
      </c>
      <c r="Q326" s="25" t="s">
        <v>65</v>
      </c>
      <c r="R326" s="25">
        <v>0</v>
      </c>
    </row>
    <row r="327" spans="1:18" x14ac:dyDescent="0.3">
      <c r="A327" s="20">
        <v>45177</v>
      </c>
      <c r="B327" s="25" t="s">
        <v>1503</v>
      </c>
      <c r="C327" s="25" t="s">
        <v>1504</v>
      </c>
      <c r="D327" s="25" t="s">
        <v>1505</v>
      </c>
      <c r="E327" s="44" t="s">
        <v>1506</v>
      </c>
      <c r="F327" s="44">
        <v>984510954</v>
      </c>
      <c r="G327" s="44"/>
      <c r="H327" s="25">
        <v>3</v>
      </c>
      <c r="I327" s="25"/>
      <c r="J327" s="25" t="s">
        <v>539</v>
      </c>
      <c r="K327" s="25" t="s">
        <v>980</v>
      </c>
      <c r="L327" s="23">
        <f t="shared" si="14"/>
        <v>714.28571428571422</v>
      </c>
      <c r="M327" s="23">
        <f t="shared" si="15"/>
        <v>85.714285714285708</v>
      </c>
      <c r="N327" s="23">
        <v>800</v>
      </c>
      <c r="O327" s="27" t="s">
        <v>1507</v>
      </c>
      <c r="P327" s="25" t="s">
        <v>1508</v>
      </c>
      <c r="Q327" s="25" t="s">
        <v>225</v>
      </c>
      <c r="R327" s="25">
        <v>0</v>
      </c>
    </row>
    <row r="328" spans="1:18" x14ac:dyDescent="0.3">
      <c r="A328" s="20">
        <v>45177</v>
      </c>
      <c r="B328" s="25" t="s">
        <v>1509</v>
      </c>
      <c r="C328" s="25" t="s">
        <v>1510</v>
      </c>
      <c r="D328" s="25" t="s">
        <v>1511</v>
      </c>
      <c r="E328" s="44" t="s">
        <v>1512</v>
      </c>
      <c r="F328" s="44">
        <v>982441596</v>
      </c>
      <c r="G328" s="44"/>
      <c r="H328" s="25">
        <v>3</v>
      </c>
      <c r="I328" s="25"/>
      <c r="J328" s="25" t="s">
        <v>539</v>
      </c>
      <c r="K328" s="25" t="s">
        <v>200</v>
      </c>
      <c r="L328" s="23">
        <f t="shared" si="14"/>
        <v>1071.4285714285713</v>
      </c>
      <c r="M328" s="23">
        <f t="shared" si="15"/>
        <v>128.57142857142856</v>
      </c>
      <c r="N328" s="23">
        <v>1200</v>
      </c>
      <c r="O328" s="27" t="s">
        <v>1513</v>
      </c>
      <c r="P328" s="25" t="s">
        <v>58</v>
      </c>
      <c r="Q328" s="25" t="s">
        <v>58</v>
      </c>
      <c r="R328" s="25">
        <v>0</v>
      </c>
    </row>
    <row r="329" spans="1:18" x14ac:dyDescent="0.3">
      <c r="A329" s="20">
        <v>45178</v>
      </c>
      <c r="B329" s="25" t="s">
        <v>1514</v>
      </c>
      <c r="C329" s="25" t="s">
        <v>1515</v>
      </c>
      <c r="D329" s="25" t="s">
        <v>1516</v>
      </c>
      <c r="E329" s="44" t="s">
        <v>1517</v>
      </c>
      <c r="F329" s="44">
        <v>992539056</v>
      </c>
      <c r="G329" s="44"/>
      <c r="H329" s="25">
        <v>5</v>
      </c>
      <c r="I329" s="25"/>
      <c r="J329" s="25" t="s">
        <v>539</v>
      </c>
      <c r="K329" s="25" t="s">
        <v>1518</v>
      </c>
      <c r="L329" s="23">
        <f t="shared" si="14"/>
        <v>1776.7857142857142</v>
      </c>
      <c r="M329" s="23">
        <f t="shared" si="15"/>
        <v>213.21428571428569</v>
      </c>
      <c r="N329" s="23">
        <v>1990</v>
      </c>
      <c r="O329" s="27" t="s">
        <v>1519</v>
      </c>
      <c r="P329" s="25" t="s">
        <v>339</v>
      </c>
      <c r="Q329" s="25" t="s">
        <v>225</v>
      </c>
      <c r="R329" s="25">
        <v>0</v>
      </c>
    </row>
    <row r="330" spans="1:18" x14ac:dyDescent="0.3">
      <c r="A330" s="20">
        <v>45178</v>
      </c>
      <c r="B330" s="25" t="s">
        <v>1520</v>
      </c>
      <c r="C330" s="25" t="s">
        <v>1521</v>
      </c>
      <c r="D330" s="25" t="s">
        <v>1522</v>
      </c>
      <c r="E330" s="44" t="s">
        <v>1523</v>
      </c>
      <c r="F330" s="44">
        <v>984868487</v>
      </c>
      <c r="G330" s="44"/>
      <c r="H330" s="25">
        <v>5</v>
      </c>
      <c r="I330" s="25"/>
      <c r="J330" s="25" t="s">
        <v>539</v>
      </c>
      <c r="K330" s="25" t="s">
        <v>742</v>
      </c>
      <c r="L330" s="23">
        <f t="shared" si="14"/>
        <v>1776.7857142857142</v>
      </c>
      <c r="M330" s="23">
        <f t="shared" si="15"/>
        <v>213.21428571428569</v>
      </c>
      <c r="N330" s="23">
        <v>1990</v>
      </c>
      <c r="O330" s="27" t="s">
        <v>1524</v>
      </c>
      <c r="P330" s="25" t="s">
        <v>1239</v>
      </c>
      <c r="Q330" s="25" t="s">
        <v>58</v>
      </c>
      <c r="R330" s="25">
        <v>0</v>
      </c>
    </row>
    <row r="331" spans="1:18" x14ac:dyDescent="0.3">
      <c r="A331" s="20">
        <v>45181</v>
      </c>
      <c r="B331" s="25" t="s">
        <v>1525</v>
      </c>
      <c r="C331" s="25" t="s">
        <v>1526</v>
      </c>
      <c r="D331" s="25" t="s">
        <v>1527</v>
      </c>
      <c r="E331" s="44" t="s">
        <v>1528</v>
      </c>
      <c r="F331" s="44">
        <v>997496660</v>
      </c>
      <c r="G331" s="44"/>
      <c r="H331" s="25">
        <v>7</v>
      </c>
      <c r="I331" s="25"/>
      <c r="J331" s="25" t="s">
        <v>539</v>
      </c>
      <c r="K331" s="25" t="s">
        <v>200</v>
      </c>
      <c r="L331" s="23">
        <f t="shared" si="14"/>
        <v>2232.1428571428569</v>
      </c>
      <c r="M331" s="23">
        <f t="shared" si="15"/>
        <v>267.85714285714283</v>
      </c>
      <c r="N331" s="23">
        <v>2500</v>
      </c>
      <c r="O331" s="27" t="s">
        <v>1529</v>
      </c>
      <c r="P331" s="25" t="s">
        <v>823</v>
      </c>
      <c r="Q331" s="25" t="s">
        <v>340</v>
      </c>
      <c r="R331" s="25">
        <v>0</v>
      </c>
    </row>
    <row r="332" spans="1:18" x14ac:dyDescent="0.3">
      <c r="A332" s="20">
        <v>45181</v>
      </c>
      <c r="B332" s="25" t="s">
        <v>1530</v>
      </c>
      <c r="C332" s="25" t="s">
        <v>1531</v>
      </c>
      <c r="D332" s="25" t="s">
        <v>1532</v>
      </c>
      <c r="E332" s="44" t="s">
        <v>1533</v>
      </c>
      <c r="F332" s="44">
        <v>990552188</v>
      </c>
      <c r="G332" s="44"/>
      <c r="H332" s="25">
        <v>6</v>
      </c>
      <c r="I332" s="25"/>
      <c r="J332" s="25" t="s">
        <v>821</v>
      </c>
      <c r="K332" s="25" t="s">
        <v>199</v>
      </c>
      <c r="L332" s="23">
        <f t="shared" si="14"/>
        <v>1776.7857142857142</v>
      </c>
      <c r="M332" s="23">
        <f t="shared" si="15"/>
        <v>213.21428571428569</v>
      </c>
      <c r="N332" s="23">
        <v>1990</v>
      </c>
      <c r="O332" s="27" t="s">
        <v>1534</v>
      </c>
      <c r="P332" s="25" t="s">
        <v>548</v>
      </c>
      <c r="Q332" s="25" t="s">
        <v>58</v>
      </c>
      <c r="R332" s="25">
        <v>0</v>
      </c>
    </row>
    <row r="333" spans="1:18" x14ac:dyDescent="0.3">
      <c r="A333" s="20">
        <v>45182</v>
      </c>
      <c r="B333" s="25" t="s">
        <v>1535</v>
      </c>
      <c r="C333" s="25" t="s">
        <v>1417</v>
      </c>
      <c r="D333" s="25" t="s">
        <v>1536</v>
      </c>
      <c r="E333" s="44" t="s">
        <v>1537</v>
      </c>
      <c r="F333" s="44">
        <v>981539141</v>
      </c>
      <c r="G333" s="44"/>
      <c r="H333" s="25">
        <v>3</v>
      </c>
      <c r="I333" s="55"/>
      <c r="J333" s="56" t="s">
        <v>539</v>
      </c>
      <c r="K333" s="57" t="s">
        <v>199</v>
      </c>
      <c r="L333" s="23">
        <f t="shared" si="14"/>
        <v>133.92857142857142</v>
      </c>
      <c r="M333" s="23">
        <f t="shared" si="15"/>
        <v>16.071428571428569</v>
      </c>
      <c r="N333" s="23">
        <v>150</v>
      </c>
      <c r="O333" s="27" t="s">
        <v>1538</v>
      </c>
      <c r="P333" s="25" t="s">
        <v>335</v>
      </c>
      <c r="Q333" s="25" t="s">
        <v>225</v>
      </c>
      <c r="R333" s="25">
        <v>0</v>
      </c>
    </row>
    <row r="334" spans="1:18" x14ac:dyDescent="0.3">
      <c r="A334" s="20">
        <v>45183</v>
      </c>
      <c r="B334" s="25" t="s">
        <v>1539</v>
      </c>
      <c r="C334" s="25" t="s">
        <v>1540</v>
      </c>
      <c r="D334" s="25" t="s">
        <v>1541</v>
      </c>
      <c r="E334" s="44" t="s">
        <v>1542</v>
      </c>
      <c r="F334" s="44">
        <v>993935982</v>
      </c>
      <c r="G334" s="44"/>
      <c r="H334" s="25">
        <v>3</v>
      </c>
      <c r="I334" s="25"/>
      <c r="J334" s="25" t="s">
        <v>539</v>
      </c>
      <c r="K334" s="25" t="s">
        <v>200</v>
      </c>
      <c r="L334" s="23">
        <f t="shared" si="14"/>
        <v>892.85714285714278</v>
      </c>
      <c r="M334" s="23">
        <f t="shared" si="15"/>
        <v>107.14285714285712</v>
      </c>
      <c r="N334" s="23">
        <v>1000</v>
      </c>
      <c r="O334" s="27" t="s">
        <v>1543</v>
      </c>
      <c r="P334" s="25" t="s">
        <v>337</v>
      </c>
      <c r="Q334" s="25" t="s">
        <v>225</v>
      </c>
      <c r="R334" s="25">
        <v>0</v>
      </c>
    </row>
    <row r="335" spans="1:18" x14ac:dyDescent="0.3">
      <c r="A335" s="20">
        <v>45183</v>
      </c>
      <c r="B335" s="25" t="s">
        <v>1544</v>
      </c>
      <c r="C335" s="25" t="s">
        <v>1545</v>
      </c>
      <c r="D335" s="25" t="s">
        <v>1546</v>
      </c>
      <c r="E335" s="44" t="s">
        <v>1547</v>
      </c>
      <c r="F335" s="44">
        <v>998659134</v>
      </c>
      <c r="G335" s="44"/>
      <c r="H335" s="25">
        <v>5</v>
      </c>
      <c r="I335" s="25"/>
      <c r="J335" s="25" t="s">
        <v>539</v>
      </c>
      <c r="K335" s="25" t="s">
        <v>199</v>
      </c>
      <c r="L335" s="23">
        <f t="shared" si="14"/>
        <v>1428.5714285714284</v>
      </c>
      <c r="M335" s="23">
        <f t="shared" si="15"/>
        <v>171.42857142857142</v>
      </c>
      <c r="N335" s="23">
        <v>1600</v>
      </c>
      <c r="O335" s="27" t="s">
        <v>1548</v>
      </c>
      <c r="P335" s="25" t="s">
        <v>782</v>
      </c>
      <c r="Q335" s="25" t="s">
        <v>58</v>
      </c>
      <c r="R335" s="25">
        <v>0</v>
      </c>
    </row>
    <row r="336" spans="1:18" x14ac:dyDescent="0.3">
      <c r="A336" s="36">
        <v>45184</v>
      </c>
      <c r="B336" s="25" t="s">
        <v>1549</v>
      </c>
      <c r="C336" s="25" t="s">
        <v>1550</v>
      </c>
      <c r="D336" s="25" t="s">
        <v>1551</v>
      </c>
      <c r="E336" s="44" t="s">
        <v>1552</v>
      </c>
      <c r="F336" s="44">
        <v>990936292</v>
      </c>
      <c r="G336" s="44"/>
      <c r="H336" s="25">
        <v>4</v>
      </c>
      <c r="I336" s="25"/>
      <c r="J336" s="25" t="s">
        <v>539</v>
      </c>
      <c r="K336" s="25" t="s">
        <v>200</v>
      </c>
      <c r="L336" s="23">
        <f t="shared" si="14"/>
        <v>1071.4285714285713</v>
      </c>
      <c r="M336" s="23">
        <f t="shared" si="15"/>
        <v>128.57142857142856</v>
      </c>
      <c r="N336" s="23">
        <v>1200</v>
      </c>
      <c r="O336" s="27" t="s">
        <v>1553</v>
      </c>
      <c r="P336" s="25" t="s">
        <v>1482</v>
      </c>
      <c r="Q336" s="25" t="s">
        <v>225</v>
      </c>
      <c r="R336" s="25">
        <v>0</v>
      </c>
    </row>
    <row r="337" spans="1:18" x14ac:dyDescent="0.3">
      <c r="A337" s="36">
        <v>45185</v>
      </c>
      <c r="B337" s="25" t="s">
        <v>1554</v>
      </c>
      <c r="C337" s="25" t="s">
        <v>1555</v>
      </c>
      <c r="D337" s="25" t="s">
        <v>1556</v>
      </c>
      <c r="E337" s="44" t="s">
        <v>1557</v>
      </c>
      <c r="F337" s="44">
        <v>993962882</v>
      </c>
      <c r="G337" s="44"/>
      <c r="H337" s="25">
        <v>3</v>
      </c>
      <c r="I337" s="25"/>
      <c r="J337" s="25" t="s">
        <v>539</v>
      </c>
      <c r="K337" s="25" t="s">
        <v>199</v>
      </c>
      <c r="L337" s="23">
        <f t="shared" si="14"/>
        <v>892.85714285714278</v>
      </c>
      <c r="M337" s="23">
        <f t="shared" si="15"/>
        <v>107.14285714285712</v>
      </c>
      <c r="N337" s="23">
        <v>1000</v>
      </c>
      <c r="O337" s="27" t="s">
        <v>1558</v>
      </c>
      <c r="P337" s="25" t="s">
        <v>335</v>
      </c>
      <c r="Q337" s="25" t="s">
        <v>782</v>
      </c>
      <c r="R337" s="25">
        <v>0</v>
      </c>
    </row>
    <row r="338" spans="1:18" x14ac:dyDescent="0.3">
      <c r="A338" s="36">
        <v>45185</v>
      </c>
      <c r="B338" s="25" t="s">
        <v>1559</v>
      </c>
      <c r="C338" s="25" t="s">
        <v>1560</v>
      </c>
      <c r="D338" s="25" t="s">
        <v>1561</v>
      </c>
      <c r="E338" s="44" t="s">
        <v>1562</v>
      </c>
      <c r="F338" s="44">
        <v>961456211</v>
      </c>
      <c r="G338" s="44"/>
      <c r="H338" s="25">
        <v>5</v>
      </c>
      <c r="I338" s="25"/>
      <c r="J338" s="25" t="s">
        <v>821</v>
      </c>
      <c r="K338" s="25" t="s">
        <v>199</v>
      </c>
      <c r="L338" s="23">
        <f t="shared" si="14"/>
        <v>714.28571428571422</v>
      </c>
      <c r="M338" s="23">
        <f t="shared" si="15"/>
        <v>85.714285714285708</v>
      </c>
      <c r="N338" s="23">
        <v>800</v>
      </c>
      <c r="O338" s="27" t="s">
        <v>1563</v>
      </c>
      <c r="P338" s="25" t="s">
        <v>340</v>
      </c>
      <c r="Q338" s="25" t="s">
        <v>782</v>
      </c>
      <c r="R338" s="25">
        <v>0</v>
      </c>
    </row>
    <row r="339" spans="1:18" x14ac:dyDescent="0.3">
      <c r="A339" s="36">
        <v>45185</v>
      </c>
      <c r="B339" s="25" t="s">
        <v>1564</v>
      </c>
      <c r="C339" s="25" t="s">
        <v>1565</v>
      </c>
      <c r="D339" s="25" t="s">
        <v>1566</v>
      </c>
      <c r="E339" s="44" t="s">
        <v>1567</v>
      </c>
      <c r="F339" s="44" t="s">
        <v>1568</v>
      </c>
      <c r="G339" s="44"/>
      <c r="H339" s="25">
        <v>3</v>
      </c>
      <c r="I339" s="25"/>
      <c r="J339" s="25" t="s">
        <v>539</v>
      </c>
      <c r="K339" s="25" t="s">
        <v>200</v>
      </c>
      <c r="L339" s="23">
        <f t="shared" si="14"/>
        <v>892.85714285714278</v>
      </c>
      <c r="M339" s="23">
        <f t="shared" si="15"/>
        <v>107.14285714285712</v>
      </c>
      <c r="N339" s="23">
        <v>1000</v>
      </c>
      <c r="O339" s="27" t="s">
        <v>1569</v>
      </c>
      <c r="P339" s="25" t="s">
        <v>224</v>
      </c>
      <c r="Q339" s="25" t="s">
        <v>225</v>
      </c>
      <c r="R339" s="25">
        <v>0</v>
      </c>
    </row>
    <row r="340" spans="1:18" x14ac:dyDescent="0.3">
      <c r="A340" s="36">
        <v>45185</v>
      </c>
      <c r="B340" s="25" t="s">
        <v>1570</v>
      </c>
      <c r="C340" s="25" t="s">
        <v>1571</v>
      </c>
      <c r="D340" s="25" t="s">
        <v>1572</v>
      </c>
      <c r="E340" s="44" t="s">
        <v>1573</v>
      </c>
      <c r="F340" s="44">
        <v>994297844</v>
      </c>
      <c r="G340" s="44"/>
      <c r="H340" s="25">
        <v>7</v>
      </c>
      <c r="I340" s="25"/>
      <c r="J340" s="25" t="s">
        <v>821</v>
      </c>
      <c r="K340" s="25" t="s">
        <v>200</v>
      </c>
      <c r="L340" s="23">
        <f t="shared" si="14"/>
        <v>1071.4285714285713</v>
      </c>
      <c r="M340" s="23">
        <f t="shared" si="15"/>
        <v>128.57142857142856</v>
      </c>
      <c r="N340" s="23">
        <v>1200</v>
      </c>
      <c r="O340" s="27" t="s">
        <v>1574</v>
      </c>
      <c r="P340" s="25" t="s">
        <v>335</v>
      </c>
      <c r="Q340" s="25" t="s">
        <v>65</v>
      </c>
      <c r="R340" s="25">
        <v>0</v>
      </c>
    </row>
    <row r="341" spans="1:18" x14ac:dyDescent="0.3">
      <c r="A341" s="36">
        <v>45185</v>
      </c>
      <c r="B341" s="25" t="s">
        <v>1575</v>
      </c>
      <c r="C341" s="25" t="s">
        <v>1576</v>
      </c>
      <c r="D341" s="25" t="s">
        <v>1577</v>
      </c>
      <c r="E341" s="44" t="s">
        <v>1578</v>
      </c>
      <c r="F341" s="44" t="s">
        <v>1579</v>
      </c>
      <c r="G341" s="44"/>
      <c r="H341" s="25">
        <v>3</v>
      </c>
      <c r="I341" s="25"/>
      <c r="J341" s="25" t="s">
        <v>539</v>
      </c>
      <c r="K341" s="25" t="s">
        <v>742</v>
      </c>
      <c r="L341" s="23">
        <f t="shared" si="14"/>
        <v>892.85714285714278</v>
      </c>
      <c r="M341" s="23">
        <f t="shared" si="15"/>
        <v>107.14285714285712</v>
      </c>
      <c r="N341" s="23">
        <v>1000</v>
      </c>
      <c r="O341" s="27" t="s">
        <v>1580</v>
      </c>
      <c r="P341" s="25" t="s">
        <v>823</v>
      </c>
      <c r="Q341" s="25" t="s">
        <v>782</v>
      </c>
      <c r="R341" s="25">
        <v>0</v>
      </c>
    </row>
    <row r="342" spans="1:18" x14ac:dyDescent="0.3">
      <c r="A342" s="20">
        <v>45188</v>
      </c>
      <c r="B342" s="25" t="s">
        <v>1581</v>
      </c>
      <c r="C342" s="25" t="s">
        <v>1582</v>
      </c>
      <c r="D342" s="25" t="s">
        <v>1583</v>
      </c>
      <c r="E342" s="44" t="s">
        <v>1584</v>
      </c>
      <c r="F342" s="44" t="s">
        <v>1585</v>
      </c>
      <c r="G342" s="44"/>
      <c r="H342" s="25">
        <v>6</v>
      </c>
      <c r="I342" s="25"/>
      <c r="J342" s="25" t="s">
        <v>539</v>
      </c>
      <c r="K342" s="25" t="s">
        <v>1586</v>
      </c>
      <c r="L342" s="23">
        <f t="shared" si="14"/>
        <v>1776.7857142857142</v>
      </c>
      <c r="M342" s="23">
        <f t="shared" si="15"/>
        <v>213.21428571428569</v>
      </c>
      <c r="N342" s="23">
        <v>1990</v>
      </c>
      <c r="O342" s="27" t="s">
        <v>1587</v>
      </c>
      <c r="P342" s="25" t="s">
        <v>224</v>
      </c>
      <c r="Q342" s="25" t="s">
        <v>58</v>
      </c>
      <c r="R342" s="25">
        <v>0</v>
      </c>
    </row>
    <row r="343" spans="1:18" x14ac:dyDescent="0.3">
      <c r="A343" s="20">
        <v>45188</v>
      </c>
      <c r="B343" s="25" t="s">
        <v>1588</v>
      </c>
      <c r="C343" s="25" t="s">
        <v>1589</v>
      </c>
      <c r="D343" s="25" t="s">
        <v>1590</v>
      </c>
      <c r="E343" s="44" t="s">
        <v>1591</v>
      </c>
      <c r="F343" s="44" t="s">
        <v>1592</v>
      </c>
      <c r="G343" s="44"/>
      <c r="H343" s="25">
        <v>10</v>
      </c>
      <c r="I343" s="25"/>
      <c r="J343" s="25" t="s">
        <v>821</v>
      </c>
      <c r="K343" s="25" t="s">
        <v>199</v>
      </c>
      <c r="L343" s="23">
        <f t="shared" si="14"/>
        <v>2669.6428571428569</v>
      </c>
      <c r="M343" s="23">
        <f t="shared" si="15"/>
        <v>320.35714285714283</v>
      </c>
      <c r="N343" s="23">
        <v>2990</v>
      </c>
      <c r="O343" s="27" t="s">
        <v>1593</v>
      </c>
      <c r="P343" s="25" t="s">
        <v>335</v>
      </c>
      <c r="Q343" s="25" t="s">
        <v>65</v>
      </c>
      <c r="R343" s="25">
        <v>0</v>
      </c>
    </row>
    <row r="344" spans="1:18" x14ac:dyDescent="0.3">
      <c r="A344" s="20">
        <v>45188</v>
      </c>
      <c r="B344" s="25" t="s">
        <v>1594</v>
      </c>
      <c r="C344" s="25" t="s">
        <v>1595</v>
      </c>
      <c r="D344" s="25" t="s">
        <v>1596</v>
      </c>
      <c r="E344" s="44" t="s">
        <v>1597</v>
      </c>
      <c r="F344" s="44" t="s">
        <v>1598</v>
      </c>
      <c r="G344" s="44"/>
      <c r="H344" s="25">
        <v>7</v>
      </c>
      <c r="I344" s="25"/>
      <c r="J344" s="25" t="s">
        <v>539</v>
      </c>
      <c r="K344" s="25" t="s">
        <v>199</v>
      </c>
      <c r="L344" s="23">
        <f t="shared" si="14"/>
        <v>2669.6428571428569</v>
      </c>
      <c r="M344" s="23">
        <f t="shared" si="15"/>
        <v>320.35714285714283</v>
      </c>
      <c r="N344" s="23">
        <v>2990</v>
      </c>
      <c r="O344" s="27" t="s">
        <v>1599</v>
      </c>
      <c r="P344" s="25" t="s">
        <v>339</v>
      </c>
      <c r="Q344" s="25" t="s">
        <v>58</v>
      </c>
      <c r="R344" s="25">
        <v>0</v>
      </c>
    </row>
    <row r="345" spans="1:18" x14ac:dyDescent="0.3">
      <c r="A345" s="20">
        <v>45188</v>
      </c>
      <c r="B345" s="25" t="s">
        <v>1600</v>
      </c>
      <c r="C345" s="25" t="s">
        <v>1601</v>
      </c>
      <c r="D345" s="25" t="s">
        <v>1602</v>
      </c>
      <c r="E345" s="44" t="s">
        <v>1603</v>
      </c>
      <c r="F345" s="44" t="s">
        <v>1604</v>
      </c>
      <c r="G345" s="44"/>
      <c r="H345" s="25">
        <v>5</v>
      </c>
      <c r="I345" s="25"/>
      <c r="J345" s="25" t="s">
        <v>539</v>
      </c>
      <c r="K345" s="25" t="s">
        <v>1605</v>
      </c>
      <c r="L345" s="23">
        <f t="shared" si="14"/>
        <v>1776.7857142857142</v>
      </c>
      <c r="M345" s="23">
        <f t="shared" si="15"/>
        <v>213.21428571428569</v>
      </c>
      <c r="N345" s="23">
        <v>1990</v>
      </c>
      <c r="O345" s="27" t="s">
        <v>1606</v>
      </c>
      <c r="P345" s="25" t="s">
        <v>1482</v>
      </c>
      <c r="Q345" s="25" t="s">
        <v>65</v>
      </c>
      <c r="R345" s="25">
        <v>0</v>
      </c>
    </row>
    <row r="346" spans="1:18" x14ac:dyDescent="0.3">
      <c r="A346" s="20">
        <v>45189</v>
      </c>
      <c r="B346" s="25" t="s">
        <v>1607</v>
      </c>
      <c r="C346" s="25" t="s">
        <v>1608</v>
      </c>
      <c r="D346" s="25" t="s">
        <v>1609</v>
      </c>
      <c r="E346" s="44" t="s">
        <v>1610</v>
      </c>
      <c r="F346" s="44" t="s">
        <v>1611</v>
      </c>
      <c r="G346" s="44"/>
      <c r="H346" s="25">
        <v>3</v>
      </c>
      <c r="I346" s="25"/>
      <c r="J346" s="25" t="s">
        <v>821</v>
      </c>
      <c r="K346" s="25" t="s">
        <v>200</v>
      </c>
      <c r="L346" s="23">
        <f t="shared" si="14"/>
        <v>624.99999999999989</v>
      </c>
      <c r="M346" s="23">
        <f t="shared" si="15"/>
        <v>74.999999999999986</v>
      </c>
      <c r="N346" s="23">
        <v>700</v>
      </c>
      <c r="O346" s="27" t="s">
        <v>1612</v>
      </c>
      <c r="P346" s="25" t="s">
        <v>335</v>
      </c>
      <c r="Q346" s="25" t="s">
        <v>1613</v>
      </c>
      <c r="R346" s="25">
        <v>0</v>
      </c>
    </row>
    <row r="347" spans="1:18" x14ac:dyDescent="0.3">
      <c r="A347" s="20">
        <v>45189</v>
      </c>
      <c r="B347" s="25" t="s">
        <v>1614</v>
      </c>
      <c r="C347" s="25" t="s">
        <v>1615</v>
      </c>
      <c r="D347" s="25" t="s">
        <v>1616</v>
      </c>
      <c r="E347" s="44" t="s">
        <v>1617</v>
      </c>
      <c r="F347" s="44" t="s">
        <v>1618</v>
      </c>
      <c r="G347" s="44"/>
      <c r="H347" s="25">
        <v>10</v>
      </c>
      <c r="I347" s="25"/>
      <c r="J347" s="25" t="s">
        <v>539</v>
      </c>
      <c r="K347" s="25" t="s">
        <v>199</v>
      </c>
      <c r="L347" s="23">
        <f t="shared" si="14"/>
        <v>2669.6428571428569</v>
      </c>
      <c r="M347" s="23">
        <f t="shared" si="15"/>
        <v>320.35714285714283</v>
      </c>
      <c r="N347" s="23">
        <v>2990</v>
      </c>
      <c r="O347" s="27" t="s">
        <v>1619</v>
      </c>
      <c r="P347" s="25" t="s">
        <v>339</v>
      </c>
      <c r="Q347" s="25" t="s">
        <v>65</v>
      </c>
      <c r="R347" s="25">
        <v>0</v>
      </c>
    </row>
    <row r="348" spans="1:18" x14ac:dyDescent="0.3">
      <c r="A348" s="20">
        <v>45189</v>
      </c>
      <c r="B348" s="25" t="s">
        <v>1620</v>
      </c>
      <c r="C348" s="25" t="s">
        <v>1621</v>
      </c>
      <c r="D348" s="25" t="s">
        <v>1622</v>
      </c>
      <c r="E348" s="44" t="s">
        <v>1623</v>
      </c>
      <c r="F348" s="44" t="s">
        <v>1624</v>
      </c>
      <c r="G348" s="44"/>
      <c r="H348" s="58">
        <v>3</v>
      </c>
      <c r="I348" s="58"/>
      <c r="J348" s="39" t="s">
        <v>539</v>
      </c>
      <c r="K348" s="38" t="s">
        <v>199</v>
      </c>
      <c r="L348" s="23">
        <f t="shared" si="14"/>
        <v>892.85714285714278</v>
      </c>
      <c r="M348" s="23">
        <f t="shared" si="15"/>
        <v>107.14285714285712</v>
      </c>
      <c r="N348" s="48">
        <v>1000</v>
      </c>
      <c r="O348" s="49" t="s">
        <v>1625</v>
      </c>
      <c r="P348" s="35" t="s">
        <v>335</v>
      </c>
      <c r="Q348" s="25" t="s">
        <v>782</v>
      </c>
      <c r="R348" s="25">
        <v>0</v>
      </c>
    </row>
    <row r="349" spans="1:18" x14ac:dyDescent="0.3">
      <c r="A349" s="20">
        <v>45189</v>
      </c>
      <c r="B349" s="25" t="s">
        <v>1626</v>
      </c>
      <c r="C349" s="25" t="s">
        <v>1627</v>
      </c>
      <c r="D349" s="25" t="s">
        <v>1628</v>
      </c>
      <c r="E349" s="44" t="s">
        <v>1629</v>
      </c>
      <c r="F349" s="44" t="s">
        <v>1630</v>
      </c>
      <c r="G349" s="44"/>
      <c r="H349" s="25">
        <v>5</v>
      </c>
      <c r="I349" s="25"/>
      <c r="J349" s="38" t="s">
        <v>539</v>
      </c>
      <c r="K349" s="42" t="s">
        <v>1631</v>
      </c>
      <c r="L349" s="23">
        <f t="shared" si="14"/>
        <v>1339.2857142857142</v>
      </c>
      <c r="M349" s="23">
        <f t="shared" si="15"/>
        <v>160.71428571428569</v>
      </c>
      <c r="N349" s="30">
        <v>1500</v>
      </c>
      <c r="O349" s="27" t="s">
        <v>1632</v>
      </c>
      <c r="P349" s="35" t="s">
        <v>225</v>
      </c>
      <c r="Q349" s="35" t="s">
        <v>225</v>
      </c>
      <c r="R349" s="25">
        <v>0</v>
      </c>
    </row>
    <row r="350" spans="1:18" x14ac:dyDescent="0.3">
      <c r="A350" s="20">
        <v>45189</v>
      </c>
      <c r="B350" s="25" t="s">
        <v>1633</v>
      </c>
      <c r="C350" s="25" t="s">
        <v>1634</v>
      </c>
      <c r="D350" s="25" t="s">
        <v>1635</v>
      </c>
      <c r="E350" s="44" t="s">
        <v>1636</v>
      </c>
      <c r="F350" s="44" t="s">
        <v>1637</v>
      </c>
      <c r="G350" s="44"/>
      <c r="H350" s="25">
        <v>3</v>
      </c>
      <c r="I350" s="25"/>
      <c r="J350" s="38" t="s">
        <v>539</v>
      </c>
      <c r="K350" s="42" t="s">
        <v>1518</v>
      </c>
      <c r="L350" s="23">
        <f t="shared" si="14"/>
        <v>892.85714285714278</v>
      </c>
      <c r="M350" s="23">
        <f t="shared" si="15"/>
        <v>107.14285714285712</v>
      </c>
      <c r="N350" s="30">
        <v>1000</v>
      </c>
      <c r="O350" s="27" t="s">
        <v>1638</v>
      </c>
      <c r="P350" s="35" t="s">
        <v>340</v>
      </c>
      <c r="Q350" s="35" t="s">
        <v>337</v>
      </c>
      <c r="R350" s="25">
        <v>0</v>
      </c>
    </row>
    <row r="351" spans="1:18" x14ac:dyDescent="0.3">
      <c r="A351" s="20">
        <v>45190</v>
      </c>
      <c r="B351" s="25" t="s">
        <v>1639</v>
      </c>
      <c r="C351" s="25" t="s">
        <v>1640</v>
      </c>
      <c r="D351" s="25" t="s">
        <v>1641</v>
      </c>
      <c r="E351" s="44" t="s">
        <v>1642</v>
      </c>
      <c r="F351" s="44" t="s">
        <v>1643</v>
      </c>
      <c r="G351" s="44"/>
      <c r="H351" s="25">
        <v>8</v>
      </c>
      <c r="I351" s="25"/>
      <c r="J351" s="38" t="s">
        <v>539</v>
      </c>
      <c r="K351" s="42" t="s">
        <v>200</v>
      </c>
      <c r="L351" s="23">
        <f t="shared" si="14"/>
        <v>2669.6428571428569</v>
      </c>
      <c r="M351" s="23">
        <f t="shared" si="15"/>
        <v>320.35714285714283</v>
      </c>
      <c r="N351" s="30">
        <v>2990</v>
      </c>
      <c r="O351" s="27" t="s">
        <v>1644</v>
      </c>
      <c r="P351" s="35" t="s">
        <v>337</v>
      </c>
      <c r="Q351" s="35" t="s">
        <v>225</v>
      </c>
      <c r="R351" s="25">
        <v>0</v>
      </c>
    </row>
    <row r="352" spans="1:18" x14ac:dyDescent="0.3">
      <c r="A352" s="20">
        <v>45190</v>
      </c>
      <c r="B352" s="25" t="s">
        <v>1645</v>
      </c>
      <c r="C352" s="25" t="s">
        <v>1646</v>
      </c>
      <c r="D352" s="25" t="s">
        <v>1647</v>
      </c>
      <c r="E352" s="44" t="s">
        <v>1648</v>
      </c>
      <c r="F352" s="44" t="s">
        <v>1649</v>
      </c>
      <c r="G352" s="44"/>
      <c r="H352" s="25">
        <v>5</v>
      </c>
      <c r="I352" s="25"/>
      <c r="J352" s="38" t="s">
        <v>821</v>
      </c>
      <c r="K352" s="38" t="s">
        <v>199</v>
      </c>
      <c r="L352" s="23">
        <f t="shared" si="14"/>
        <v>2053.5714285714284</v>
      </c>
      <c r="M352" s="23">
        <f t="shared" si="15"/>
        <v>246.42857142857142</v>
      </c>
      <c r="N352" s="30">
        <v>2300</v>
      </c>
      <c r="O352" s="27" t="s">
        <v>1650</v>
      </c>
      <c r="P352" s="35" t="s">
        <v>548</v>
      </c>
      <c r="Q352" s="35" t="s">
        <v>782</v>
      </c>
      <c r="R352" s="25">
        <v>0</v>
      </c>
    </row>
    <row r="353" spans="1:18" x14ac:dyDescent="0.3">
      <c r="A353" s="20">
        <v>45190</v>
      </c>
      <c r="B353" s="25" t="s">
        <v>1651</v>
      </c>
      <c r="C353" s="25" t="s">
        <v>1652</v>
      </c>
      <c r="D353" s="25" t="s">
        <v>1653</v>
      </c>
      <c r="E353" s="44" t="s">
        <v>1654</v>
      </c>
      <c r="F353" s="44" t="s">
        <v>1655</v>
      </c>
      <c r="G353" s="44"/>
      <c r="H353" s="25">
        <v>3</v>
      </c>
      <c r="I353" s="25"/>
      <c r="J353" s="38" t="s">
        <v>821</v>
      </c>
      <c r="K353" s="38" t="s">
        <v>200</v>
      </c>
      <c r="L353" s="23">
        <f t="shared" si="14"/>
        <v>892.85714285714278</v>
      </c>
      <c r="M353" s="23">
        <f t="shared" si="15"/>
        <v>107.14285714285712</v>
      </c>
      <c r="N353" s="30">
        <v>1000</v>
      </c>
      <c r="O353" s="27"/>
      <c r="P353" s="35" t="s">
        <v>335</v>
      </c>
      <c r="Q353" s="35" t="s">
        <v>592</v>
      </c>
      <c r="R353" s="25">
        <v>0</v>
      </c>
    </row>
    <row r="354" spans="1:18" x14ac:dyDescent="0.3">
      <c r="A354" s="20">
        <v>45190</v>
      </c>
      <c r="B354" s="25" t="s">
        <v>1656</v>
      </c>
      <c r="C354" s="25" t="s">
        <v>1657</v>
      </c>
      <c r="D354" s="25" t="s">
        <v>1658</v>
      </c>
      <c r="E354" s="44" t="s">
        <v>1659</v>
      </c>
      <c r="F354" s="44" t="s">
        <v>1660</v>
      </c>
      <c r="G354" s="44"/>
      <c r="H354" s="25">
        <v>7</v>
      </c>
      <c r="I354" s="25"/>
      <c r="J354" s="43" t="s">
        <v>539</v>
      </c>
      <c r="K354" s="43" t="s">
        <v>199</v>
      </c>
      <c r="L354" s="23">
        <f t="shared" si="14"/>
        <v>1776.7857142857142</v>
      </c>
      <c r="M354" s="23">
        <f t="shared" si="15"/>
        <v>213.21428571428569</v>
      </c>
      <c r="N354" s="23">
        <v>1990</v>
      </c>
      <c r="O354" s="27" t="s">
        <v>1661</v>
      </c>
      <c r="P354" s="35" t="s">
        <v>548</v>
      </c>
      <c r="Q354" s="35" t="s">
        <v>58</v>
      </c>
      <c r="R354" s="25">
        <v>0</v>
      </c>
    </row>
    <row r="355" spans="1:18" x14ac:dyDescent="0.3">
      <c r="A355" s="20">
        <v>45191</v>
      </c>
      <c r="B355" s="25" t="s">
        <v>1662</v>
      </c>
      <c r="C355" s="25" t="s">
        <v>1367</v>
      </c>
      <c r="D355" s="25" t="s">
        <v>1663</v>
      </c>
      <c r="E355" s="44" t="s">
        <v>1664</v>
      </c>
      <c r="F355" s="44" t="s">
        <v>1665</v>
      </c>
      <c r="G355" s="44"/>
      <c r="H355" s="25">
        <v>10</v>
      </c>
      <c r="I355" s="25"/>
      <c r="J355" s="43" t="s">
        <v>821</v>
      </c>
      <c r="K355" s="43" t="s">
        <v>199</v>
      </c>
      <c r="L355" s="23">
        <f t="shared" si="14"/>
        <v>3562.4999999999995</v>
      </c>
      <c r="M355" s="23">
        <f t="shared" si="15"/>
        <v>427.49999999999994</v>
      </c>
      <c r="N355" s="23">
        <v>3990</v>
      </c>
      <c r="O355" s="27" t="s">
        <v>1666</v>
      </c>
      <c r="P355" s="35" t="s">
        <v>782</v>
      </c>
      <c r="Q355" s="35" t="s">
        <v>782</v>
      </c>
      <c r="R355" s="25">
        <v>0</v>
      </c>
    </row>
    <row r="356" spans="1:18" x14ac:dyDescent="0.3">
      <c r="A356" s="20">
        <v>45191</v>
      </c>
      <c r="B356" s="25" t="s">
        <v>1667</v>
      </c>
      <c r="C356" s="25" t="s">
        <v>1668</v>
      </c>
      <c r="D356" s="25" t="s">
        <v>1669</v>
      </c>
      <c r="E356" s="44" t="s">
        <v>1670</v>
      </c>
      <c r="F356" s="44" t="s">
        <v>1671</v>
      </c>
      <c r="G356" s="44"/>
      <c r="H356" s="25">
        <v>7</v>
      </c>
      <c r="I356" s="25"/>
      <c r="J356" s="43" t="s">
        <v>539</v>
      </c>
      <c r="K356" s="43" t="s">
        <v>199</v>
      </c>
      <c r="L356" s="23">
        <f t="shared" si="14"/>
        <v>2669.6428571428569</v>
      </c>
      <c r="M356" s="23">
        <f t="shared" si="15"/>
        <v>320.35714285714283</v>
      </c>
      <c r="N356" s="23">
        <v>2990</v>
      </c>
      <c r="O356" s="27" t="s">
        <v>1672</v>
      </c>
      <c r="P356" s="35" t="s">
        <v>58</v>
      </c>
      <c r="Q356" s="35" t="s">
        <v>58</v>
      </c>
      <c r="R356" s="25">
        <v>0</v>
      </c>
    </row>
    <row r="357" spans="1:18" x14ac:dyDescent="0.3">
      <c r="A357" s="20">
        <v>45191</v>
      </c>
      <c r="B357" s="25" t="s">
        <v>1673</v>
      </c>
      <c r="C357" s="25" t="s">
        <v>1674</v>
      </c>
      <c r="D357" s="25" t="s">
        <v>1675</v>
      </c>
      <c r="E357" s="44" t="s">
        <v>1676</v>
      </c>
      <c r="F357" s="44" t="s">
        <v>1677</v>
      </c>
      <c r="G357" s="44"/>
      <c r="H357" s="25">
        <v>5</v>
      </c>
      <c r="I357" s="25"/>
      <c r="J357" s="25" t="s">
        <v>539</v>
      </c>
      <c r="K357" s="25" t="s">
        <v>199</v>
      </c>
      <c r="L357" s="23">
        <f t="shared" si="14"/>
        <v>1776.7857142857142</v>
      </c>
      <c r="M357" s="23">
        <f t="shared" si="15"/>
        <v>213.21428571428569</v>
      </c>
      <c r="N357" s="30">
        <v>1990</v>
      </c>
      <c r="O357" s="27" t="s">
        <v>1678</v>
      </c>
      <c r="P357" s="35" t="s">
        <v>823</v>
      </c>
      <c r="Q357" s="35" t="s">
        <v>65</v>
      </c>
      <c r="R357" s="25">
        <v>0</v>
      </c>
    </row>
    <row r="358" spans="1:18" x14ac:dyDescent="0.3">
      <c r="A358" s="20">
        <v>45192</v>
      </c>
      <c r="B358" s="25" t="s">
        <v>1679</v>
      </c>
      <c r="C358" s="25" t="s">
        <v>1680</v>
      </c>
      <c r="D358" s="25" t="s">
        <v>1681</v>
      </c>
      <c r="E358" s="44" t="s">
        <v>1682</v>
      </c>
      <c r="F358" s="44" t="s">
        <v>1683</v>
      </c>
      <c r="G358" s="44"/>
      <c r="H358" s="25">
        <v>3</v>
      </c>
      <c r="I358" s="25"/>
      <c r="J358" s="25" t="s">
        <v>821</v>
      </c>
      <c r="K358" s="25" t="s">
        <v>199</v>
      </c>
      <c r="L358" s="23">
        <f t="shared" si="14"/>
        <v>1249.9999999999998</v>
      </c>
      <c r="M358" s="23">
        <f t="shared" si="15"/>
        <v>149.99999999999997</v>
      </c>
      <c r="N358" s="30">
        <v>1400</v>
      </c>
      <c r="O358" s="27" t="s">
        <v>1684</v>
      </c>
      <c r="P358" s="25" t="s">
        <v>337</v>
      </c>
      <c r="Q358" s="25" t="s">
        <v>65</v>
      </c>
      <c r="R358" s="25">
        <v>0</v>
      </c>
    </row>
    <row r="359" spans="1:18" x14ac:dyDescent="0.3">
      <c r="A359" s="20">
        <v>45192</v>
      </c>
      <c r="B359" s="25" t="s">
        <v>1685</v>
      </c>
      <c r="C359" s="25" t="s">
        <v>1686</v>
      </c>
      <c r="D359" s="25" t="s">
        <v>1687</v>
      </c>
      <c r="E359" s="44" t="s">
        <v>1688</v>
      </c>
      <c r="F359" s="44" t="s">
        <v>1689</v>
      </c>
      <c r="G359" s="44"/>
      <c r="H359" s="25">
        <v>6</v>
      </c>
      <c r="I359" s="25"/>
      <c r="J359" s="25" t="s">
        <v>821</v>
      </c>
      <c r="K359" s="25" t="s">
        <v>200</v>
      </c>
      <c r="L359" s="23">
        <f t="shared" si="14"/>
        <v>1776.7857142857142</v>
      </c>
      <c r="M359" s="23">
        <f t="shared" si="15"/>
        <v>213.21428571428569</v>
      </c>
      <c r="N359" s="30">
        <v>1990</v>
      </c>
      <c r="O359" s="27" t="s">
        <v>1690</v>
      </c>
      <c r="P359" s="25" t="s">
        <v>339</v>
      </c>
      <c r="Q359" s="25" t="s">
        <v>225</v>
      </c>
      <c r="R359" s="25">
        <v>0</v>
      </c>
    </row>
    <row r="360" spans="1:18" x14ac:dyDescent="0.3">
      <c r="A360" s="20">
        <v>45192</v>
      </c>
      <c r="B360" s="25" t="s">
        <v>1691</v>
      </c>
      <c r="C360" s="25" t="s">
        <v>1692</v>
      </c>
      <c r="D360" s="25" t="s">
        <v>1693</v>
      </c>
      <c r="E360" s="44" t="s">
        <v>1694</v>
      </c>
      <c r="F360" s="44" t="s">
        <v>1695</v>
      </c>
      <c r="G360" s="44"/>
      <c r="H360" s="25">
        <v>7</v>
      </c>
      <c r="I360" s="25"/>
      <c r="J360" s="25" t="s">
        <v>539</v>
      </c>
      <c r="K360" s="25" t="s">
        <v>199</v>
      </c>
      <c r="L360" s="23">
        <f t="shared" si="14"/>
        <v>1964.285714285714</v>
      </c>
      <c r="M360" s="23">
        <f t="shared" si="15"/>
        <v>235.71428571428567</v>
      </c>
      <c r="N360" s="30">
        <v>2200</v>
      </c>
      <c r="O360" s="27" t="s">
        <v>1696</v>
      </c>
      <c r="P360" s="25" t="s">
        <v>1482</v>
      </c>
      <c r="Q360" s="25" t="s">
        <v>782</v>
      </c>
      <c r="R360" s="25">
        <v>0</v>
      </c>
    </row>
    <row r="361" spans="1:18" x14ac:dyDescent="0.3">
      <c r="A361" s="20">
        <v>45192</v>
      </c>
      <c r="B361" s="25" t="s">
        <v>1697</v>
      </c>
      <c r="C361" s="25" t="s">
        <v>1698</v>
      </c>
      <c r="D361" s="25" t="s">
        <v>1699</v>
      </c>
      <c r="E361" s="44" t="s">
        <v>1700</v>
      </c>
      <c r="F361" s="44" t="s">
        <v>1701</v>
      </c>
      <c r="G361" s="44"/>
      <c r="H361" s="25">
        <v>3</v>
      </c>
      <c r="I361" s="55"/>
      <c r="J361" s="252" t="s">
        <v>1702</v>
      </c>
      <c r="K361" s="253"/>
      <c r="L361" s="23">
        <f t="shared" si="14"/>
        <v>892.85714285714278</v>
      </c>
      <c r="M361" s="23">
        <f t="shared" si="15"/>
        <v>107.14285714285712</v>
      </c>
      <c r="N361" s="30">
        <v>1000</v>
      </c>
      <c r="O361" s="27" t="s">
        <v>1703</v>
      </c>
      <c r="P361" s="25" t="s">
        <v>1239</v>
      </c>
      <c r="Q361" s="25" t="s">
        <v>65</v>
      </c>
      <c r="R361" s="25">
        <v>0</v>
      </c>
    </row>
    <row r="362" spans="1:18" x14ac:dyDescent="0.3">
      <c r="A362" s="20">
        <v>45195</v>
      </c>
      <c r="B362" s="25" t="s">
        <v>1704</v>
      </c>
      <c r="C362" s="25" t="s">
        <v>1705</v>
      </c>
      <c r="D362" s="25" t="s">
        <v>1706</v>
      </c>
      <c r="E362" s="44" t="s">
        <v>1707</v>
      </c>
      <c r="F362" s="44" t="s">
        <v>1708</v>
      </c>
      <c r="G362" s="44"/>
      <c r="H362" s="25">
        <v>7</v>
      </c>
      <c r="I362" s="25"/>
      <c r="J362" s="25" t="s">
        <v>1090</v>
      </c>
      <c r="K362" s="25"/>
      <c r="L362" s="23">
        <f t="shared" si="14"/>
        <v>937.49999999999989</v>
      </c>
      <c r="M362" s="23">
        <f t="shared" si="15"/>
        <v>112.49999999999999</v>
      </c>
      <c r="N362" s="30">
        <v>1050</v>
      </c>
      <c r="O362" s="27" t="s">
        <v>1709</v>
      </c>
      <c r="P362" s="25" t="s">
        <v>823</v>
      </c>
      <c r="Q362" s="25" t="s">
        <v>65</v>
      </c>
      <c r="R362" s="25">
        <v>0</v>
      </c>
    </row>
    <row r="363" spans="1:18" x14ac:dyDescent="0.3">
      <c r="A363" s="20">
        <v>45195</v>
      </c>
      <c r="B363" s="25" t="s">
        <v>1710</v>
      </c>
      <c r="C363" s="25" t="s">
        <v>1711</v>
      </c>
      <c r="D363" s="25" t="s">
        <v>1712</v>
      </c>
      <c r="E363" s="44" t="s">
        <v>1713</v>
      </c>
      <c r="F363" s="44" t="s">
        <v>1714</v>
      </c>
      <c r="G363" s="44"/>
      <c r="H363" s="25">
        <v>8</v>
      </c>
      <c r="I363" s="25"/>
      <c r="J363" s="25" t="s">
        <v>539</v>
      </c>
      <c r="K363" s="25" t="s">
        <v>200</v>
      </c>
      <c r="L363" s="23">
        <f t="shared" si="14"/>
        <v>3526.7857142857138</v>
      </c>
      <c r="M363" s="23">
        <f t="shared" si="15"/>
        <v>423.21428571428561</v>
      </c>
      <c r="N363" s="30">
        <v>3950</v>
      </c>
      <c r="O363" s="27" t="s">
        <v>1715</v>
      </c>
      <c r="P363" s="25" t="s">
        <v>1482</v>
      </c>
      <c r="Q363" s="25" t="s">
        <v>782</v>
      </c>
      <c r="R363" s="25">
        <v>0</v>
      </c>
    </row>
    <row r="364" spans="1:18" x14ac:dyDescent="0.3">
      <c r="A364" s="20">
        <v>45195</v>
      </c>
      <c r="B364" s="25" t="s">
        <v>1716</v>
      </c>
      <c r="C364" s="25" t="s">
        <v>1717</v>
      </c>
      <c r="D364" s="25" t="s">
        <v>1718</v>
      </c>
      <c r="E364" s="44" t="s">
        <v>1719</v>
      </c>
      <c r="F364" s="44" t="s">
        <v>1720</v>
      </c>
      <c r="G364" s="44"/>
      <c r="H364" s="25">
        <v>5</v>
      </c>
      <c r="I364" s="25"/>
      <c r="J364" s="25" t="s">
        <v>539</v>
      </c>
      <c r="K364" s="25" t="s">
        <v>199</v>
      </c>
      <c r="L364" s="23">
        <f t="shared" si="14"/>
        <v>1339.2857142857142</v>
      </c>
      <c r="M364" s="23">
        <f t="shared" si="15"/>
        <v>160.71428571428569</v>
      </c>
      <c r="N364" s="30">
        <v>1500</v>
      </c>
      <c r="O364" s="27" t="s">
        <v>1721</v>
      </c>
      <c r="P364" s="25" t="s">
        <v>337</v>
      </c>
      <c r="Q364" s="25" t="s">
        <v>340</v>
      </c>
      <c r="R364" s="25">
        <v>0</v>
      </c>
    </row>
    <row r="365" spans="1:18" x14ac:dyDescent="0.3">
      <c r="A365" s="20">
        <v>45195</v>
      </c>
      <c r="B365" s="25" t="s">
        <v>1722</v>
      </c>
      <c r="C365" s="43" t="s">
        <v>1723</v>
      </c>
      <c r="D365" s="43" t="s">
        <v>1724</v>
      </c>
      <c r="E365" s="51" t="s">
        <v>1725</v>
      </c>
      <c r="F365" s="51" t="s">
        <v>1726</v>
      </c>
      <c r="G365" s="51"/>
      <c r="H365" s="43">
        <v>7</v>
      </c>
      <c r="I365" s="43"/>
      <c r="J365" s="43" t="s">
        <v>539</v>
      </c>
      <c r="K365" s="43" t="s">
        <v>1727</v>
      </c>
      <c r="L365" s="23">
        <f t="shared" si="14"/>
        <v>1776.7857142857142</v>
      </c>
      <c r="M365" s="23">
        <f t="shared" si="15"/>
        <v>213.21428571428569</v>
      </c>
      <c r="N365" s="38">
        <v>1990</v>
      </c>
      <c r="O365" s="53" t="s">
        <v>1728</v>
      </c>
      <c r="P365" s="43" t="s">
        <v>62</v>
      </c>
      <c r="Q365" s="43" t="s">
        <v>782</v>
      </c>
      <c r="R365" s="25">
        <v>0</v>
      </c>
    </row>
    <row r="366" spans="1:18" x14ac:dyDescent="0.3">
      <c r="A366" s="20">
        <v>45195</v>
      </c>
      <c r="B366" s="25" t="s">
        <v>1729</v>
      </c>
      <c r="C366" s="43" t="s">
        <v>1730</v>
      </c>
      <c r="D366" s="43" t="s">
        <v>1731</v>
      </c>
      <c r="E366" s="51" t="s">
        <v>1732</v>
      </c>
      <c r="F366" s="51" t="s">
        <v>1733</v>
      </c>
      <c r="G366" s="51"/>
      <c r="H366" s="43">
        <v>2</v>
      </c>
      <c r="I366" s="43"/>
      <c r="J366" s="43" t="s">
        <v>539</v>
      </c>
      <c r="K366" s="43" t="s">
        <v>1005</v>
      </c>
      <c r="L366" s="23">
        <f t="shared" si="14"/>
        <v>624.99999999999989</v>
      </c>
      <c r="M366" s="23">
        <f t="shared" si="15"/>
        <v>74.999999999999986</v>
      </c>
      <c r="N366" s="38">
        <v>700</v>
      </c>
      <c r="O366" s="53" t="s">
        <v>1734</v>
      </c>
      <c r="P366" s="43" t="s">
        <v>225</v>
      </c>
      <c r="Q366" s="43" t="s">
        <v>225</v>
      </c>
      <c r="R366" s="25">
        <v>0</v>
      </c>
    </row>
    <row r="367" spans="1:18" x14ac:dyDescent="0.3">
      <c r="A367" s="20">
        <v>45195</v>
      </c>
      <c r="B367" s="25" t="s">
        <v>1735</v>
      </c>
      <c r="C367" s="25" t="s">
        <v>1736</v>
      </c>
      <c r="D367" s="25" t="s">
        <v>1737</v>
      </c>
      <c r="E367" s="44" t="s">
        <v>1738</v>
      </c>
      <c r="F367" s="44" t="s">
        <v>1739</v>
      </c>
      <c r="G367" s="44"/>
      <c r="H367" s="25">
        <v>7</v>
      </c>
      <c r="I367" s="25"/>
      <c r="J367" s="25" t="s">
        <v>539</v>
      </c>
      <c r="K367" s="25" t="s">
        <v>200</v>
      </c>
      <c r="L367" s="23">
        <f t="shared" si="14"/>
        <v>1776.7857142857142</v>
      </c>
      <c r="M367" s="23">
        <f t="shared" si="15"/>
        <v>213.21428571428569</v>
      </c>
      <c r="N367" s="30">
        <v>1990</v>
      </c>
      <c r="O367" s="27" t="s">
        <v>1740</v>
      </c>
      <c r="P367" s="25" t="s">
        <v>337</v>
      </c>
      <c r="Q367" s="25" t="s">
        <v>782</v>
      </c>
      <c r="R367" s="25">
        <v>0</v>
      </c>
    </row>
    <row r="368" spans="1:18" x14ac:dyDescent="0.3">
      <c r="A368" s="20">
        <v>45196</v>
      </c>
      <c r="B368" s="25" t="s">
        <v>1741</v>
      </c>
      <c r="C368" s="25" t="s">
        <v>1742</v>
      </c>
      <c r="D368" s="25" t="s">
        <v>1743</v>
      </c>
      <c r="E368" s="44" t="s">
        <v>1744</v>
      </c>
      <c r="F368" s="44" t="s">
        <v>1745</v>
      </c>
      <c r="G368" s="44"/>
      <c r="H368" s="25">
        <v>3</v>
      </c>
      <c r="I368" s="25"/>
      <c r="J368" s="25" t="s">
        <v>539</v>
      </c>
      <c r="K368" s="25" t="s">
        <v>1005</v>
      </c>
      <c r="L368" s="23">
        <f t="shared" si="14"/>
        <v>714.28571428571422</v>
      </c>
      <c r="M368" s="23">
        <f t="shared" si="15"/>
        <v>85.714285714285708</v>
      </c>
      <c r="N368" s="30">
        <v>800</v>
      </c>
      <c r="O368" s="27" t="s">
        <v>1746</v>
      </c>
      <c r="P368" s="25" t="s">
        <v>337</v>
      </c>
      <c r="Q368" s="25" t="s">
        <v>782</v>
      </c>
      <c r="R368" s="25">
        <v>0</v>
      </c>
    </row>
    <row r="369" spans="1:18" x14ac:dyDescent="0.3">
      <c r="A369" s="20">
        <v>45196</v>
      </c>
      <c r="B369" s="25" t="s">
        <v>1747</v>
      </c>
      <c r="C369" s="25" t="s">
        <v>1748</v>
      </c>
      <c r="D369" s="25" t="s">
        <v>1749</v>
      </c>
      <c r="E369" s="44" t="s">
        <v>1750</v>
      </c>
      <c r="F369" s="44" t="s">
        <v>1751</v>
      </c>
      <c r="G369" s="44"/>
      <c r="H369" s="25">
        <v>3</v>
      </c>
      <c r="I369" s="25"/>
      <c r="J369" s="25" t="s">
        <v>539</v>
      </c>
      <c r="K369" s="25" t="s">
        <v>1586</v>
      </c>
      <c r="L369" s="23">
        <f t="shared" si="14"/>
        <v>1071.4285714285713</v>
      </c>
      <c r="M369" s="23">
        <f t="shared" si="15"/>
        <v>128.57142857142856</v>
      </c>
      <c r="N369" s="30">
        <v>1200</v>
      </c>
      <c r="O369" s="27" t="s">
        <v>1752</v>
      </c>
      <c r="P369" s="25" t="s">
        <v>1482</v>
      </c>
      <c r="Q369" s="25" t="s">
        <v>340</v>
      </c>
      <c r="R369" s="25">
        <v>0</v>
      </c>
    </row>
    <row r="370" spans="1:18" x14ac:dyDescent="0.3">
      <c r="A370" s="20">
        <v>45196</v>
      </c>
      <c r="B370" s="25" t="s">
        <v>1753</v>
      </c>
      <c r="C370" s="25" t="s">
        <v>1754</v>
      </c>
      <c r="D370" s="25" t="s">
        <v>1755</v>
      </c>
      <c r="E370" s="44" t="s">
        <v>1756</v>
      </c>
      <c r="F370" s="44" t="s">
        <v>1757</v>
      </c>
      <c r="G370" s="44"/>
      <c r="H370" s="25">
        <v>4</v>
      </c>
      <c r="I370" s="25"/>
      <c r="J370" s="25" t="s">
        <v>539</v>
      </c>
      <c r="K370" s="25" t="s">
        <v>1758</v>
      </c>
      <c r="L370" s="23">
        <f t="shared" ref="L370:L433" si="16">+N370/1.12</f>
        <v>1339.2857142857142</v>
      </c>
      <c r="M370" s="23">
        <f t="shared" ref="M370:M433" si="17">+L370*12%</f>
        <v>160.71428571428569</v>
      </c>
      <c r="N370" s="30">
        <v>1500</v>
      </c>
      <c r="O370" s="27" t="s">
        <v>1759</v>
      </c>
      <c r="P370" s="25" t="s">
        <v>69</v>
      </c>
      <c r="Q370" s="25" t="s">
        <v>65</v>
      </c>
      <c r="R370" s="25">
        <v>0</v>
      </c>
    </row>
    <row r="371" spans="1:18" x14ac:dyDescent="0.3">
      <c r="A371" s="20">
        <v>45196</v>
      </c>
      <c r="B371" s="25" t="s">
        <v>1760</v>
      </c>
      <c r="C371" s="25" t="s">
        <v>1761</v>
      </c>
      <c r="D371" s="25" t="s">
        <v>1762</v>
      </c>
      <c r="E371" s="44" t="s">
        <v>1763</v>
      </c>
      <c r="F371" s="44" t="s">
        <v>1764</v>
      </c>
      <c r="G371" s="44"/>
      <c r="H371" s="25">
        <v>3</v>
      </c>
      <c r="I371" s="25"/>
      <c r="J371" s="25" t="s">
        <v>539</v>
      </c>
      <c r="K371" s="25" t="s">
        <v>1005</v>
      </c>
      <c r="L371" s="23">
        <f t="shared" si="16"/>
        <v>937.49999999999989</v>
      </c>
      <c r="M371" s="23">
        <f t="shared" si="17"/>
        <v>112.49999999999999</v>
      </c>
      <c r="N371" s="30">
        <v>1050</v>
      </c>
      <c r="O371" s="27" t="s">
        <v>1765</v>
      </c>
      <c r="P371" s="25" t="s">
        <v>548</v>
      </c>
      <c r="Q371" s="25" t="s">
        <v>782</v>
      </c>
      <c r="R371" s="25">
        <v>0</v>
      </c>
    </row>
    <row r="372" spans="1:18" x14ac:dyDescent="0.3">
      <c r="A372" s="20">
        <v>45196</v>
      </c>
      <c r="B372" s="25" t="s">
        <v>1766</v>
      </c>
      <c r="C372" s="25" t="s">
        <v>1767</v>
      </c>
      <c r="D372" s="25" t="s">
        <v>1768</v>
      </c>
      <c r="E372" s="44" t="s">
        <v>1769</v>
      </c>
      <c r="F372" s="44" t="s">
        <v>1770</v>
      </c>
      <c r="G372" s="44"/>
      <c r="H372" s="25">
        <v>3</v>
      </c>
      <c r="I372" s="25"/>
      <c r="J372" s="25" t="s">
        <v>539</v>
      </c>
      <c r="K372" s="25" t="s">
        <v>199</v>
      </c>
      <c r="L372" s="23">
        <f t="shared" si="16"/>
        <v>1071.4285714285713</v>
      </c>
      <c r="M372" s="23">
        <f t="shared" si="17"/>
        <v>128.57142857142856</v>
      </c>
      <c r="N372" s="30">
        <v>1200</v>
      </c>
      <c r="O372" s="27" t="s">
        <v>1771</v>
      </c>
      <c r="P372" s="25" t="s">
        <v>1482</v>
      </c>
      <c r="Q372" s="25" t="s">
        <v>225</v>
      </c>
      <c r="R372" s="25">
        <v>0</v>
      </c>
    </row>
    <row r="373" spans="1:18" x14ac:dyDescent="0.3">
      <c r="A373" s="20">
        <v>45196</v>
      </c>
      <c r="B373" s="25" t="s">
        <v>1772</v>
      </c>
      <c r="C373" s="25" t="s">
        <v>1773</v>
      </c>
      <c r="D373" s="25" t="s">
        <v>1774</v>
      </c>
      <c r="E373" s="44" t="s">
        <v>1775</v>
      </c>
      <c r="F373" s="44" t="s">
        <v>1776</v>
      </c>
      <c r="G373" s="44"/>
      <c r="H373" s="25">
        <v>3</v>
      </c>
      <c r="I373" s="25"/>
      <c r="J373" s="25" t="s">
        <v>539</v>
      </c>
      <c r="K373" s="25" t="s">
        <v>1518</v>
      </c>
      <c r="L373" s="23">
        <f t="shared" si="16"/>
        <v>937.49999999999989</v>
      </c>
      <c r="M373" s="23">
        <f t="shared" si="17"/>
        <v>112.49999999999999</v>
      </c>
      <c r="N373" s="30">
        <v>1050</v>
      </c>
      <c r="O373" s="27" t="s">
        <v>1777</v>
      </c>
      <c r="P373" s="25" t="s">
        <v>337</v>
      </c>
      <c r="Q373" s="25" t="s">
        <v>782</v>
      </c>
      <c r="R373" s="25">
        <v>0</v>
      </c>
    </row>
    <row r="374" spans="1:18" x14ac:dyDescent="0.3">
      <c r="A374" s="20">
        <v>45197</v>
      </c>
      <c r="B374" s="25" t="s">
        <v>1778</v>
      </c>
      <c r="C374" s="43" t="s">
        <v>1779</v>
      </c>
      <c r="D374" s="43" t="s">
        <v>1780</v>
      </c>
      <c r="E374" s="51" t="s">
        <v>1781</v>
      </c>
      <c r="F374" s="51" t="s">
        <v>1782</v>
      </c>
      <c r="G374" s="51"/>
      <c r="H374" s="43">
        <v>7</v>
      </c>
      <c r="I374" s="43"/>
      <c r="J374" s="43" t="s">
        <v>539</v>
      </c>
      <c r="K374" s="43" t="s">
        <v>1783</v>
      </c>
      <c r="L374" s="23">
        <f t="shared" si="16"/>
        <v>2669.6428571428569</v>
      </c>
      <c r="M374" s="23">
        <f t="shared" si="17"/>
        <v>320.35714285714283</v>
      </c>
      <c r="N374" s="38">
        <v>2990</v>
      </c>
      <c r="O374" s="53" t="s">
        <v>1784</v>
      </c>
      <c r="P374" s="43" t="s">
        <v>548</v>
      </c>
      <c r="Q374" s="43" t="s">
        <v>58</v>
      </c>
      <c r="R374" s="25">
        <v>0</v>
      </c>
    </row>
    <row r="375" spans="1:18" x14ac:dyDescent="0.3">
      <c r="A375" s="20">
        <v>45197</v>
      </c>
      <c r="B375" s="25" t="s">
        <v>1785</v>
      </c>
      <c r="C375" s="25" t="s">
        <v>1786</v>
      </c>
      <c r="D375" s="25" t="s">
        <v>1787</v>
      </c>
      <c r="E375" s="44" t="s">
        <v>1788</v>
      </c>
      <c r="F375" s="44" t="s">
        <v>1789</v>
      </c>
      <c r="G375" s="44"/>
      <c r="H375" s="25">
        <v>8</v>
      </c>
      <c r="I375" s="25"/>
      <c r="J375" s="25" t="s">
        <v>539</v>
      </c>
      <c r="K375" s="25" t="s">
        <v>200</v>
      </c>
      <c r="L375" s="23">
        <f t="shared" si="16"/>
        <v>2669.6428571428569</v>
      </c>
      <c r="M375" s="23">
        <f t="shared" si="17"/>
        <v>320.35714285714283</v>
      </c>
      <c r="N375" s="30">
        <v>2990</v>
      </c>
      <c r="O375" s="27" t="s">
        <v>1790</v>
      </c>
      <c r="P375" s="25" t="s">
        <v>335</v>
      </c>
      <c r="Q375" s="25" t="s">
        <v>225</v>
      </c>
      <c r="R375" s="25">
        <v>0</v>
      </c>
    </row>
    <row r="376" spans="1:18" x14ac:dyDescent="0.3">
      <c r="A376" s="20">
        <v>45197</v>
      </c>
      <c r="B376" s="25" t="s">
        <v>1791</v>
      </c>
      <c r="C376" s="25" t="s">
        <v>1792</v>
      </c>
      <c r="D376" s="25" t="s">
        <v>1793</v>
      </c>
      <c r="E376" s="44" t="s">
        <v>1794</v>
      </c>
      <c r="F376" s="44" t="s">
        <v>1795</v>
      </c>
      <c r="G376" s="44"/>
      <c r="H376" s="25">
        <v>3</v>
      </c>
      <c r="I376" s="25"/>
      <c r="J376" s="25" t="s">
        <v>539</v>
      </c>
      <c r="K376" s="25" t="s">
        <v>1162</v>
      </c>
      <c r="L376" s="23">
        <f t="shared" si="16"/>
        <v>267.85714285714283</v>
      </c>
      <c r="M376" s="23">
        <f t="shared" si="17"/>
        <v>32.142857142857139</v>
      </c>
      <c r="N376" s="30">
        <v>300</v>
      </c>
      <c r="O376" s="27" t="s">
        <v>1796</v>
      </c>
      <c r="P376" s="25" t="s">
        <v>224</v>
      </c>
      <c r="Q376" s="25" t="s">
        <v>340</v>
      </c>
      <c r="R376" s="25">
        <v>0</v>
      </c>
    </row>
    <row r="377" spans="1:18" x14ac:dyDescent="0.3">
      <c r="A377" s="20">
        <v>45197</v>
      </c>
      <c r="B377" s="25" t="s">
        <v>1797</v>
      </c>
      <c r="C377" s="25" t="s">
        <v>1798</v>
      </c>
      <c r="D377" s="25" t="s">
        <v>1799</v>
      </c>
      <c r="E377" s="44" t="s">
        <v>1800</v>
      </c>
      <c r="F377" s="44" t="s">
        <v>1801</v>
      </c>
      <c r="G377" s="44"/>
      <c r="H377" s="25">
        <v>7</v>
      </c>
      <c r="I377" s="25"/>
      <c r="J377" s="25" t="s">
        <v>539</v>
      </c>
      <c r="K377" s="25" t="s">
        <v>200</v>
      </c>
      <c r="L377" s="23">
        <f t="shared" si="16"/>
        <v>2669.6428571428569</v>
      </c>
      <c r="M377" s="23">
        <f t="shared" si="17"/>
        <v>320.35714285714283</v>
      </c>
      <c r="N377" s="30">
        <v>2990</v>
      </c>
      <c r="O377" s="27" t="s">
        <v>1802</v>
      </c>
      <c r="P377" s="25" t="s">
        <v>337</v>
      </c>
      <c r="Q377" s="25" t="s">
        <v>782</v>
      </c>
      <c r="R377" s="25">
        <v>0</v>
      </c>
    </row>
    <row r="378" spans="1:18" x14ac:dyDescent="0.3">
      <c r="A378" s="20">
        <v>45197</v>
      </c>
      <c r="B378" s="25" t="s">
        <v>1803</v>
      </c>
      <c r="C378" s="25" t="s">
        <v>1804</v>
      </c>
      <c r="D378" s="25" t="s">
        <v>1805</v>
      </c>
      <c r="E378" s="44" t="s">
        <v>1806</v>
      </c>
      <c r="F378" s="44" t="s">
        <v>1807</v>
      </c>
      <c r="G378" s="44"/>
      <c r="H378" s="25">
        <v>15</v>
      </c>
      <c r="I378" s="25"/>
      <c r="J378" s="25" t="s">
        <v>539</v>
      </c>
      <c r="K378" s="25" t="s">
        <v>200</v>
      </c>
      <c r="L378" s="23">
        <f t="shared" si="16"/>
        <v>4463.3928571428569</v>
      </c>
      <c r="M378" s="23">
        <f t="shared" si="17"/>
        <v>535.60714285714278</v>
      </c>
      <c r="N378" s="30">
        <v>4999</v>
      </c>
      <c r="O378" s="27" t="s">
        <v>1808</v>
      </c>
      <c r="P378" s="25" t="s">
        <v>339</v>
      </c>
      <c r="Q378" s="25" t="s">
        <v>65</v>
      </c>
      <c r="R378" s="25">
        <v>0</v>
      </c>
    </row>
    <row r="379" spans="1:18" x14ac:dyDescent="0.3">
      <c r="A379" s="20">
        <v>45197</v>
      </c>
      <c r="B379" s="25" t="s">
        <v>1809</v>
      </c>
      <c r="C379" s="25" t="s">
        <v>1810</v>
      </c>
      <c r="D379" s="25" t="s">
        <v>1811</v>
      </c>
      <c r="E379" s="44" t="s">
        <v>1812</v>
      </c>
      <c r="F379" s="44" t="s">
        <v>1813</v>
      </c>
      <c r="G379" s="44"/>
      <c r="H379" s="25">
        <v>3</v>
      </c>
      <c r="I379" s="25"/>
      <c r="J379" s="25" t="s">
        <v>539</v>
      </c>
      <c r="K379" s="25" t="s">
        <v>200</v>
      </c>
      <c r="L379" s="23">
        <f t="shared" si="16"/>
        <v>937.49999999999989</v>
      </c>
      <c r="M379" s="23">
        <f t="shared" si="17"/>
        <v>112.49999999999999</v>
      </c>
      <c r="N379" s="30">
        <v>1050</v>
      </c>
      <c r="O379" s="27" t="s">
        <v>1814</v>
      </c>
      <c r="P379" s="25" t="s">
        <v>1239</v>
      </c>
      <c r="Q379" s="25" t="s">
        <v>782</v>
      </c>
      <c r="R379" s="25">
        <v>0</v>
      </c>
    </row>
    <row r="380" spans="1:18" x14ac:dyDescent="0.3">
      <c r="A380" s="20">
        <v>45197</v>
      </c>
      <c r="B380" s="25" t="s">
        <v>1815</v>
      </c>
      <c r="C380" s="25" t="s">
        <v>1816</v>
      </c>
      <c r="D380" s="25" t="s">
        <v>1817</v>
      </c>
      <c r="E380" s="44" t="s">
        <v>1818</v>
      </c>
      <c r="F380" s="44" t="s">
        <v>1819</v>
      </c>
      <c r="G380" s="44"/>
      <c r="H380" s="25">
        <v>2</v>
      </c>
      <c r="I380" s="25"/>
      <c r="J380" s="25" t="s">
        <v>539</v>
      </c>
      <c r="K380" s="25" t="s">
        <v>199</v>
      </c>
      <c r="L380" s="23">
        <f t="shared" si="16"/>
        <v>624.99999999999989</v>
      </c>
      <c r="M380" s="23">
        <f t="shared" si="17"/>
        <v>74.999999999999986</v>
      </c>
      <c r="N380" s="30">
        <v>700</v>
      </c>
      <c r="O380" s="27" t="s">
        <v>1820</v>
      </c>
      <c r="P380" s="25" t="s">
        <v>548</v>
      </c>
      <c r="Q380" s="25" t="s">
        <v>225</v>
      </c>
      <c r="R380" s="25">
        <v>0</v>
      </c>
    </row>
    <row r="381" spans="1:18" x14ac:dyDescent="0.3">
      <c r="A381" s="20">
        <v>45198</v>
      </c>
      <c r="B381" s="25" t="s">
        <v>1821</v>
      </c>
      <c r="C381" s="25" t="s">
        <v>1822</v>
      </c>
      <c r="D381" s="25" t="s">
        <v>1823</v>
      </c>
      <c r="E381" s="44" t="s">
        <v>1824</v>
      </c>
      <c r="F381" s="44" t="s">
        <v>1825</v>
      </c>
      <c r="G381" s="44" t="s">
        <v>1826</v>
      </c>
      <c r="H381" s="25">
        <v>7</v>
      </c>
      <c r="I381" s="32" t="s">
        <v>617</v>
      </c>
      <c r="J381" s="25" t="s">
        <v>539</v>
      </c>
      <c r="K381" s="25" t="s">
        <v>200</v>
      </c>
      <c r="L381" s="23">
        <f t="shared" si="16"/>
        <v>1919.6428571428569</v>
      </c>
      <c r="M381" s="23">
        <f t="shared" si="17"/>
        <v>230.3571428571428</v>
      </c>
      <c r="N381" s="30">
        <v>2150</v>
      </c>
      <c r="O381" s="27" t="s">
        <v>1827</v>
      </c>
      <c r="P381" s="25" t="s">
        <v>823</v>
      </c>
      <c r="Q381" s="25" t="s">
        <v>340</v>
      </c>
      <c r="R381" s="25">
        <v>0</v>
      </c>
    </row>
    <row r="382" spans="1:18" x14ac:dyDescent="0.3">
      <c r="A382" s="20">
        <v>45198</v>
      </c>
      <c r="B382" s="25" t="s">
        <v>1828</v>
      </c>
      <c r="C382" s="25" t="s">
        <v>1829</v>
      </c>
      <c r="D382" s="25" t="s">
        <v>1830</v>
      </c>
      <c r="E382" s="44" t="s">
        <v>1831</v>
      </c>
      <c r="F382" s="44" t="s">
        <v>1832</v>
      </c>
      <c r="G382" s="44" t="s">
        <v>1833</v>
      </c>
      <c r="H382" s="25">
        <v>3</v>
      </c>
      <c r="I382" s="25" t="s">
        <v>605</v>
      </c>
      <c r="J382" s="25" t="s">
        <v>539</v>
      </c>
      <c r="K382" s="25" t="s">
        <v>200</v>
      </c>
      <c r="L382" s="23">
        <f t="shared" si="16"/>
        <v>892.85714285714278</v>
      </c>
      <c r="M382" s="23">
        <f t="shared" si="17"/>
        <v>107.14285714285712</v>
      </c>
      <c r="N382" s="30">
        <v>1000</v>
      </c>
      <c r="O382" s="27" t="s">
        <v>1834</v>
      </c>
      <c r="P382" s="25" t="s">
        <v>548</v>
      </c>
      <c r="Q382" s="25" t="s">
        <v>58</v>
      </c>
      <c r="R382" s="25">
        <v>0</v>
      </c>
    </row>
    <row r="383" spans="1:18" x14ac:dyDescent="0.3">
      <c r="A383" s="20">
        <v>45198</v>
      </c>
      <c r="B383" s="25" t="s">
        <v>1835</v>
      </c>
      <c r="C383" s="25" t="s">
        <v>1836</v>
      </c>
      <c r="D383" s="25" t="s">
        <v>1837</v>
      </c>
      <c r="E383" s="44" t="s">
        <v>1838</v>
      </c>
      <c r="F383" s="44" t="s">
        <v>1839</v>
      </c>
      <c r="G383" s="44" t="s">
        <v>1840</v>
      </c>
      <c r="H383" s="25">
        <v>5</v>
      </c>
      <c r="I383" s="25" t="s">
        <v>617</v>
      </c>
      <c r="J383" s="25" t="s">
        <v>821</v>
      </c>
      <c r="K383" s="25" t="s">
        <v>199</v>
      </c>
      <c r="L383" s="23">
        <f t="shared" si="16"/>
        <v>1776.7857142857142</v>
      </c>
      <c r="M383" s="23">
        <f t="shared" si="17"/>
        <v>213.21428571428569</v>
      </c>
      <c r="N383" s="30">
        <v>1990</v>
      </c>
      <c r="O383" s="27" t="s">
        <v>1841</v>
      </c>
      <c r="P383" s="25" t="s">
        <v>335</v>
      </c>
      <c r="Q383" s="25" t="s">
        <v>225</v>
      </c>
      <c r="R383" s="25">
        <v>0</v>
      </c>
    </row>
    <row r="384" spans="1:18" x14ac:dyDescent="0.3">
      <c r="A384" s="20">
        <v>45199</v>
      </c>
      <c r="B384" s="25" t="s">
        <v>1842</v>
      </c>
      <c r="C384" s="25" t="s">
        <v>1843</v>
      </c>
      <c r="D384" s="25" t="s">
        <v>1844</v>
      </c>
      <c r="E384" s="44" t="s">
        <v>1845</v>
      </c>
      <c r="F384" s="44" t="s">
        <v>1846</v>
      </c>
      <c r="G384" s="44"/>
      <c r="H384" s="25">
        <v>3</v>
      </c>
      <c r="I384" s="25" t="s">
        <v>605</v>
      </c>
      <c r="J384" s="25" t="s">
        <v>539</v>
      </c>
      <c r="K384" s="25" t="s">
        <v>199</v>
      </c>
      <c r="L384" s="23">
        <f t="shared" si="16"/>
        <v>892.85714285714278</v>
      </c>
      <c r="M384" s="23">
        <f t="shared" si="17"/>
        <v>107.14285714285712</v>
      </c>
      <c r="N384" s="30">
        <v>1000</v>
      </c>
      <c r="O384" s="27" t="s">
        <v>1847</v>
      </c>
      <c r="P384" s="25" t="s">
        <v>335</v>
      </c>
      <c r="Q384" s="25" t="s">
        <v>225</v>
      </c>
      <c r="R384" s="25">
        <v>0</v>
      </c>
    </row>
    <row r="385" spans="1:18" x14ac:dyDescent="0.3">
      <c r="A385" s="20">
        <v>45199</v>
      </c>
      <c r="B385" s="25" t="s">
        <v>1848</v>
      </c>
      <c r="C385" s="25" t="s">
        <v>1849</v>
      </c>
      <c r="D385" s="25" t="s">
        <v>1850</v>
      </c>
      <c r="E385" s="44" t="s">
        <v>1851</v>
      </c>
      <c r="F385" s="44" t="s">
        <v>1852</v>
      </c>
      <c r="G385" s="44" t="s">
        <v>1833</v>
      </c>
      <c r="H385" s="25">
        <v>3</v>
      </c>
      <c r="I385" s="25" t="s">
        <v>605</v>
      </c>
      <c r="J385" s="25" t="s">
        <v>539</v>
      </c>
      <c r="K385" s="25" t="s">
        <v>200</v>
      </c>
      <c r="L385" s="23">
        <f t="shared" si="16"/>
        <v>624.99999999999989</v>
      </c>
      <c r="M385" s="23">
        <f t="shared" si="17"/>
        <v>74.999999999999986</v>
      </c>
      <c r="N385" s="30">
        <v>700</v>
      </c>
      <c r="O385" s="27" t="s">
        <v>1853</v>
      </c>
      <c r="P385" s="25" t="s">
        <v>823</v>
      </c>
      <c r="Q385" s="25" t="s">
        <v>225</v>
      </c>
      <c r="R385" s="25">
        <v>0</v>
      </c>
    </row>
    <row r="386" spans="1:18" x14ac:dyDescent="0.3">
      <c r="A386" s="20">
        <v>45199</v>
      </c>
      <c r="B386" s="25" t="s">
        <v>1854</v>
      </c>
      <c r="C386" s="25" t="s">
        <v>1855</v>
      </c>
      <c r="D386" s="25" t="s">
        <v>1856</v>
      </c>
      <c r="E386" s="44" t="s">
        <v>1857</v>
      </c>
      <c r="F386" s="44" t="s">
        <v>1858</v>
      </c>
      <c r="G386" s="44" t="s">
        <v>1826</v>
      </c>
      <c r="H386" s="25">
        <v>5</v>
      </c>
      <c r="I386" s="25" t="s">
        <v>617</v>
      </c>
      <c r="J386" s="25" t="s">
        <v>539</v>
      </c>
      <c r="K386" s="25" t="s">
        <v>200</v>
      </c>
      <c r="L386" s="23">
        <f t="shared" si="16"/>
        <v>1776.7857142857142</v>
      </c>
      <c r="M386" s="23">
        <f t="shared" si="17"/>
        <v>213.21428571428569</v>
      </c>
      <c r="N386" s="30">
        <v>1990</v>
      </c>
      <c r="O386" s="27" t="s">
        <v>1859</v>
      </c>
      <c r="P386" s="25" t="s">
        <v>1482</v>
      </c>
      <c r="Q386" s="25" t="s">
        <v>340</v>
      </c>
      <c r="R386" s="25">
        <v>0</v>
      </c>
    </row>
    <row r="387" spans="1:18" x14ac:dyDescent="0.3">
      <c r="A387" s="20">
        <v>45199</v>
      </c>
      <c r="B387" s="25" t="s">
        <v>1860</v>
      </c>
      <c r="C387" s="25" t="s">
        <v>1861</v>
      </c>
      <c r="D387" s="25" t="s">
        <v>1862</v>
      </c>
      <c r="E387" s="44" t="s">
        <v>1863</v>
      </c>
      <c r="F387" s="44" t="s">
        <v>1864</v>
      </c>
      <c r="G387" s="44" t="s">
        <v>1840</v>
      </c>
      <c r="H387" s="25">
        <v>5</v>
      </c>
      <c r="I387" s="25" t="s">
        <v>1865</v>
      </c>
      <c r="J387" s="25" t="s">
        <v>821</v>
      </c>
      <c r="K387" s="25" t="s">
        <v>199</v>
      </c>
      <c r="L387" s="23">
        <f t="shared" si="16"/>
        <v>1874.9999999999998</v>
      </c>
      <c r="M387" s="23">
        <f t="shared" si="17"/>
        <v>224.99999999999997</v>
      </c>
      <c r="N387" s="30">
        <v>2100</v>
      </c>
      <c r="O387" s="27" t="s">
        <v>1866</v>
      </c>
      <c r="P387" s="25" t="s">
        <v>548</v>
      </c>
      <c r="Q387" s="25" t="s">
        <v>58</v>
      </c>
      <c r="R387" s="25">
        <v>0</v>
      </c>
    </row>
    <row r="388" spans="1:18" x14ac:dyDescent="0.3">
      <c r="A388" s="59">
        <v>45202</v>
      </c>
      <c r="B388" s="33" t="s">
        <v>1867</v>
      </c>
      <c r="C388" s="32" t="s">
        <v>1868</v>
      </c>
      <c r="D388" s="32" t="s">
        <v>1869</v>
      </c>
      <c r="E388" s="44" t="s">
        <v>1870</v>
      </c>
      <c r="F388" s="44" t="s">
        <v>1871</v>
      </c>
      <c r="G388" s="44" t="s">
        <v>1826</v>
      </c>
      <c r="H388" s="29">
        <v>5</v>
      </c>
      <c r="I388" s="29" t="s">
        <v>617</v>
      </c>
      <c r="J388" s="29" t="s">
        <v>539</v>
      </c>
      <c r="K388" s="29" t="s">
        <v>1005</v>
      </c>
      <c r="L388" s="23">
        <f t="shared" si="16"/>
        <v>1776.7857142857142</v>
      </c>
      <c r="M388" s="23">
        <f t="shared" si="17"/>
        <v>213.21428571428569</v>
      </c>
      <c r="N388" s="60">
        <v>1990</v>
      </c>
      <c r="O388" s="61" t="s">
        <v>1872</v>
      </c>
      <c r="P388" s="29" t="s">
        <v>548</v>
      </c>
      <c r="Q388" s="29" t="s">
        <v>225</v>
      </c>
      <c r="R388" s="25">
        <v>0</v>
      </c>
    </row>
    <row r="389" spans="1:18" x14ac:dyDescent="0.3">
      <c r="A389" s="59">
        <v>45202</v>
      </c>
      <c r="B389" s="33" t="s">
        <v>1873</v>
      </c>
      <c r="C389" s="32" t="s">
        <v>950</v>
      </c>
      <c r="D389" s="32" t="s">
        <v>1874</v>
      </c>
      <c r="E389" s="44" t="s">
        <v>1875</v>
      </c>
      <c r="F389" s="44" t="s">
        <v>1876</v>
      </c>
      <c r="G389" s="44" t="s">
        <v>1840</v>
      </c>
      <c r="H389" s="29">
        <v>5</v>
      </c>
      <c r="I389" s="29" t="s">
        <v>605</v>
      </c>
      <c r="J389" s="29" t="s">
        <v>539</v>
      </c>
      <c r="K389" s="29" t="s">
        <v>200</v>
      </c>
      <c r="L389" s="23">
        <f t="shared" si="16"/>
        <v>1776.7857142857142</v>
      </c>
      <c r="M389" s="23">
        <f t="shared" si="17"/>
        <v>213.21428571428569</v>
      </c>
      <c r="N389" s="60">
        <v>1990</v>
      </c>
      <c r="O389" s="61" t="s">
        <v>1877</v>
      </c>
      <c r="P389" s="29" t="s">
        <v>224</v>
      </c>
      <c r="Q389" s="29" t="s">
        <v>65</v>
      </c>
      <c r="R389" s="25">
        <v>0</v>
      </c>
    </row>
    <row r="390" spans="1:18" x14ac:dyDescent="0.3">
      <c r="A390" s="59">
        <v>45202</v>
      </c>
      <c r="B390" s="33" t="s">
        <v>1878</v>
      </c>
      <c r="C390" s="32" t="s">
        <v>1879</v>
      </c>
      <c r="D390" s="32" t="s">
        <v>1880</v>
      </c>
      <c r="E390" s="44" t="s">
        <v>1881</v>
      </c>
      <c r="F390" s="44" t="s">
        <v>1882</v>
      </c>
      <c r="G390" s="44" t="s">
        <v>1833</v>
      </c>
      <c r="H390" s="29">
        <v>3</v>
      </c>
      <c r="I390" s="29" t="s">
        <v>605</v>
      </c>
      <c r="J390" s="29" t="s">
        <v>539</v>
      </c>
      <c r="K390" s="29" t="s">
        <v>1005</v>
      </c>
      <c r="L390" s="23">
        <f t="shared" si="16"/>
        <v>892.85714285714278</v>
      </c>
      <c r="M390" s="23">
        <f t="shared" si="17"/>
        <v>107.14285714285712</v>
      </c>
      <c r="N390" s="60">
        <v>1000</v>
      </c>
      <c r="O390" s="61" t="s">
        <v>1883</v>
      </c>
      <c r="P390" s="29" t="s">
        <v>1508</v>
      </c>
      <c r="Q390" s="29" t="s">
        <v>65</v>
      </c>
      <c r="R390" s="25">
        <v>0</v>
      </c>
    </row>
    <row r="391" spans="1:18" x14ac:dyDescent="0.3">
      <c r="A391" s="59">
        <v>45203</v>
      </c>
      <c r="B391" s="33" t="s">
        <v>1884</v>
      </c>
      <c r="C391" s="32" t="s">
        <v>1885</v>
      </c>
      <c r="D391" s="32" t="s">
        <v>1886</v>
      </c>
      <c r="E391" s="44" t="s">
        <v>1887</v>
      </c>
      <c r="F391" s="44" t="s">
        <v>1888</v>
      </c>
      <c r="G391" s="44" t="s">
        <v>1833</v>
      </c>
      <c r="H391" s="29">
        <v>3</v>
      </c>
      <c r="I391" s="29" t="s">
        <v>605</v>
      </c>
      <c r="J391" s="29" t="s">
        <v>821</v>
      </c>
      <c r="K391" s="29" t="s">
        <v>199</v>
      </c>
      <c r="L391" s="23">
        <f t="shared" si="16"/>
        <v>1071.4285714285713</v>
      </c>
      <c r="M391" s="23">
        <f t="shared" si="17"/>
        <v>128.57142857142856</v>
      </c>
      <c r="N391" s="60">
        <v>1200</v>
      </c>
      <c r="O391" s="61" t="s">
        <v>1889</v>
      </c>
      <c r="P391" s="29" t="s">
        <v>335</v>
      </c>
      <c r="Q391" s="29" t="s">
        <v>225</v>
      </c>
      <c r="R391" s="25">
        <v>0</v>
      </c>
    </row>
    <row r="392" spans="1:18" x14ac:dyDescent="0.3">
      <c r="A392" s="59">
        <v>45203</v>
      </c>
      <c r="B392" s="33" t="s">
        <v>1890</v>
      </c>
      <c r="C392" s="32" t="s">
        <v>1891</v>
      </c>
      <c r="D392" s="32" t="s">
        <v>1892</v>
      </c>
      <c r="E392" s="44" t="s">
        <v>1893</v>
      </c>
      <c r="F392" s="44" t="s">
        <v>1894</v>
      </c>
      <c r="G392" s="44" t="s">
        <v>1833</v>
      </c>
      <c r="H392" s="29">
        <v>4</v>
      </c>
      <c r="I392" s="29" t="s">
        <v>617</v>
      </c>
      <c r="J392" s="29" t="s">
        <v>539</v>
      </c>
      <c r="K392" s="29" t="s">
        <v>1005</v>
      </c>
      <c r="L392" s="23">
        <f t="shared" si="16"/>
        <v>1919.6428571428569</v>
      </c>
      <c r="M392" s="23">
        <f t="shared" si="17"/>
        <v>230.3571428571428</v>
      </c>
      <c r="N392" s="60">
        <v>2150</v>
      </c>
      <c r="O392" s="61" t="s">
        <v>1895</v>
      </c>
      <c r="P392" s="29" t="s">
        <v>62</v>
      </c>
      <c r="Q392" s="29" t="s">
        <v>782</v>
      </c>
      <c r="R392" s="25">
        <v>0</v>
      </c>
    </row>
    <row r="393" spans="1:18" x14ac:dyDescent="0.3">
      <c r="A393" s="59">
        <v>45204</v>
      </c>
      <c r="B393" s="32" t="s">
        <v>1896</v>
      </c>
      <c r="C393" s="32" t="s">
        <v>1897</v>
      </c>
      <c r="D393" s="32" t="s">
        <v>1898</v>
      </c>
      <c r="E393" s="44" t="s">
        <v>1899</v>
      </c>
      <c r="F393" s="44" t="s">
        <v>1900</v>
      </c>
      <c r="G393" s="44" t="s">
        <v>1840</v>
      </c>
      <c r="H393" s="29">
        <v>5</v>
      </c>
      <c r="I393" s="29" t="s">
        <v>617</v>
      </c>
      <c r="J393" s="29" t="s">
        <v>821</v>
      </c>
      <c r="K393" s="29" t="s">
        <v>200</v>
      </c>
      <c r="L393" s="23">
        <f t="shared" si="16"/>
        <v>1776.7857142857142</v>
      </c>
      <c r="M393" s="23">
        <f t="shared" si="17"/>
        <v>213.21428571428569</v>
      </c>
      <c r="N393" s="60">
        <v>1990</v>
      </c>
      <c r="O393" s="61" t="s">
        <v>1901</v>
      </c>
      <c r="P393" s="29" t="s">
        <v>337</v>
      </c>
      <c r="Q393" s="29" t="s">
        <v>225</v>
      </c>
      <c r="R393" s="25">
        <v>0</v>
      </c>
    </row>
    <row r="394" spans="1:18" x14ac:dyDescent="0.3">
      <c r="A394" s="59">
        <v>45209</v>
      </c>
      <c r="B394" s="32" t="s">
        <v>1902</v>
      </c>
      <c r="C394" s="32" t="s">
        <v>1903</v>
      </c>
      <c r="D394" s="32" t="s">
        <v>1904</v>
      </c>
      <c r="E394" s="44" t="s">
        <v>1905</v>
      </c>
      <c r="F394" s="44" t="s">
        <v>1906</v>
      </c>
      <c r="G394" s="44" t="s">
        <v>1840</v>
      </c>
      <c r="H394" s="29">
        <v>7</v>
      </c>
      <c r="I394" s="29" t="s">
        <v>611</v>
      </c>
      <c r="J394" s="29" t="s">
        <v>539</v>
      </c>
      <c r="K394" s="29" t="s">
        <v>199</v>
      </c>
      <c r="L394" s="23">
        <f t="shared" si="16"/>
        <v>2677.6785714285711</v>
      </c>
      <c r="M394" s="23">
        <f t="shared" si="17"/>
        <v>321.3214285714285</v>
      </c>
      <c r="N394" s="60">
        <v>2999</v>
      </c>
      <c r="O394" s="61" t="s">
        <v>1907</v>
      </c>
      <c r="P394" s="29" t="s">
        <v>548</v>
      </c>
      <c r="Q394" s="29" t="s">
        <v>58</v>
      </c>
      <c r="R394" s="25">
        <v>0</v>
      </c>
    </row>
    <row r="395" spans="1:18" x14ac:dyDescent="0.3">
      <c r="A395" s="59">
        <v>45210</v>
      </c>
      <c r="B395" s="32" t="s">
        <v>1908</v>
      </c>
      <c r="C395" s="32" t="s">
        <v>1909</v>
      </c>
      <c r="D395" s="32" t="s">
        <v>1910</v>
      </c>
      <c r="E395" s="44" t="s">
        <v>1911</v>
      </c>
      <c r="F395" s="44" t="s">
        <v>1912</v>
      </c>
      <c r="G395" s="44" t="s">
        <v>1840</v>
      </c>
      <c r="H395" s="29">
        <v>10</v>
      </c>
      <c r="I395" s="29" t="s">
        <v>617</v>
      </c>
      <c r="J395" s="29" t="s">
        <v>539</v>
      </c>
      <c r="K395" s="29" t="s">
        <v>1631</v>
      </c>
      <c r="L395" s="23">
        <f t="shared" si="16"/>
        <v>2669.6428571428569</v>
      </c>
      <c r="M395" s="23">
        <f t="shared" si="17"/>
        <v>320.35714285714283</v>
      </c>
      <c r="N395" s="60">
        <v>2990</v>
      </c>
      <c r="O395" s="61" t="s">
        <v>1913</v>
      </c>
      <c r="P395" s="29" t="s">
        <v>66</v>
      </c>
      <c r="Q395" s="29" t="s">
        <v>65</v>
      </c>
      <c r="R395" s="25">
        <v>0</v>
      </c>
    </row>
    <row r="396" spans="1:18" x14ac:dyDescent="0.3">
      <c r="A396" s="59">
        <v>45212</v>
      </c>
      <c r="B396" s="32" t="s">
        <v>1914</v>
      </c>
      <c r="C396" s="32" t="s">
        <v>1915</v>
      </c>
      <c r="D396" s="32" t="s">
        <v>1916</v>
      </c>
      <c r="E396" s="44" t="s">
        <v>1917</v>
      </c>
      <c r="F396" s="44" t="s">
        <v>1918</v>
      </c>
      <c r="G396" s="44" t="s">
        <v>1919</v>
      </c>
      <c r="H396" s="29">
        <v>2</v>
      </c>
      <c r="I396" s="29" t="s">
        <v>605</v>
      </c>
      <c r="J396" s="29" t="s">
        <v>539</v>
      </c>
      <c r="K396" s="29" t="s">
        <v>199</v>
      </c>
      <c r="L396" s="23">
        <f t="shared" si="16"/>
        <v>892.85714285714278</v>
      </c>
      <c r="M396" s="23">
        <f t="shared" si="17"/>
        <v>107.14285714285712</v>
      </c>
      <c r="N396" s="60">
        <v>1000</v>
      </c>
      <c r="O396" s="61" t="s">
        <v>1920</v>
      </c>
      <c r="P396" s="29" t="s">
        <v>548</v>
      </c>
      <c r="Q396" s="29" t="s">
        <v>340</v>
      </c>
      <c r="R396" s="25">
        <v>0</v>
      </c>
    </row>
    <row r="397" spans="1:18" x14ac:dyDescent="0.3">
      <c r="A397" s="59">
        <v>45212</v>
      </c>
      <c r="B397" s="32" t="s">
        <v>1921</v>
      </c>
      <c r="C397" s="32" t="s">
        <v>1922</v>
      </c>
      <c r="D397" s="32" t="s">
        <v>1923</v>
      </c>
      <c r="E397" s="44" t="s">
        <v>1924</v>
      </c>
      <c r="F397" s="44" t="s">
        <v>1925</v>
      </c>
      <c r="G397" s="44" t="s">
        <v>1926</v>
      </c>
      <c r="H397" s="29">
        <v>3</v>
      </c>
      <c r="I397" s="29" t="s">
        <v>605</v>
      </c>
      <c r="J397" s="29" t="s">
        <v>821</v>
      </c>
      <c r="K397" s="29" t="s">
        <v>199</v>
      </c>
      <c r="L397" s="23">
        <f t="shared" si="16"/>
        <v>624.99999999999989</v>
      </c>
      <c r="M397" s="23">
        <f t="shared" si="17"/>
        <v>74.999999999999986</v>
      </c>
      <c r="N397" s="62">
        <v>700</v>
      </c>
      <c r="O397" s="61" t="s">
        <v>1927</v>
      </c>
      <c r="P397" s="29" t="s">
        <v>337</v>
      </c>
      <c r="Q397" s="29" t="s">
        <v>337</v>
      </c>
      <c r="R397" s="25">
        <v>0</v>
      </c>
    </row>
    <row r="398" spans="1:18" x14ac:dyDescent="0.3">
      <c r="A398" s="59">
        <v>45213</v>
      </c>
      <c r="B398" s="32" t="s">
        <v>1928</v>
      </c>
      <c r="C398" s="32" t="s">
        <v>1929</v>
      </c>
      <c r="D398" s="32" t="s">
        <v>1930</v>
      </c>
      <c r="E398" s="44" t="s">
        <v>1931</v>
      </c>
      <c r="F398" s="44" t="s">
        <v>1932</v>
      </c>
      <c r="G398" s="44" t="s">
        <v>1919</v>
      </c>
      <c r="H398" s="29">
        <v>5</v>
      </c>
      <c r="I398" s="29" t="s">
        <v>605</v>
      </c>
      <c r="J398" s="29" t="s">
        <v>539</v>
      </c>
      <c r="K398" s="29" t="s">
        <v>200</v>
      </c>
      <c r="L398" s="23">
        <f t="shared" si="16"/>
        <v>1339.2857142857142</v>
      </c>
      <c r="M398" s="23">
        <f t="shared" si="17"/>
        <v>160.71428571428569</v>
      </c>
      <c r="N398" s="62">
        <v>1500</v>
      </c>
      <c r="O398" s="61" t="s">
        <v>1933</v>
      </c>
      <c r="P398" s="29" t="s">
        <v>548</v>
      </c>
      <c r="Q398" s="29" t="s">
        <v>340</v>
      </c>
      <c r="R398" s="25">
        <v>0</v>
      </c>
    </row>
    <row r="399" spans="1:18" x14ac:dyDescent="0.3">
      <c r="A399" s="59">
        <v>45213</v>
      </c>
      <c r="B399" s="32" t="s">
        <v>1934</v>
      </c>
      <c r="C399" s="32" t="s">
        <v>310</v>
      </c>
      <c r="D399" s="32" t="s">
        <v>1935</v>
      </c>
      <c r="E399" s="44" t="s">
        <v>1936</v>
      </c>
      <c r="F399" s="44" t="s">
        <v>1937</v>
      </c>
      <c r="G399" s="44" t="s">
        <v>1840</v>
      </c>
      <c r="H399" s="29">
        <v>4</v>
      </c>
      <c r="I399" s="29" t="s">
        <v>617</v>
      </c>
      <c r="J399" s="29" t="s">
        <v>539</v>
      </c>
      <c r="K399" s="29" t="s">
        <v>200</v>
      </c>
      <c r="L399" s="23">
        <f t="shared" si="16"/>
        <v>1517.8571428571427</v>
      </c>
      <c r="M399" s="23">
        <f t="shared" si="17"/>
        <v>182.14285714285711</v>
      </c>
      <c r="N399" s="60">
        <v>1700</v>
      </c>
      <c r="O399" s="61" t="s">
        <v>1938</v>
      </c>
      <c r="P399" s="29" t="s">
        <v>1482</v>
      </c>
      <c r="Q399" s="29" t="s">
        <v>65</v>
      </c>
      <c r="R399" s="25">
        <v>0</v>
      </c>
    </row>
    <row r="400" spans="1:18" x14ac:dyDescent="0.3">
      <c r="A400" s="59">
        <v>45213</v>
      </c>
      <c r="B400" s="32" t="s">
        <v>1939</v>
      </c>
      <c r="C400" s="32" t="s">
        <v>1940</v>
      </c>
      <c r="D400" s="32" t="s">
        <v>1941</v>
      </c>
      <c r="E400" s="44" t="s">
        <v>1942</v>
      </c>
      <c r="F400" s="44" t="s">
        <v>1943</v>
      </c>
      <c r="G400" s="44" t="s">
        <v>1833</v>
      </c>
      <c r="H400" s="29">
        <v>3</v>
      </c>
      <c r="I400" s="29" t="s">
        <v>605</v>
      </c>
      <c r="J400" s="29" t="s">
        <v>539</v>
      </c>
      <c r="K400" s="29" t="s">
        <v>199</v>
      </c>
      <c r="L400" s="23">
        <f t="shared" si="16"/>
        <v>892.85714285714278</v>
      </c>
      <c r="M400" s="23">
        <f t="shared" si="17"/>
        <v>107.14285714285712</v>
      </c>
      <c r="N400" s="60">
        <v>1000</v>
      </c>
      <c r="O400" s="61" t="s">
        <v>1944</v>
      </c>
      <c r="P400" s="29" t="s">
        <v>337</v>
      </c>
      <c r="Q400" s="29" t="s">
        <v>225</v>
      </c>
      <c r="R400" s="25">
        <v>0</v>
      </c>
    </row>
    <row r="401" spans="1:18" x14ac:dyDescent="0.3">
      <c r="A401" s="59">
        <v>45216</v>
      </c>
      <c r="B401" s="32" t="s">
        <v>1945</v>
      </c>
      <c r="C401" s="32" t="s">
        <v>1946</v>
      </c>
      <c r="D401" s="32" t="s">
        <v>1947</v>
      </c>
      <c r="E401" s="44" t="s">
        <v>1948</v>
      </c>
      <c r="F401" s="44" t="s">
        <v>1949</v>
      </c>
      <c r="G401" s="44" t="s">
        <v>1840</v>
      </c>
      <c r="H401" s="29">
        <v>8</v>
      </c>
      <c r="I401" s="29" t="s">
        <v>611</v>
      </c>
      <c r="J401" s="29" t="s">
        <v>539</v>
      </c>
      <c r="K401" s="29" t="s">
        <v>1586</v>
      </c>
      <c r="L401" s="23">
        <f t="shared" si="16"/>
        <v>1964.285714285714</v>
      </c>
      <c r="M401" s="23">
        <f t="shared" si="17"/>
        <v>235.71428571428567</v>
      </c>
      <c r="N401" s="60">
        <v>2200</v>
      </c>
      <c r="O401" s="61" t="s">
        <v>1950</v>
      </c>
      <c r="P401" s="29" t="s">
        <v>1482</v>
      </c>
      <c r="Q401" s="29" t="s">
        <v>782</v>
      </c>
      <c r="R401" s="25">
        <v>0</v>
      </c>
    </row>
    <row r="402" spans="1:18" x14ac:dyDescent="0.3">
      <c r="A402" s="59">
        <v>45216</v>
      </c>
      <c r="B402" s="32" t="s">
        <v>1951</v>
      </c>
      <c r="C402" s="32" t="s">
        <v>1952</v>
      </c>
      <c r="D402" s="32" t="s">
        <v>1953</v>
      </c>
      <c r="E402" s="44" t="s">
        <v>1954</v>
      </c>
      <c r="F402" s="44" t="s">
        <v>1955</v>
      </c>
      <c r="G402" s="44" t="s">
        <v>1840</v>
      </c>
      <c r="H402" s="29">
        <v>4</v>
      </c>
      <c r="I402" s="29" t="s">
        <v>605</v>
      </c>
      <c r="J402" s="29" t="s">
        <v>821</v>
      </c>
      <c r="K402" s="29" t="s">
        <v>200</v>
      </c>
      <c r="L402" s="23">
        <f t="shared" si="16"/>
        <v>1339.2857142857142</v>
      </c>
      <c r="M402" s="23">
        <f t="shared" si="17"/>
        <v>160.71428571428569</v>
      </c>
      <c r="N402" s="60">
        <v>1500</v>
      </c>
      <c r="O402" s="61" t="s">
        <v>1956</v>
      </c>
      <c r="P402" s="29" t="s">
        <v>337</v>
      </c>
      <c r="Q402" s="29" t="s">
        <v>225</v>
      </c>
      <c r="R402" s="25">
        <v>0</v>
      </c>
    </row>
    <row r="403" spans="1:18" x14ac:dyDescent="0.3">
      <c r="A403" s="59">
        <v>45216</v>
      </c>
      <c r="B403" s="32" t="s">
        <v>1957</v>
      </c>
      <c r="C403" s="32" t="s">
        <v>1958</v>
      </c>
      <c r="D403" s="32" t="s">
        <v>1959</v>
      </c>
      <c r="E403" s="44" t="s">
        <v>1960</v>
      </c>
      <c r="F403" s="44" t="s">
        <v>1961</v>
      </c>
      <c r="G403" s="44" t="s">
        <v>1962</v>
      </c>
      <c r="H403" s="29">
        <v>4</v>
      </c>
      <c r="I403" s="29" t="s">
        <v>617</v>
      </c>
      <c r="J403" s="29" t="s">
        <v>539</v>
      </c>
      <c r="K403" s="29" t="s">
        <v>199</v>
      </c>
      <c r="L403" s="23">
        <f t="shared" si="16"/>
        <v>1776.7857142857142</v>
      </c>
      <c r="M403" s="23">
        <f t="shared" si="17"/>
        <v>213.21428571428569</v>
      </c>
      <c r="N403" s="60">
        <v>1990</v>
      </c>
      <c r="O403" s="61" t="s">
        <v>1963</v>
      </c>
      <c r="P403" s="29" t="s">
        <v>548</v>
      </c>
      <c r="Q403" s="29" t="s">
        <v>65</v>
      </c>
      <c r="R403" s="25">
        <v>0</v>
      </c>
    </row>
    <row r="404" spans="1:18" x14ac:dyDescent="0.3">
      <c r="A404" s="59">
        <v>45216</v>
      </c>
      <c r="B404" s="32" t="s">
        <v>1964</v>
      </c>
      <c r="C404" s="32" t="s">
        <v>1965</v>
      </c>
      <c r="D404" s="32" t="s">
        <v>1966</v>
      </c>
      <c r="E404" s="44" t="s">
        <v>1967</v>
      </c>
      <c r="F404" s="44" t="s">
        <v>1968</v>
      </c>
      <c r="G404" s="44" t="s">
        <v>1840</v>
      </c>
      <c r="H404" s="29">
        <v>4</v>
      </c>
      <c r="I404" s="29" t="s">
        <v>617</v>
      </c>
      <c r="J404" s="29" t="s">
        <v>539</v>
      </c>
      <c r="K404" s="29" t="s">
        <v>1586</v>
      </c>
      <c r="L404" s="23">
        <f t="shared" si="16"/>
        <v>1776.7857142857142</v>
      </c>
      <c r="M404" s="23">
        <f t="shared" si="17"/>
        <v>213.21428571428569</v>
      </c>
      <c r="N404" s="60">
        <v>1990</v>
      </c>
      <c r="O404" s="61" t="s">
        <v>1969</v>
      </c>
      <c r="P404" s="29" t="s">
        <v>335</v>
      </c>
      <c r="Q404" s="29" t="s">
        <v>225</v>
      </c>
      <c r="R404" s="25">
        <v>0</v>
      </c>
    </row>
    <row r="405" spans="1:18" x14ac:dyDescent="0.3">
      <c r="A405" s="59">
        <v>45217</v>
      </c>
      <c r="B405" s="32" t="s">
        <v>1970</v>
      </c>
      <c r="C405" s="32" t="s">
        <v>1971</v>
      </c>
      <c r="D405" s="32" t="s">
        <v>1972</v>
      </c>
      <c r="E405" s="44" t="s">
        <v>1973</v>
      </c>
      <c r="F405" s="44" t="s">
        <v>1974</v>
      </c>
      <c r="G405" s="44" t="s">
        <v>1926</v>
      </c>
      <c r="H405" s="29">
        <v>3</v>
      </c>
      <c r="I405" s="29" t="s">
        <v>605</v>
      </c>
      <c r="J405" s="29" t="s">
        <v>539</v>
      </c>
      <c r="K405" s="29" t="s">
        <v>1975</v>
      </c>
      <c r="L405" s="23">
        <f t="shared" si="16"/>
        <v>624.99999999999989</v>
      </c>
      <c r="M405" s="23">
        <f t="shared" si="17"/>
        <v>74.999999999999986</v>
      </c>
      <c r="N405" s="60">
        <v>700</v>
      </c>
      <c r="O405" s="61" t="s">
        <v>1976</v>
      </c>
      <c r="P405" s="29" t="s">
        <v>337</v>
      </c>
      <c r="Q405" s="29" t="s">
        <v>58</v>
      </c>
      <c r="R405" s="25">
        <v>0</v>
      </c>
    </row>
    <row r="406" spans="1:18" x14ac:dyDescent="0.3">
      <c r="A406" s="59">
        <v>45217</v>
      </c>
      <c r="B406" s="32" t="s">
        <v>1977</v>
      </c>
      <c r="C406" s="32" t="s">
        <v>1978</v>
      </c>
      <c r="D406" s="32" t="s">
        <v>1979</v>
      </c>
      <c r="E406" s="44" t="s">
        <v>1980</v>
      </c>
      <c r="F406" s="44" t="s">
        <v>1981</v>
      </c>
      <c r="G406" s="44" t="s">
        <v>1840</v>
      </c>
      <c r="H406" s="29">
        <v>5</v>
      </c>
      <c r="I406" s="29" t="s">
        <v>617</v>
      </c>
      <c r="J406" s="29" t="s">
        <v>1982</v>
      </c>
      <c r="K406" s="29"/>
      <c r="L406" s="23">
        <f t="shared" si="16"/>
        <v>1830.3571428571427</v>
      </c>
      <c r="M406" s="23">
        <f t="shared" si="17"/>
        <v>219.64285714285711</v>
      </c>
      <c r="N406" s="60">
        <v>2050</v>
      </c>
      <c r="O406" s="61" t="s">
        <v>1983</v>
      </c>
      <c r="P406" s="29" t="s">
        <v>66</v>
      </c>
      <c r="Q406" s="29" t="s">
        <v>225</v>
      </c>
      <c r="R406" s="25">
        <v>0</v>
      </c>
    </row>
    <row r="407" spans="1:18" x14ac:dyDescent="0.3">
      <c r="A407" s="59">
        <v>45217</v>
      </c>
      <c r="B407" s="32" t="s">
        <v>1984</v>
      </c>
      <c r="C407" s="32" t="s">
        <v>1985</v>
      </c>
      <c r="D407" s="32" t="s">
        <v>1986</v>
      </c>
      <c r="E407" s="44" t="s">
        <v>1987</v>
      </c>
      <c r="F407" s="44" t="s">
        <v>1988</v>
      </c>
      <c r="G407" s="44"/>
      <c r="H407" s="29">
        <v>10</v>
      </c>
      <c r="I407" s="29" t="s">
        <v>617</v>
      </c>
      <c r="J407" s="29" t="s">
        <v>539</v>
      </c>
      <c r="K407" s="29" t="s">
        <v>1631</v>
      </c>
      <c r="L407" s="23">
        <f t="shared" si="16"/>
        <v>3562.4999999999995</v>
      </c>
      <c r="M407" s="23">
        <f t="shared" si="17"/>
        <v>427.49999999999994</v>
      </c>
      <c r="N407" s="60">
        <v>3990</v>
      </c>
      <c r="O407" s="61" t="s">
        <v>1989</v>
      </c>
      <c r="P407" s="29" t="s">
        <v>782</v>
      </c>
      <c r="Q407" s="29" t="s">
        <v>782</v>
      </c>
      <c r="R407" s="25">
        <v>0</v>
      </c>
    </row>
    <row r="408" spans="1:18" x14ac:dyDescent="0.3">
      <c r="A408" s="59">
        <v>45220</v>
      </c>
      <c r="B408" s="32" t="s">
        <v>1990</v>
      </c>
      <c r="C408" s="32" t="s">
        <v>1991</v>
      </c>
      <c r="D408" s="32" t="s">
        <v>1992</v>
      </c>
      <c r="E408" s="44" t="s">
        <v>1993</v>
      </c>
      <c r="F408" s="44" t="s">
        <v>1994</v>
      </c>
      <c r="G408" s="44" t="s">
        <v>1995</v>
      </c>
      <c r="H408" s="29">
        <v>7</v>
      </c>
      <c r="I408" s="45" t="s">
        <v>617</v>
      </c>
      <c r="J408" s="258" t="s">
        <v>1090</v>
      </c>
      <c r="K408" s="259"/>
      <c r="L408" s="23">
        <f t="shared" si="16"/>
        <v>1212.4999999999998</v>
      </c>
      <c r="M408" s="23">
        <f t="shared" si="17"/>
        <v>145.49999999999997</v>
      </c>
      <c r="N408" s="60">
        <v>1358</v>
      </c>
      <c r="O408" s="61" t="s">
        <v>1996</v>
      </c>
      <c r="P408" s="29" t="s">
        <v>548</v>
      </c>
      <c r="Q408" s="29" t="s">
        <v>1997</v>
      </c>
      <c r="R408" s="25">
        <v>0</v>
      </c>
    </row>
    <row r="409" spans="1:18" x14ac:dyDescent="0.3">
      <c r="A409" s="59">
        <v>45223</v>
      </c>
      <c r="B409" s="32" t="s">
        <v>1998</v>
      </c>
      <c r="C409" s="32" t="s">
        <v>1999</v>
      </c>
      <c r="D409" s="32" t="s">
        <v>2000</v>
      </c>
      <c r="E409" s="44" t="s">
        <v>2001</v>
      </c>
      <c r="F409" s="44" t="s">
        <v>2002</v>
      </c>
      <c r="G409" s="44" t="s">
        <v>1840</v>
      </c>
      <c r="H409" s="29">
        <v>5</v>
      </c>
      <c r="I409" s="29" t="s">
        <v>605</v>
      </c>
      <c r="J409" s="29" t="s">
        <v>539</v>
      </c>
      <c r="K409" s="29" t="s">
        <v>332</v>
      </c>
      <c r="L409" s="23">
        <f t="shared" si="16"/>
        <v>1776.7857142857142</v>
      </c>
      <c r="M409" s="23">
        <f t="shared" si="17"/>
        <v>213.21428571428569</v>
      </c>
      <c r="N409" s="60">
        <v>1990</v>
      </c>
      <c r="O409" s="61" t="s">
        <v>2003</v>
      </c>
      <c r="P409" s="29" t="s">
        <v>224</v>
      </c>
      <c r="Q409" s="29" t="s">
        <v>58</v>
      </c>
      <c r="R409" s="25">
        <v>0</v>
      </c>
    </row>
    <row r="410" spans="1:18" x14ac:dyDescent="0.3">
      <c r="A410" s="59">
        <v>45223</v>
      </c>
      <c r="B410" s="32" t="s">
        <v>2004</v>
      </c>
      <c r="C410" s="32" t="s">
        <v>410</v>
      </c>
      <c r="D410" s="32" t="s">
        <v>2005</v>
      </c>
      <c r="E410" s="44" t="s">
        <v>2006</v>
      </c>
      <c r="F410" s="44" t="s">
        <v>2007</v>
      </c>
      <c r="G410" s="44" t="s">
        <v>1833</v>
      </c>
      <c r="H410" s="29">
        <v>3</v>
      </c>
      <c r="I410" s="29" t="s">
        <v>605</v>
      </c>
      <c r="J410" s="29" t="s">
        <v>539</v>
      </c>
      <c r="K410" s="29" t="s">
        <v>199</v>
      </c>
      <c r="L410" s="23">
        <f t="shared" si="16"/>
        <v>446.42857142857139</v>
      </c>
      <c r="M410" s="23">
        <f t="shared" si="17"/>
        <v>53.571428571428562</v>
      </c>
      <c r="N410" s="60">
        <v>500</v>
      </c>
      <c r="O410" s="61" t="s">
        <v>2008</v>
      </c>
      <c r="P410" s="29" t="s">
        <v>66</v>
      </c>
      <c r="Q410" s="29" t="s">
        <v>225</v>
      </c>
      <c r="R410" s="25">
        <v>0</v>
      </c>
    </row>
    <row r="411" spans="1:18" x14ac:dyDescent="0.3">
      <c r="A411" s="59">
        <v>45223</v>
      </c>
      <c r="B411" s="32" t="s">
        <v>2009</v>
      </c>
      <c r="C411" s="32" t="s">
        <v>2010</v>
      </c>
      <c r="D411" s="32" t="s">
        <v>2011</v>
      </c>
      <c r="E411" s="44" t="s">
        <v>2012</v>
      </c>
      <c r="F411" s="44" t="s">
        <v>2013</v>
      </c>
      <c r="G411" s="44"/>
      <c r="H411" s="29">
        <v>4</v>
      </c>
      <c r="I411" s="29" t="s">
        <v>605</v>
      </c>
      <c r="J411" s="29"/>
      <c r="K411" s="29"/>
      <c r="L411" s="23">
        <f t="shared" si="16"/>
        <v>0</v>
      </c>
      <c r="M411" s="23">
        <f t="shared" si="17"/>
        <v>0</v>
      </c>
      <c r="N411" s="60"/>
      <c r="O411" s="61" t="s">
        <v>2014</v>
      </c>
      <c r="P411" s="29" t="s">
        <v>337</v>
      </c>
      <c r="Q411" s="29" t="s">
        <v>337</v>
      </c>
      <c r="R411" s="25">
        <v>0</v>
      </c>
    </row>
    <row r="412" spans="1:18" x14ac:dyDescent="0.3">
      <c r="A412" s="59">
        <v>45223</v>
      </c>
      <c r="B412" s="32" t="s">
        <v>2015</v>
      </c>
      <c r="C412" s="32" t="s">
        <v>2016</v>
      </c>
      <c r="D412" s="32" t="s">
        <v>2017</v>
      </c>
      <c r="E412" s="44" t="s">
        <v>2018</v>
      </c>
      <c r="F412" s="44" t="s">
        <v>2019</v>
      </c>
      <c r="G412" s="44" t="s">
        <v>1919</v>
      </c>
      <c r="H412" s="29">
        <v>3</v>
      </c>
      <c r="I412" s="29" t="s">
        <v>605</v>
      </c>
      <c r="J412" s="29" t="s">
        <v>539</v>
      </c>
      <c r="K412" s="29" t="s">
        <v>199</v>
      </c>
      <c r="L412" s="23">
        <f t="shared" si="16"/>
        <v>892.85714285714278</v>
      </c>
      <c r="M412" s="23">
        <f t="shared" si="17"/>
        <v>107.14285714285712</v>
      </c>
      <c r="N412" s="60">
        <v>1000</v>
      </c>
      <c r="O412" s="61" t="s">
        <v>2020</v>
      </c>
      <c r="P412" s="29" t="s">
        <v>2021</v>
      </c>
      <c r="Q412" s="29" t="s">
        <v>2022</v>
      </c>
      <c r="R412" s="25">
        <v>0</v>
      </c>
    </row>
    <row r="413" spans="1:18" x14ac:dyDescent="0.3">
      <c r="A413" s="59">
        <v>45224</v>
      </c>
      <c r="B413" s="32" t="s">
        <v>2023</v>
      </c>
      <c r="C413" s="63" t="s">
        <v>2024</v>
      </c>
      <c r="D413" s="32" t="s">
        <v>2025</v>
      </c>
      <c r="E413" s="44" t="s">
        <v>2026</v>
      </c>
      <c r="F413" s="44" t="s">
        <v>2027</v>
      </c>
      <c r="G413" s="44" t="s">
        <v>1833</v>
      </c>
      <c r="H413" s="29">
        <v>5</v>
      </c>
      <c r="I413" s="29" t="s">
        <v>611</v>
      </c>
      <c r="J413" s="29" t="s">
        <v>539</v>
      </c>
      <c r="K413" s="29" t="s">
        <v>1005</v>
      </c>
      <c r="L413" s="23">
        <f t="shared" si="16"/>
        <v>1473.2142857142856</v>
      </c>
      <c r="M413" s="23">
        <f t="shared" si="17"/>
        <v>176.78571428571425</v>
      </c>
      <c r="N413" s="60">
        <v>1650</v>
      </c>
      <c r="O413" s="61" t="s">
        <v>2028</v>
      </c>
      <c r="P413" s="29" t="s">
        <v>337</v>
      </c>
      <c r="Q413" s="29" t="s">
        <v>782</v>
      </c>
      <c r="R413" s="25">
        <v>0</v>
      </c>
    </row>
    <row r="414" spans="1:18" x14ac:dyDescent="0.3">
      <c r="A414" s="59">
        <v>45224</v>
      </c>
      <c r="B414" s="32" t="s">
        <v>2029</v>
      </c>
      <c r="C414" s="32" t="s">
        <v>2030</v>
      </c>
      <c r="D414" s="32" t="s">
        <v>2031</v>
      </c>
      <c r="E414" s="44" t="s">
        <v>2032</v>
      </c>
      <c r="F414" s="44" t="s">
        <v>2033</v>
      </c>
      <c r="G414" s="44" t="s">
        <v>1840</v>
      </c>
      <c r="H414" s="29">
        <v>3</v>
      </c>
      <c r="I414" s="29" t="s">
        <v>605</v>
      </c>
      <c r="J414" s="29" t="s">
        <v>821</v>
      </c>
      <c r="K414" s="29" t="s">
        <v>199</v>
      </c>
      <c r="L414" s="23">
        <f t="shared" si="16"/>
        <v>892.85714285714278</v>
      </c>
      <c r="M414" s="23">
        <f t="shared" si="17"/>
        <v>107.14285714285712</v>
      </c>
      <c r="N414" s="60">
        <v>1000</v>
      </c>
      <c r="O414" s="61" t="s">
        <v>2034</v>
      </c>
      <c r="P414" s="29" t="s">
        <v>224</v>
      </c>
      <c r="Q414" s="29" t="s">
        <v>225</v>
      </c>
      <c r="R414" s="25">
        <v>0</v>
      </c>
    </row>
    <row r="415" spans="1:18" x14ac:dyDescent="0.3">
      <c r="A415" s="59">
        <v>45225</v>
      </c>
      <c r="B415" s="32" t="s">
        <v>2035</v>
      </c>
      <c r="C415" s="32"/>
      <c r="D415" s="32"/>
      <c r="E415" s="44"/>
      <c r="F415" s="44"/>
      <c r="G415" s="44"/>
      <c r="H415" s="29"/>
      <c r="I415" s="29"/>
      <c r="J415" s="29"/>
      <c r="K415" s="29"/>
      <c r="L415" s="23">
        <f t="shared" si="16"/>
        <v>0</v>
      </c>
      <c r="M415" s="23">
        <f t="shared" si="17"/>
        <v>0</v>
      </c>
      <c r="N415" s="60"/>
      <c r="O415" s="61"/>
      <c r="P415" s="29"/>
      <c r="Q415" s="29"/>
      <c r="R415" s="25">
        <v>0</v>
      </c>
    </row>
    <row r="416" spans="1:18" x14ac:dyDescent="0.3">
      <c r="A416" s="59">
        <v>45225</v>
      </c>
      <c r="B416" s="32" t="s">
        <v>2036</v>
      </c>
      <c r="C416" s="32" t="s">
        <v>2037</v>
      </c>
      <c r="D416" s="32" t="s">
        <v>2038</v>
      </c>
      <c r="E416" s="44" t="s">
        <v>2039</v>
      </c>
      <c r="F416" s="44" t="s">
        <v>2040</v>
      </c>
      <c r="G416" s="44" t="s">
        <v>1833</v>
      </c>
      <c r="H416" s="29">
        <v>3</v>
      </c>
      <c r="I416" s="29" t="s">
        <v>605</v>
      </c>
      <c r="J416" s="29" t="s">
        <v>539</v>
      </c>
      <c r="K416" s="29" t="s">
        <v>1005</v>
      </c>
      <c r="L416" s="23">
        <f t="shared" si="16"/>
        <v>982.142857142857</v>
      </c>
      <c r="M416" s="23">
        <f t="shared" si="17"/>
        <v>117.85714285714283</v>
      </c>
      <c r="N416" s="60">
        <v>1100</v>
      </c>
      <c r="O416" s="61" t="s">
        <v>2041</v>
      </c>
      <c r="P416" s="29" t="s">
        <v>66</v>
      </c>
      <c r="Q416" s="29" t="s">
        <v>225</v>
      </c>
      <c r="R416" s="25">
        <v>0</v>
      </c>
    </row>
    <row r="417" spans="1:18" x14ac:dyDescent="0.3">
      <c r="A417" s="59">
        <v>45226</v>
      </c>
      <c r="B417" s="32" t="s">
        <v>2042</v>
      </c>
      <c r="C417" s="32" t="s">
        <v>2043</v>
      </c>
      <c r="D417" s="32" t="s">
        <v>2044</v>
      </c>
      <c r="E417" s="44" t="s">
        <v>2045</v>
      </c>
      <c r="F417" s="44" t="s">
        <v>2046</v>
      </c>
      <c r="G417" s="44" t="s">
        <v>1919</v>
      </c>
      <c r="H417" s="29">
        <v>3</v>
      </c>
      <c r="I417" s="29" t="s">
        <v>605</v>
      </c>
      <c r="J417" s="29" t="s">
        <v>539</v>
      </c>
      <c r="K417" s="29" t="s">
        <v>199</v>
      </c>
      <c r="L417" s="23">
        <f t="shared" si="16"/>
        <v>624.99999999999989</v>
      </c>
      <c r="M417" s="23">
        <f t="shared" si="17"/>
        <v>74.999999999999986</v>
      </c>
      <c r="N417" s="60">
        <v>700</v>
      </c>
      <c r="O417" s="61" t="s">
        <v>2047</v>
      </c>
      <c r="P417" s="29" t="s">
        <v>731</v>
      </c>
      <c r="Q417" s="29" t="s">
        <v>58</v>
      </c>
      <c r="R417" s="25">
        <v>0</v>
      </c>
    </row>
    <row r="418" spans="1:18" x14ac:dyDescent="0.3">
      <c r="A418" s="59">
        <v>45226</v>
      </c>
      <c r="B418" s="32" t="s">
        <v>2048</v>
      </c>
      <c r="C418" s="32" t="s">
        <v>2049</v>
      </c>
      <c r="D418" s="32" t="s">
        <v>2050</v>
      </c>
      <c r="E418" s="44" t="s">
        <v>2051</v>
      </c>
      <c r="F418" s="44" t="s">
        <v>2052</v>
      </c>
      <c r="G418" s="44" t="s">
        <v>1919</v>
      </c>
      <c r="H418" s="29">
        <v>3</v>
      </c>
      <c r="I418" s="29" t="s">
        <v>605</v>
      </c>
      <c r="J418" s="29" t="s">
        <v>539</v>
      </c>
      <c r="K418" s="29" t="s">
        <v>1005</v>
      </c>
      <c r="L418" s="23">
        <f t="shared" si="16"/>
        <v>714.28571428571422</v>
      </c>
      <c r="M418" s="23">
        <f t="shared" si="17"/>
        <v>85.714285714285708</v>
      </c>
      <c r="N418" s="60">
        <v>800</v>
      </c>
      <c r="O418" s="61" t="s">
        <v>2053</v>
      </c>
      <c r="P418" s="29" t="s">
        <v>335</v>
      </c>
      <c r="Q418" s="29" t="s">
        <v>65</v>
      </c>
      <c r="R418" s="25">
        <v>0</v>
      </c>
    </row>
    <row r="419" spans="1:18" x14ac:dyDescent="0.3">
      <c r="A419" s="59">
        <v>45227</v>
      </c>
      <c r="B419" s="32" t="s">
        <v>2054</v>
      </c>
      <c r="C419" s="32" t="s">
        <v>2055</v>
      </c>
      <c r="D419" s="32" t="s">
        <v>2056</v>
      </c>
      <c r="E419" s="44" t="s">
        <v>2057</v>
      </c>
      <c r="F419" s="44" t="s">
        <v>2058</v>
      </c>
      <c r="G419" s="44" t="s">
        <v>1840</v>
      </c>
      <c r="H419" s="29">
        <v>5</v>
      </c>
      <c r="I419" s="29" t="s">
        <v>617</v>
      </c>
      <c r="J419" s="29" t="s">
        <v>539</v>
      </c>
      <c r="K419" s="29" t="s">
        <v>1586</v>
      </c>
      <c r="L419" s="23">
        <f t="shared" si="16"/>
        <v>892.85714285714278</v>
      </c>
      <c r="M419" s="23">
        <f t="shared" si="17"/>
        <v>107.14285714285712</v>
      </c>
      <c r="N419" s="60">
        <v>1000</v>
      </c>
      <c r="O419" s="61" t="s">
        <v>2059</v>
      </c>
      <c r="P419" s="29" t="s">
        <v>731</v>
      </c>
      <c r="Q419" s="29" t="s">
        <v>58</v>
      </c>
      <c r="R419" s="25">
        <v>0</v>
      </c>
    </row>
    <row r="420" spans="1:18" x14ac:dyDescent="0.3">
      <c r="A420" s="59">
        <v>45227</v>
      </c>
      <c r="B420" s="32" t="s">
        <v>2060</v>
      </c>
      <c r="C420" s="32" t="s">
        <v>2061</v>
      </c>
      <c r="D420" s="32" t="s">
        <v>2062</v>
      </c>
      <c r="E420" s="44" t="s">
        <v>2063</v>
      </c>
      <c r="F420" s="44" t="s">
        <v>2064</v>
      </c>
      <c r="G420" s="44" t="s">
        <v>1919</v>
      </c>
      <c r="H420" s="29">
        <v>3</v>
      </c>
      <c r="I420" s="29" t="s">
        <v>605</v>
      </c>
      <c r="J420" s="29" t="s">
        <v>539</v>
      </c>
      <c r="K420" s="29" t="s">
        <v>200</v>
      </c>
      <c r="L420" s="23">
        <f t="shared" si="16"/>
        <v>624.99999999999989</v>
      </c>
      <c r="M420" s="23">
        <f t="shared" si="17"/>
        <v>74.999999999999986</v>
      </c>
      <c r="N420" s="60">
        <v>700</v>
      </c>
      <c r="O420" s="61" t="s">
        <v>2065</v>
      </c>
      <c r="P420" s="29" t="s">
        <v>66</v>
      </c>
      <c r="Q420" s="29" t="s">
        <v>58</v>
      </c>
      <c r="R420" s="25">
        <v>0</v>
      </c>
    </row>
    <row r="421" spans="1:18" x14ac:dyDescent="0.3">
      <c r="A421" s="59">
        <v>45227</v>
      </c>
      <c r="B421" s="32" t="s">
        <v>2066</v>
      </c>
      <c r="C421" s="32" t="s">
        <v>2067</v>
      </c>
      <c r="D421" s="32" t="s">
        <v>2068</v>
      </c>
      <c r="E421" s="44" t="s">
        <v>2069</v>
      </c>
      <c r="F421" s="44" t="s">
        <v>2070</v>
      </c>
      <c r="G421" s="44" t="s">
        <v>1840</v>
      </c>
      <c r="H421" s="29">
        <v>5</v>
      </c>
      <c r="I421" s="29" t="s">
        <v>617</v>
      </c>
      <c r="J421" s="29" t="s">
        <v>821</v>
      </c>
      <c r="K421" s="29" t="s">
        <v>199</v>
      </c>
      <c r="L421" s="23">
        <f t="shared" si="16"/>
        <v>1071.4285714285713</v>
      </c>
      <c r="M421" s="23">
        <f t="shared" si="17"/>
        <v>128.57142857142856</v>
      </c>
      <c r="N421" s="60">
        <v>1200</v>
      </c>
      <c r="O421" s="61" t="s">
        <v>2071</v>
      </c>
      <c r="P421" s="29" t="s">
        <v>224</v>
      </c>
      <c r="Q421" s="29" t="s">
        <v>225</v>
      </c>
      <c r="R421" s="25">
        <v>0</v>
      </c>
    </row>
    <row r="422" spans="1:18" x14ac:dyDescent="0.3">
      <c r="A422" s="59">
        <v>45229</v>
      </c>
      <c r="B422" s="32" t="s">
        <v>2072</v>
      </c>
      <c r="C422" s="32" t="s">
        <v>2073</v>
      </c>
      <c r="D422" s="32" t="s">
        <v>2074</v>
      </c>
      <c r="E422" s="44" t="s">
        <v>2075</v>
      </c>
      <c r="F422" s="44" t="s">
        <v>2076</v>
      </c>
      <c r="G422" s="44" t="s">
        <v>1840</v>
      </c>
      <c r="H422" s="29">
        <v>5</v>
      </c>
      <c r="I422" s="29" t="s">
        <v>605</v>
      </c>
      <c r="J422" s="29" t="s">
        <v>539</v>
      </c>
      <c r="K422" s="29" t="s">
        <v>199</v>
      </c>
      <c r="L422" s="23">
        <f t="shared" si="16"/>
        <v>1339.2857142857142</v>
      </c>
      <c r="M422" s="23">
        <f t="shared" si="17"/>
        <v>160.71428571428569</v>
      </c>
      <c r="N422" s="60">
        <v>1500</v>
      </c>
      <c r="O422" s="61" t="s">
        <v>2077</v>
      </c>
      <c r="P422" s="29" t="s">
        <v>2078</v>
      </c>
      <c r="Q422" s="29" t="s">
        <v>2022</v>
      </c>
      <c r="R422" s="25">
        <v>0</v>
      </c>
    </row>
    <row r="423" spans="1:18" x14ac:dyDescent="0.3">
      <c r="A423" s="59">
        <v>45237</v>
      </c>
      <c r="B423" s="33" t="s">
        <v>2079</v>
      </c>
      <c r="C423" s="32" t="s">
        <v>2080</v>
      </c>
      <c r="D423" s="32" t="s">
        <v>2081</v>
      </c>
      <c r="E423" s="44" t="s">
        <v>2082</v>
      </c>
      <c r="F423" s="44" t="s">
        <v>2083</v>
      </c>
      <c r="G423" s="44" t="s">
        <v>1919</v>
      </c>
      <c r="H423" s="29">
        <v>3</v>
      </c>
      <c r="I423" s="29" t="s">
        <v>605</v>
      </c>
      <c r="J423" s="29" t="s">
        <v>539</v>
      </c>
      <c r="K423" s="29" t="s">
        <v>200</v>
      </c>
      <c r="L423" s="23">
        <f t="shared" si="16"/>
        <v>892.85714285714278</v>
      </c>
      <c r="M423" s="23">
        <f t="shared" si="17"/>
        <v>107.14285714285712</v>
      </c>
      <c r="N423" s="60">
        <v>1000</v>
      </c>
      <c r="O423" s="61" t="s">
        <v>2084</v>
      </c>
      <c r="P423" s="29" t="s">
        <v>548</v>
      </c>
      <c r="Q423" s="29" t="s">
        <v>225</v>
      </c>
      <c r="R423" s="25">
        <v>0</v>
      </c>
    </row>
    <row r="424" spans="1:18" x14ac:dyDescent="0.3">
      <c r="A424" s="59">
        <v>45238</v>
      </c>
      <c r="B424" s="33" t="s">
        <v>2085</v>
      </c>
      <c r="C424" s="32" t="s">
        <v>2086</v>
      </c>
      <c r="D424" s="32" t="s">
        <v>2087</v>
      </c>
      <c r="E424" s="44" t="s">
        <v>2088</v>
      </c>
      <c r="F424" s="44" t="s">
        <v>2089</v>
      </c>
      <c r="G424" s="44" t="s">
        <v>1826</v>
      </c>
      <c r="H424" s="29">
        <v>8</v>
      </c>
      <c r="I424" s="29" t="s">
        <v>617</v>
      </c>
      <c r="J424" s="29" t="s">
        <v>539</v>
      </c>
      <c r="K424" s="29" t="s">
        <v>200</v>
      </c>
      <c r="L424" s="23">
        <f t="shared" si="16"/>
        <v>2669.6428571428569</v>
      </c>
      <c r="M424" s="23">
        <f t="shared" si="17"/>
        <v>320.35714285714283</v>
      </c>
      <c r="N424" s="60">
        <v>2990</v>
      </c>
      <c r="O424" s="61" t="s">
        <v>2090</v>
      </c>
      <c r="P424" s="29" t="s">
        <v>548</v>
      </c>
      <c r="Q424" s="29" t="s">
        <v>225</v>
      </c>
      <c r="R424" s="25">
        <v>0</v>
      </c>
    </row>
    <row r="425" spans="1:18" x14ac:dyDescent="0.3">
      <c r="A425" s="59">
        <v>45238</v>
      </c>
      <c r="B425" s="33" t="s">
        <v>2091</v>
      </c>
      <c r="C425" s="32" t="s">
        <v>2092</v>
      </c>
      <c r="D425" s="32" t="s">
        <v>2093</v>
      </c>
      <c r="E425" s="44" t="s">
        <v>2094</v>
      </c>
      <c r="F425" s="44" t="s">
        <v>2095</v>
      </c>
      <c r="G425" s="44" t="s">
        <v>1833</v>
      </c>
      <c r="H425" s="29">
        <v>3</v>
      </c>
      <c r="I425" s="29" t="s">
        <v>605</v>
      </c>
      <c r="J425" s="29" t="s">
        <v>539</v>
      </c>
      <c r="K425" s="29" t="s">
        <v>199</v>
      </c>
      <c r="L425" s="23">
        <f t="shared" si="16"/>
        <v>892.85714285714278</v>
      </c>
      <c r="M425" s="23">
        <f t="shared" si="17"/>
        <v>107.14285714285712</v>
      </c>
      <c r="N425" s="60">
        <v>1000</v>
      </c>
      <c r="O425" s="61" t="s">
        <v>2096</v>
      </c>
      <c r="P425" s="29" t="s">
        <v>224</v>
      </c>
      <c r="Q425" s="29" t="s">
        <v>225</v>
      </c>
      <c r="R425" s="25">
        <v>0</v>
      </c>
    </row>
    <row r="426" spans="1:18" x14ac:dyDescent="0.3">
      <c r="A426" s="59">
        <v>45238</v>
      </c>
      <c r="B426" s="33" t="s">
        <v>2097</v>
      </c>
      <c r="C426" s="32" t="s">
        <v>2098</v>
      </c>
      <c r="D426" s="32" t="s">
        <v>2099</v>
      </c>
      <c r="E426" s="44" t="s">
        <v>2100</v>
      </c>
      <c r="F426" s="44" t="s">
        <v>2101</v>
      </c>
      <c r="G426" s="44" t="s">
        <v>1919</v>
      </c>
      <c r="H426" s="29">
        <v>3</v>
      </c>
      <c r="I426" s="29" t="s">
        <v>617</v>
      </c>
      <c r="J426" s="29" t="s">
        <v>539</v>
      </c>
      <c r="K426" s="29" t="s">
        <v>1005</v>
      </c>
      <c r="L426" s="23">
        <f t="shared" si="16"/>
        <v>888.39285714285711</v>
      </c>
      <c r="M426" s="23">
        <f t="shared" si="17"/>
        <v>106.60714285714285</v>
      </c>
      <c r="N426" s="60">
        <v>995</v>
      </c>
      <c r="O426" s="61" t="s">
        <v>2102</v>
      </c>
      <c r="P426" s="29" t="s">
        <v>1482</v>
      </c>
      <c r="Q426" s="29" t="s">
        <v>65</v>
      </c>
      <c r="R426" s="25">
        <v>0</v>
      </c>
    </row>
    <row r="427" spans="1:18" x14ac:dyDescent="0.3">
      <c r="A427" s="59">
        <v>45239</v>
      </c>
      <c r="B427" s="33" t="s">
        <v>2103</v>
      </c>
      <c r="C427" s="32" t="s">
        <v>2104</v>
      </c>
      <c r="D427" s="32" t="s">
        <v>2105</v>
      </c>
      <c r="E427" s="44" t="s">
        <v>2106</v>
      </c>
      <c r="F427" s="44" t="s">
        <v>2107</v>
      </c>
      <c r="G427" s="44" t="s">
        <v>1919</v>
      </c>
      <c r="H427" s="29">
        <v>3</v>
      </c>
      <c r="I427" s="29" t="s">
        <v>617</v>
      </c>
      <c r="J427" s="29" t="s">
        <v>821</v>
      </c>
      <c r="K427" s="29" t="s">
        <v>200</v>
      </c>
      <c r="L427" s="23">
        <f t="shared" si="16"/>
        <v>803.57142857142844</v>
      </c>
      <c r="M427" s="23">
        <f t="shared" si="17"/>
        <v>96.428571428571416</v>
      </c>
      <c r="N427" s="60">
        <v>900</v>
      </c>
      <c r="O427" s="61" t="s">
        <v>2108</v>
      </c>
      <c r="P427" s="29" t="s">
        <v>548</v>
      </c>
      <c r="Q427" s="29" t="s">
        <v>65</v>
      </c>
      <c r="R427" s="25">
        <v>0</v>
      </c>
    </row>
    <row r="428" spans="1:18" x14ac:dyDescent="0.3">
      <c r="A428" s="59">
        <v>45239</v>
      </c>
      <c r="B428" s="33" t="s">
        <v>2109</v>
      </c>
      <c r="C428" s="32" t="s">
        <v>2110</v>
      </c>
      <c r="D428" s="32" t="s">
        <v>2111</v>
      </c>
      <c r="E428" s="44" t="s">
        <v>2112</v>
      </c>
      <c r="F428" s="44" t="s">
        <v>2113</v>
      </c>
      <c r="G428" s="44" t="s">
        <v>1919</v>
      </c>
      <c r="H428" s="29">
        <v>3</v>
      </c>
      <c r="I428" s="29" t="s">
        <v>605</v>
      </c>
      <c r="J428" s="29" t="s">
        <v>539</v>
      </c>
      <c r="K428" s="29" t="s">
        <v>2114</v>
      </c>
      <c r="L428" s="23">
        <f t="shared" si="16"/>
        <v>892.85714285714278</v>
      </c>
      <c r="M428" s="23">
        <f t="shared" si="17"/>
        <v>107.14285714285712</v>
      </c>
      <c r="N428" s="60">
        <v>1000</v>
      </c>
      <c r="O428" s="61" t="s">
        <v>2115</v>
      </c>
      <c r="P428" s="29" t="s">
        <v>337</v>
      </c>
      <c r="Q428" s="29" t="s">
        <v>225</v>
      </c>
      <c r="R428" s="25">
        <v>0</v>
      </c>
    </row>
    <row r="429" spans="1:18" x14ac:dyDescent="0.3">
      <c r="A429" s="59">
        <v>45239</v>
      </c>
      <c r="B429" s="33" t="s">
        <v>2116</v>
      </c>
      <c r="C429" s="32" t="s">
        <v>2117</v>
      </c>
      <c r="D429" s="32" t="s">
        <v>2118</v>
      </c>
      <c r="E429" s="44" t="s">
        <v>2119</v>
      </c>
      <c r="F429" s="44" t="s">
        <v>2120</v>
      </c>
      <c r="G429" s="44" t="s">
        <v>1926</v>
      </c>
      <c r="H429" s="29">
        <v>3</v>
      </c>
      <c r="I429" s="29" t="s">
        <v>605</v>
      </c>
      <c r="J429" s="29" t="s">
        <v>539</v>
      </c>
      <c r="K429" s="29" t="s">
        <v>200</v>
      </c>
      <c r="L429" s="23">
        <f t="shared" si="16"/>
        <v>624.99999999999989</v>
      </c>
      <c r="M429" s="23">
        <f t="shared" si="17"/>
        <v>74.999999999999986</v>
      </c>
      <c r="N429" s="60">
        <v>700</v>
      </c>
      <c r="O429" s="61"/>
      <c r="P429" s="29" t="s">
        <v>731</v>
      </c>
      <c r="Q429" s="29" t="s">
        <v>782</v>
      </c>
      <c r="R429" s="25">
        <v>0</v>
      </c>
    </row>
    <row r="430" spans="1:18" x14ac:dyDescent="0.3">
      <c r="A430" s="59">
        <v>45239</v>
      </c>
      <c r="B430" s="33" t="s">
        <v>2121</v>
      </c>
      <c r="C430" s="32" t="s">
        <v>2122</v>
      </c>
      <c r="D430" s="32" t="s">
        <v>2123</v>
      </c>
      <c r="E430" s="44" t="s">
        <v>2124</v>
      </c>
      <c r="F430" s="44" t="s">
        <v>2125</v>
      </c>
      <c r="G430" s="44" t="s">
        <v>1919</v>
      </c>
      <c r="H430" s="29">
        <v>4</v>
      </c>
      <c r="I430" s="29" t="s">
        <v>605</v>
      </c>
      <c r="J430" s="29" t="s">
        <v>539</v>
      </c>
      <c r="K430" s="29" t="s">
        <v>199</v>
      </c>
      <c r="L430" s="23">
        <f t="shared" si="16"/>
        <v>1071.4285714285713</v>
      </c>
      <c r="M430" s="23">
        <f t="shared" si="17"/>
        <v>128.57142857142856</v>
      </c>
      <c r="N430" s="60">
        <v>1200</v>
      </c>
      <c r="O430" s="61" t="s">
        <v>2126</v>
      </c>
      <c r="P430" s="29" t="s">
        <v>2127</v>
      </c>
      <c r="Q430" s="29" t="s">
        <v>1997</v>
      </c>
      <c r="R430" s="25">
        <v>0</v>
      </c>
    </row>
    <row r="431" spans="1:18" x14ac:dyDescent="0.3">
      <c r="A431" s="59">
        <v>45239</v>
      </c>
      <c r="B431" s="33" t="s">
        <v>2128</v>
      </c>
      <c r="C431" s="32" t="s">
        <v>2129</v>
      </c>
      <c r="D431" s="32" t="s">
        <v>2130</v>
      </c>
      <c r="E431" s="44" t="s">
        <v>2131</v>
      </c>
      <c r="F431" s="44" t="s">
        <v>2132</v>
      </c>
      <c r="G431" s="44" t="s">
        <v>1840</v>
      </c>
      <c r="H431" s="29">
        <v>4</v>
      </c>
      <c r="I431" s="29" t="s">
        <v>617</v>
      </c>
      <c r="J431" s="29" t="s">
        <v>539</v>
      </c>
      <c r="K431" s="29" t="s">
        <v>199</v>
      </c>
      <c r="L431" s="23">
        <f t="shared" si="16"/>
        <v>1339.2857142857142</v>
      </c>
      <c r="M431" s="23">
        <f t="shared" si="17"/>
        <v>160.71428571428569</v>
      </c>
      <c r="N431" s="60">
        <v>1500</v>
      </c>
      <c r="O431" s="61" t="s">
        <v>2133</v>
      </c>
      <c r="P431" s="29" t="s">
        <v>348</v>
      </c>
      <c r="Q431" s="29" t="s">
        <v>358</v>
      </c>
      <c r="R431" s="25">
        <v>0</v>
      </c>
    </row>
    <row r="432" spans="1:18" x14ac:dyDescent="0.3">
      <c r="A432" s="59">
        <v>45240</v>
      </c>
      <c r="B432" s="33" t="s">
        <v>2134</v>
      </c>
      <c r="C432" s="32" t="s">
        <v>2135</v>
      </c>
      <c r="D432" s="32" t="s">
        <v>2136</v>
      </c>
      <c r="E432" s="44" t="s">
        <v>2137</v>
      </c>
      <c r="F432" s="44" t="s">
        <v>2138</v>
      </c>
      <c r="G432" s="44" t="s">
        <v>1919</v>
      </c>
      <c r="H432" s="29">
        <v>2</v>
      </c>
      <c r="I432" s="29" t="s">
        <v>605</v>
      </c>
      <c r="J432" s="29" t="s">
        <v>539</v>
      </c>
      <c r="K432" s="29" t="s">
        <v>1005</v>
      </c>
      <c r="L432" s="23">
        <f t="shared" si="16"/>
        <v>446.42857142857139</v>
      </c>
      <c r="M432" s="23">
        <f t="shared" si="17"/>
        <v>53.571428571428562</v>
      </c>
      <c r="N432" s="62">
        <v>500</v>
      </c>
      <c r="O432" s="61" t="s">
        <v>2139</v>
      </c>
      <c r="P432" s="29" t="s">
        <v>2140</v>
      </c>
      <c r="Q432" s="29" t="s">
        <v>348</v>
      </c>
      <c r="R432" s="25">
        <v>0</v>
      </c>
    </row>
    <row r="433" spans="1:18" x14ac:dyDescent="0.3">
      <c r="A433" s="59">
        <v>45241</v>
      </c>
      <c r="B433" s="33" t="s">
        <v>2141</v>
      </c>
      <c r="C433" s="32" t="s">
        <v>2142</v>
      </c>
      <c r="D433" s="32" t="s">
        <v>2143</v>
      </c>
      <c r="E433" s="44" t="s">
        <v>2144</v>
      </c>
      <c r="F433" s="44" t="s">
        <v>2145</v>
      </c>
      <c r="G433" s="44" t="s">
        <v>1962</v>
      </c>
      <c r="H433" s="29">
        <v>10</v>
      </c>
      <c r="I433" s="29" t="s">
        <v>2146</v>
      </c>
      <c r="J433" s="29" t="s">
        <v>539</v>
      </c>
      <c r="K433" s="29" t="s">
        <v>332</v>
      </c>
      <c r="L433" s="23">
        <f t="shared" si="16"/>
        <v>4553.5714285714284</v>
      </c>
      <c r="M433" s="23">
        <f t="shared" si="17"/>
        <v>546.42857142857144</v>
      </c>
      <c r="N433" s="62">
        <v>5100</v>
      </c>
      <c r="O433" s="61" t="s">
        <v>2147</v>
      </c>
      <c r="P433" s="29" t="s">
        <v>548</v>
      </c>
      <c r="Q433" s="29" t="s">
        <v>348</v>
      </c>
      <c r="R433" s="25">
        <v>0</v>
      </c>
    </row>
    <row r="434" spans="1:18" x14ac:dyDescent="0.3">
      <c r="A434" s="59">
        <v>45241</v>
      </c>
      <c r="B434" s="33" t="s">
        <v>2148</v>
      </c>
      <c r="C434" s="32" t="s">
        <v>2149</v>
      </c>
      <c r="D434" s="32" t="s">
        <v>2150</v>
      </c>
      <c r="E434" s="44" t="s">
        <v>2151</v>
      </c>
      <c r="F434" s="44" t="s">
        <v>2152</v>
      </c>
      <c r="G434" s="44" t="s">
        <v>2153</v>
      </c>
      <c r="H434" s="29">
        <v>15</v>
      </c>
      <c r="I434" s="29" t="s">
        <v>617</v>
      </c>
      <c r="J434" s="250" t="s">
        <v>1090</v>
      </c>
      <c r="K434" s="251"/>
      <c r="L434" s="23">
        <f t="shared" ref="L434:L497" si="18">+N434/1.12</f>
        <v>2232.1428571428569</v>
      </c>
      <c r="M434" s="23">
        <f t="shared" ref="M434:M497" si="19">+L434*12%</f>
        <v>267.85714285714283</v>
      </c>
      <c r="N434" s="60">
        <v>2500</v>
      </c>
      <c r="O434" s="61" t="s">
        <v>2154</v>
      </c>
      <c r="P434" s="29" t="s">
        <v>224</v>
      </c>
      <c r="Q434" s="29" t="s">
        <v>58</v>
      </c>
      <c r="R434" s="25">
        <v>0</v>
      </c>
    </row>
    <row r="435" spans="1:18" x14ac:dyDescent="0.3">
      <c r="A435" s="59">
        <v>45243</v>
      </c>
      <c r="B435" s="33" t="s">
        <v>2155</v>
      </c>
      <c r="C435" s="32" t="s">
        <v>2156</v>
      </c>
      <c r="D435" s="32" t="s">
        <v>2157</v>
      </c>
      <c r="E435" s="44" t="s">
        <v>2158</v>
      </c>
      <c r="F435" s="44" t="s">
        <v>2159</v>
      </c>
      <c r="G435" s="44" t="s">
        <v>1919</v>
      </c>
      <c r="H435" s="29">
        <v>3</v>
      </c>
      <c r="I435" s="29" t="s">
        <v>617</v>
      </c>
      <c r="J435" s="29" t="s">
        <v>539</v>
      </c>
      <c r="K435" s="29" t="s">
        <v>1005</v>
      </c>
      <c r="L435" s="23">
        <f t="shared" si="18"/>
        <v>937.49999999999989</v>
      </c>
      <c r="M435" s="23">
        <f t="shared" si="19"/>
        <v>112.49999999999999</v>
      </c>
      <c r="N435" s="60">
        <v>1050</v>
      </c>
      <c r="O435" s="61" t="s">
        <v>2160</v>
      </c>
      <c r="P435" s="29" t="s">
        <v>2140</v>
      </c>
      <c r="Q435" s="29" t="s">
        <v>2161</v>
      </c>
      <c r="R435" s="25">
        <v>0</v>
      </c>
    </row>
    <row r="436" spans="1:18" x14ac:dyDescent="0.3">
      <c r="A436" s="59">
        <v>45243</v>
      </c>
      <c r="B436" s="33" t="s">
        <v>2162</v>
      </c>
      <c r="C436" s="32" t="s">
        <v>2163</v>
      </c>
      <c r="D436" s="32" t="s">
        <v>2164</v>
      </c>
      <c r="E436" s="44" t="s">
        <v>2165</v>
      </c>
      <c r="F436" s="44" t="s">
        <v>2166</v>
      </c>
      <c r="G436" s="44" t="s">
        <v>1919</v>
      </c>
      <c r="H436" s="29">
        <v>3</v>
      </c>
      <c r="I436" s="29" t="s">
        <v>605</v>
      </c>
      <c r="J436" s="29" t="s">
        <v>539</v>
      </c>
      <c r="K436" s="29" t="s">
        <v>1005</v>
      </c>
      <c r="L436" s="23">
        <f t="shared" si="18"/>
        <v>491.0714285714285</v>
      </c>
      <c r="M436" s="23">
        <f t="shared" si="19"/>
        <v>58.928571428571416</v>
      </c>
      <c r="N436" s="60">
        <v>550</v>
      </c>
      <c r="O436" s="61" t="s">
        <v>2167</v>
      </c>
      <c r="P436" s="29" t="s">
        <v>2168</v>
      </c>
      <c r="Q436" s="29" t="s">
        <v>2169</v>
      </c>
      <c r="R436" s="25">
        <v>0</v>
      </c>
    </row>
    <row r="437" spans="1:18" x14ac:dyDescent="0.3">
      <c r="A437" s="59">
        <v>45244</v>
      </c>
      <c r="B437" s="33" t="s">
        <v>2170</v>
      </c>
      <c r="C437" s="32" t="s">
        <v>2171</v>
      </c>
      <c r="D437" s="32" t="s">
        <v>2172</v>
      </c>
      <c r="E437" s="44" t="s">
        <v>2173</v>
      </c>
      <c r="F437" s="44" t="s">
        <v>2174</v>
      </c>
      <c r="G437" s="44" t="s">
        <v>1919</v>
      </c>
      <c r="H437" s="29">
        <v>5</v>
      </c>
      <c r="I437" s="29" t="s">
        <v>2175</v>
      </c>
      <c r="J437" s="29" t="s">
        <v>539</v>
      </c>
      <c r="K437" s="29" t="s">
        <v>199</v>
      </c>
      <c r="L437" s="23">
        <f t="shared" si="18"/>
        <v>1339.2857142857142</v>
      </c>
      <c r="M437" s="23">
        <f t="shared" si="19"/>
        <v>160.71428571428569</v>
      </c>
      <c r="N437" s="60">
        <v>1500</v>
      </c>
      <c r="O437" s="61" t="s">
        <v>2176</v>
      </c>
      <c r="P437" s="29" t="s">
        <v>2140</v>
      </c>
      <c r="Q437" s="29" t="s">
        <v>2169</v>
      </c>
      <c r="R437" s="25">
        <v>0</v>
      </c>
    </row>
    <row r="438" spans="1:18" x14ac:dyDescent="0.3">
      <c r="A438" s="59">
        <v>45244</v>
      </c>
      <c r="B438" s="33" t="s">
        <v>2177</v>
      </c>
      <c r="C438" s="32" t="s">
        <v>2178</v>
      </c>
      <c r="D438" s="32" t="s">
        <v>2179</v>
      </c>
      <c r="E438" s="44" t="s">
        <v>2180</v>
      </c>
      <c r="F438" s="44" t="s">
        <v>2181</v>
      </c>
      <c r="G438" s="44" t="s">
        <v>1919</v>
      </c>
      <c r="H438" s="29">
        <v>3</v>
      </c>
      <c r="I438" s="29" t="s">
        <v>1865</v>
      </c>
      <c r="J438" s="29" t="s">
        <v>539</v>
      </c>
      <c r="K438" s="29" t="s">
        <v>1005</v>
      </c>
      <c r="L438" s="23">
        <f t="shared" si="18"/>
        <v>624.99999999999989</v>
      </c>
      <c r="M438" s="23">
        <f t="shared" si="19"/>
        <v>74.999999999999986</v>
      </c>
      <c r="N438" s="60">
        <v>700</v>
      </c>
      <c r="O438" s="61" t="s">
        <v>2182</v>
      </c>
      <c r="P438" s="29" t="s">
        <v>348</v>
      </c>
      <c r="Q438" s="29" t="s">
        <v>348</v>
      </c>
      <c r="R438" s="25">
        <v>0</v>
      </c>
    </row>
    <row r="439" spans="1:18" x14ac:dyDescent="0.3">
      <c r="A439" s="59">
        <v>45244</v>
      </c>
      <c r="B439" s="33" t="s">
        <v>2183</v>
      </c>
      <c r="C439" s="32"/>
      <c r="D439" s="32"/>
      <c r="E439" s="44"/>
      <c r="F439" s="44"/>
      <c r="G439" s="44"/>
      <c r="H439" s="29"/>
      <c r="I439" s="29"/>
      <c r="J439" s="29"/>
      <c r="K439" s="29"/>
      <c r="L439" s="23">
        <f t="shared" si="18"/>
        <v>0</v>
      </c>
      <c r="M439" s="23">
        <f t="shared" si="19"/>
        <v>0</v>
      </c>
      <c r="N439" s="60"/>
      <c r="O439" s="61"/>
      <c r="P439" s="29"/>
      <c r="Q439" s="29"/>
      <c r="R439" s="25">
        <v>0</v>
      </c>
    </row>
    <row r="440" spans="1:18" x14ac:dyDescent="0.3">
      <c r="A440" s="59">
        <v>45244</v>
      </c>
      <c r="B440" s="33" t="s">
        <v>2184</v>
      </c>
      <c r="C440" s="32" t="s">
        <v>2185</v>
      </c>
      <c r="D440" s="32" t="s">
        <v>2186</v>
      </c>
      <c r="E440" s="44" t="s">
        <v>2187</v>
      </c>
      <c r="F440" s="44" t="s">
        <v>2188</v>
      </c>
      <c r="G440" s="44" t="s">
        <v>1833</v>
      </c>
      <c r="H440" s="29">
        <v>4</v>
      </c>
      <c r="I440" s="29" t="s">
        <v>617</v>
      </c>
      <c r="J440" s="29" t="s">
        <v>539</v>
      </c>
      <c r="K440" s="29" t="s">
        <v>1631</v>
      </c>
      <c r="L440" s="23">
        <f t="shared" si="18"/>
        <v>1071.4285714285713</v>
      </c>
      <c r="M440" s="23">
        <f t="shared" si="19"/>
        <v>128.57142857142856</v>
      </c>
      <c r="N440" s="60">
        <v>1200</v>
      </c>
      <c r="O440" s="61" t="s">
        <v>2189</v>
      </c>
      <c r="P440" s="29" t="s">
        <v>335</v>
      </c>
      <c r="Q440" s="29" t="s">
        <v>782</v>
      </c>
      <c r="R440" s="25">
        <v>0</v>
      </c>
    </row>
    <row r="441" spans="1:18" x14ac:dyDescent="0.3">
      <c r="A441" s="59">
        <v>45244</v>
      </c>
      <c r="B441" s="33" t="s">
        <v>2190</v>
      </c>
      <c r="C441" s="32" t="s">
        <v>2191</v>
      </c>
      <c r="D441" s="32" t="s">
        <v>2192</v>
      </c>
      <c r="E441" s="44" t="s">
        <v>2193</v>
      </c>
      <c r="F441" s="44" t="s">
        <v>2194</v>
      </c>
      <c r="G441" s="44" t="s">
        <v>1919</v>
      </c>
      <c r="H441" s="29">
        <v>3</v>
      </c>
      <c r="I441" s="29" t="s">
        <v>605</v>
      </c>
      <c r="J441" s="29" t="s">
        <v>539</v>
      </c>
      <c r="K441" s="29" t="s">
        <v>200</v>
      </c>
      <c r="L441" s="23">
        <f t="shared" si="18"/>
        <v>446.42857142857139</v>
      </c>
      <c r="M441" s="23">
        <f t="shared" si="19"/>
        <v>53.571428571428562</v>
      </c>
      <c r="N441" s="60">
        <v>500</v>
      </c>
      <c r="O441" s="61" t="s">
        <v>2195</v>
      </c>
      <c r="P441" s="29" t="s">
        <v>337</v>
      </c>
      <c r="Q441" s="29" t="s">
        <v>225</v>
      </c>
      <c r="R441" s="25">
        <v>0</v>
      </c>
    </row>
    <row r="442" spans="1:18" x14ac:dyDescent="0.3">
      <c r="A442" s="59">
        <v>45244</v>
      </c>
      <c r="B442" s="33" t="s">
        <v>2196</v>
      </c>
      <c r="C442" s="32" t="s">
        <v>2197</v>
      </c>
      <c r="D442" s="32" t="s">
        <v>2198</v>
      </c>
      <c r="E442" s="44" t="s">
        <v>2199</v>
      </c>
      <c r="F442" s="44" t="s">
        <v>2200</v>
      </c>
      <c r="G442" s="44" t="s">
        <v>1919</v>
      </c>
      <c r="H442" s="29">
        <v>3</v>
      </c>
      <c r="I442" s="29" t="s">
        <v>605</v>
      </c>
      <c r="J442" s="29" t="s">
        <v>539</v>
      </c>
      <c r="K442" s="29" t="s">
        <v>199</v>
      </c>
      <c r="L442" s="23">
        <f t="shared" si="18"/>
        <v>1071.4285714285713</v>
      </c>
      <c r="M442" s="23">
        <f t="shared" si="19"/>
        <v>128.57142857142856</v>
      </c>
      <c r="N442" s="60">
        <v>1200</v>
      </c>
      <c r="O442" s="61" t="s">
        <v>2201</v>
      </c>
      <c r="P442" s="29" t="s">
        <v>339</v>
      </c>
      <c r="Q442" s="29" t="s">
        <v>65</v>
      </c>
      <c r="R442" s="25">
        <v>0</v>
      </c>
    </row>
    <row r="443" spans="1:18" x14ac:dyDescent="0.3">
      <c r="A443" s="59">
        <v>45245</v>
      </c>
      <c r="B443" s="33" t="s">
        <v>2202</v>
      </c>
      <c r="C443" s="32" t="s">
        <v>2092</v>
      </c>
      <c r="D443" s="32" t="s">
        <v>2203</v>
      </c>
      <c r="E443" s="44" t="s">
        <v>2204</v>
      </c>
      <c r="F443" s="44" t="s">
        <v>2205</v>
      </c>
      <c r="G443" s="44" t="s">
        <v>1833</v>
      </c>
      <c r="H443" s="29">
        <v>3</v>
      </c>
      <c r="I443" s="45" t="s">
        <v>605</v>
      </c>
      <c r="J443" s="64" t="s">
        <v>539</v>
      </c>
      <c r="K443" s="65" t="s">
        <v>200</v>
      </c>
      <c r="L443" s="23">
        <f t="shared" si="18"/>
        <v>892.85714285714278</v>
      </c>
      <c r="M443" s="23">
        <f t="shared" si="19"/>
        <v>107.14285714285712</v>
      </c>
      <c r="N443" s="60">
        <v>1000</v>
      </c>
      <c r="O443" s="61" t="s">
        <v>2206</v>
      </c>
      <c r="P443" s="29" t="s">
        <v>224</v>
      </c>
      <c r="Q443" s="29" t="s">
        <v>58</v>
      </c>
      <c r="R443" s="25">
        <v>0</v>
      </c>
    </row>
    <row r="444" spans="1:18" x14ac:dyDescent="0.3">
      <c r="A444" s="59">
        <v>45245</v>
      </c>
      <c r="B444" s="33" t="s">
        <v>2207</v>
      </c>
      <c r="C444" s="32" t="s">
        <v>221</v>
      </c>
      <c r="D444" s="32" t="s">
        <v>2208</v>
      </c>
      <c r="E444" s="44" t="s">
        <v>2209</v>
      </c>
      <c r="F444" s="44" t="s">
        <v>2210</v>
      </c>
      <c r="G444" s="44" t="s">
        <v>1833</v>
      </c>
      <c r="H444" s="29">
        <v>3</v>
      </c>
      <c r="I444" s="29" t="s">
        <v>605</v>
      </c>
      <c r="J444" s="29" t="s">
        <v>539</v>
      </c>
      <c r="K444" s="29" t="s">
        <v>200</v>
      </c>
      <c r="L444" s="23">
        <f t="shared" si="18"/>
        <v>267.85714285714283</v>
      </c>
      <c r="M444" s="23">
        <f t="shared" si="19"/>
        <v>32.142857142857139</v>
      </c>
      <c r="N444" s="60">
        <v>300</v>
      </c>
      <c r="O444" s="61" t="s">
        <v>2211</v>
      </c>
      <c r="P444" s="29" t="s">
        <v>548</v>
      </c>
      <c r="Q444" s="29" t="s">
        <v>58</v>
      </c>
      <c r="R444" s="25">
        <v>0</v>
      </c>
    </row>
    <row r="445" spans="1:18" x14ac:dyDescent="0.3">
      <c r="A445" s="59">
        <v>45245</v>
      </c>
      <c r="B445" s="33" t="s">
        <v>2212</v>
      </c>
      <c r="C445" s="32" t="s">
        <v>2213</v>
      </c>
      <c r="D445" s="32" t="s">
        <v>2214</v>
      </c>
      <c r="E445" s="44" t="s">
        <v>2215</v>
      </c>
      <c r="F445" s="44" t="s">
        <v>2216</v>
      </c>
      <c r="G445" s="44" t="s">
        <v>1833</v>
      </c>
      <c r="H445" s="29">
        <v>3</v>
      </c>
      <c r="I445" s="29" t="s">
        <v>605</v>
      </c>
      <c r="J445" s="29" t="s">
        <v>539</v>
      </c>
      <c r="K445" s="29" t="s">
        <v>199</v>
      </c>
      <c r="L445" s="23">
        <f t="shared" si="18"/>
        <v>714.28571428571422</v>
      </c>
      <c r="M445" s="23">
        <f t="shared" si="19"/>
        <v>85.714285714285708</v>
      </c>
      <c r="N445" s="60">
        <v>800</v>
      </c>
      <c r="O445" s="61" t="s">
        <v>2217</v>
      </c>
      <c r="P445" s="29" t="s">
        <v>58</v>
      </c>
      <c r="Q445" s="29" t="s">
        <v>58</v>
      </c>
      <c r="R445" s="25">
        <v>0</v>
      </c>
    </row>
    <row r="446" spans="1:18" x14ac:dyDescent="0.3">
      <c r="A446" s="59">
        <v>45245</v>
      </c>
      <c r="B446" s="33" t="s">
        <v>2218</v>
      </c>
      <c r="C446" s="32" t="s">
        <v>2219</v>
      </c>
      <c r="D446" s="32" t="s">
        <v>2220</v>
      </c>
      <c r="E446" s="44" t="s">
        <v>2221</v>
      </c>
      <c r="F446" s="44" t="s">
        <v>2222</v>
      </c>
      <c r="G446" s="44" t="s">
        <v>2223</v>
      </c>
      <c r="H446" s="29">
        <v>12</v>
      </c>
      <c r="I446" s="29" t="s">
        <v>617</v>
      </c>
      <c r="J446" s="29" t="s">
        <v>539</v>
      </c>
      <c r="K446" s="29" t="s">
        <v>199</v>
      </c>
      <c r="L446" s="23">
        <f t="shared" si="18"/>
        <v>3562.4999999999995</v>
      </c>
      <c r="M446" s="23">
        <f t="shared" si="19"/>
        <v>427.49999999999994</v>
      </c>
      <c r="N446" s="60">
        <v>3990</v>
      </c>
      <c r="O446" s="61" t="s">
        <v>2224</v>
      </c>
      <c r="P446" s="29" t="s">
        <v>548</v>
      </c>
      <c r="Q446" s="29" t="s">
        <v>65</v>
      </c>
      <c r="R446" s="25">
        <v>0</v>
      </c>
    </row>
    <row r="447" spans="1:18" x14ac:dyDescent="0.3">
      <c r="A447" s="59">
        <v>45246</v>
      </c>
      <c r="B447" s="33" t="s">
        <v>2225</v>
      </c>
      <c r="C447" s="32" t="s">
        <v>2226</v>
      </c>
      <c r="D447" s="32" t="s">
        <v>2227</v>
      </c>
      <c r="E447" s="44" t="s">
        <v>2228</v>
      </c>
      <c r="F447" s="44" t="s">
        <v>2229</v>
      </c>
      <c r="G447" s="44" t="s">
        <v>2230</v>
      </c>
      <c r="H447" s="29">
        <v>3</v>
      </c>
      <c r="I447" s="29" t="s">
        <v>605</v>
      </c>
      <c r="J447" s="29" t="s">
        <v>539</v>
      </c>
      <c r="K447" s="29" t="s">
        <v>199</v>
      </c>
      <c r="L447" s="23">
        <f t="shared" si="18"/>
        <v>714.28571428571422</v>
      </c>
      <c r="M447" s="23">
        <f t="shared" si="19"/>
        <v>85.714285714285708</v>
      </c>
      <c r="N447" s="60">
        <v>800</v>
      </c>
      <c r="O447" s="61" t="s">
        <v>2231</v>
      </c>
      <c r="P447" s="29" t="s">
        <v>782</v>
      </c>
      <c r="Q447" s="29" t="s">
        <v>782</v>
      </c>
      <c r="R447" s="25">
        <v>0</v>
      </c>
    </row>
    <row r="448" spans="1:18" x14ac:dyDescent="0.3">
      <c r="A448" s="59">
        <v>45246</v>
      </c>
      <c r="B448" s="33" t="s">
        <v>2232</v>
      </c>
      <c r="C448" s="32" t="s">
        <v>2233</v>
      </c>
      <c r="D448" s="32" t="s">
        <v>2234</v>
      </c>
      <c r="E448" s="44" t="s">
        <v>2235</v>
      </c>
      <c r="F448" s="44" t="s">
        <v>2236</v>
      </c>
      <c r="G448" s="44" t="s">
        <v>1840</v>
      </c>
      <c r="H448" s="29">
        <v>5</v>
      </c>
      <c r="I448" s="29" t="s">
        <v>605</v>
      </c>
      <c r="J448" s="29" t="s">
        <v>821</v>
      </c>
      <c r="K448" s="29" t="s">
        <v>332</v>
      </c>
      <c r="L448" s="23">
        <f t="shared" si="18"/>
        <v>1776.7857142857142</v>
      </c>
      <c r="M448" s="23">
        <f t="shared" si="19"/>
        <v>213.21428571428569</v>
      </c>
      <c r="N448" s="60">
        <v>1990</v>
      </c>
      <c r="O448" s="61" t="s">
        <v>2237</v>
      </c>
      <c r="P448" s="29" t="s">
        <v>731</v>
      </c>
      <c r="Q448" s="29" t="s">
        <v>65</v>
      </c>
      <c r="R448" s="25">
        <v>0</v>
      </c>
    </row>
    <row r="449" spans="1:18" x14ac:dyDescent="0.3">
      <c r="A449" s="59">
        <v>45246</v>
      </c>
      <c r="B449" s="33" t="s">
        <v>2238</v>
      </c>
      <c r="C449" s="32" t="s">
        <v>2239</v>
      </c>
      <c r="D449" s="32" t="s">
        <v>2240</v>
      </c>
      <c r="E449" s="44" t="s">
        <v>2241</v>
      </c>
      <c r="F449" s="44" t="s">
        <v>2242</v>
      </c>
      <c r="G449" s="44" t="s">
        <v>1919</v>
      </c>
      <c r="H449" s="29">
        <v>3</v>
      </c>
      <c r="I449" s="29" t="s">
        <v>605</v>
      </c>
      <c r="J449" s="29" t="s">
        <v>539</v>
      </c>
      <c r="K449" s="29" t="s">
        <v>199</v>
      </c>
      <c r="L449" s="23">
        <f t="shared" si="18"/>
        <v>624.99999999999989</v>
      </c>
      <c r="M449" s="23">
        <f t="shared" si="19"/>
        <v>74.999999999999986</v>
      </c>
      <c r="N449" s="60">
        <v>700</v>
      </c>
      <c r="O449" s="61" t="s">
        <v>2243</v>
      </c>
      <c r="P449" s="29" t="s">
        <v>1482</v>
      </c>
      <c r="Q449" s="29" t="s">
        <v>65</v>
      </c>
      <c r="R449" s="25">
        <v>0</v>
      </c>
    </row>
    <row r="450" spans="1:18" x14ac:dyDescent="0.3">
      <c r="A450" s="59">
        <v>45246</v>
      </c>
      <c r="B450" s="33" t="s">
        <v>2244</v>
      </c>
      <c r="C450" s="32" t="s">
        <v>2245</v>
      </c>
      <c r="D450" s="32" t="s">
        <v>2246</v>
      </c>
      <c r="E450" s="44" t="s">
        <v>2247</v>
      </c>
      <c r="F450" s="44" t="s">
        <v>2248</v>
      </c>
      <c r="G450" s="44" t="s">
        <v>1919</v>
      </c>
      <c r="H450" s="29">
        <v>3</v>
      </c>
      <c r="I450" s="29" t="s">
        <v>605</v>
      </c>
      <c r="J450" s="29" t="s">
        <v>821</v>
      </c>
      <c r="K450" s="29" t="s">
        <v>200</v>
      </c>
      <c r="L450" s="23">
        <f t="shared" si="18"/>
        <v>624.99999999999989</v>
      </c>
      <c r="M450" s="23">
        <f t="shared" si="19"/>
        <v>74.999999999999986</v>
      </c>
      <c r="N450" s="60">
        <v>700</v>
      </c>
      <c r="O450" s="61" t="s">
        <v>2249</v>
      </c>
      <c r="P450" s="29" t="s">
        <v>548</v>
      </c>
      <c r="Q450" s="29" t="s">
        <v>58</v>
      </c>
      <c r="R450" s="25">
        <v>0</v>
      </c>
    </row>
    <row r="451" spans="1:18" x14ac:dyDescent="0.3">
      <c r="A451" s="59">
        <v>45247</v>
      </c>
      <c r="B451" s="33" t="s">
        <v>2250</v>
      </c>
      <c r="C451" s="32" t="s">
        <v>2251</v>
      </c>
      <c r="D451" s="32" t="s">
        <v>2252</v>
      </c>
      <c r="E451" s="44" t="s">
        <v>2253</v>
      </c>
      <c r="F451" s="44" t="s">
        <v>2254</v>
      </c>
      <c r="G451" s="44"/>
      <c r="H451" s="29">
        <v>7</v>
      </c>
      <c r="I451" s="29"/>
      <c r="J451" s="29"/>
      <c r="K451" s="29"/>
      <c r="L451" s="23">
        <f t="shared" si="18"/>
        <v>0</v>
      </c>
      <c r="M451" s="23">
        <f t="shared" si="19"/>
        <v>0</v>
      </c>
      <c r="N451" s="60"/>
      <c r="O451" s="61" t="s">
        <v>2255</v>
      </c>
      <c r="P451" s="29" t="s">
        <v>2256</v>
      </c>
      <c r="Q451" s="29" t="s">
        <v>2169</v>
      </c>
      <c r="R451" s="25">
        <v>0</v>
      </c>
    </row>
    <row r="452" spans="1:18" x14ac:dyDescent="0.3">
      <c r="A452" s="59">
        <v>45247</v>
      </c>
      <c r="B452" s="33" t="s">
        <v>2257</v>
      </c>
      <c r="C452" s="32" t="s">
        <v>2258</v>
      </c>
      <c r="D452" s="32" t="s">
        <v>2259</v>
      </c>
      <c r="E452" s="44" t="s">
        <v>2260</v>
      </c>
      <c r="F452" s="44" t="s">
        <v>2261</v>
      </c>
      <c r="G452" s="44" t="s">
        <v>1919</v>
      </c>
      <c r="H452" s="29">
        <v>3</v>
      </c>
      <c r="I452" s="29" t="s">
        <v>605</v>
      </c>
      <c r="J452" s="29" t="s">
        <v>539</v>
      </c>
      <c r="K452" s="29" t="s">
        <v>200</v>
      </c>
      <c r="L452" s="23">
        <f t="shared" si="18"/>
        <v>624.99999999999989</v>
      </c>
      <c r="M452" s="23">
        <f t="shared" si="19"/>
        <v>74.999999999999986</v>
      </c>
      <c r="N452" s="60">
        <v>700</v>
      </c>
      <c r="O452" s="61" t="s">
        <v>2262</v>
      </c>
      <c r="P452" s="29" t="s">
        <v>337</v>
      </c>
      <c r="Q452" s="29" t="s">
        <v>337</v>
      </c>
      <c r="R452" s="25">
        <v>0</v>
      </c>
    </row>
    <row r="453" spans="1:18" x14ac:dyDescent="0.3">
      <c r="A453" s="59">
        <v>45247</v>
      </c>
      <c r="B453" s="33" t="s">
        <v>2263</v>
      </c>
      <c r="C453" s="32" t="s">
        <v>2264</v>
      </c>
      <c r="D453" s="32" t="s">
        <v>2265</v>
      </c>
      <c r="E453" s="44" t="s">
        <v>2266</v>
      </c>
      <c r="F453" s="66" t="s">
        <v>2267</v>
      </c>
      <c r="G453" s="44" t="s">
        <v>1919</v>
      </c>
      <c r="H453" s="29">
        <v>3</v>
      </c>
      <c r="I453" s="29" t="s">
        <v>605</v>
      </c>
      <c r="J453" s="29" t="s">
        <v>539</v>
      </c>
      <c r="K453" s="29" t="s">
        <v>2114</v>
      </c>
      <c r="L453" s="23">
        <f t="shared" si="18"/>
        <v>892.85714285714278</v>
      </c>
      <c r="M453" s="23">
        <f t="shared" si="19"/>
        <v>107.14285714285712</v>
      </c>
      <c r="N453" s="60">
        <v>1000</v>
      </c>
      <c r="O453" s="61" t="s">
        <v>2268</v>
      </c>
      <c r="P453" s="29" t="s">
        <v>337</v>
      </c>
      <c r="Q453" s="29" t="s">
        <v>782</v>
      </c>
      <c r="R453" s="25">
        <v>0</v>
      </c>
    </row>
    <row r="454" spans="1:18" x14ac:dyDescent="0.3">
      <c r="A454" s="59">
        <v>45248</v>
      </c>
      <c r="B454" s="33" t="s">
        <v>2269</v>
      </c>
      <c r="C454" s="32"/>
      <c r="D454" s="32"/>
      <c r="E454" s="44"/>
      <c r="F454" s="44"/>
      <c r="G454" s="44"/>
      <c r="H454" s="29"/>
      <c r="I454" s="29"/>
      <c r="J454" s="29"/>
      <c r="K454" s="29"/>
      <c r="L454" s="23">
        <f t="shared" si="18"/>
        <v>0</v>
      </c>
      <c r="M454" s="23">
        <f t="shared" si="19"/>
        <v>0</v>
      </c>
      <c r="N454" s="60"/>
      <c r="O454" s="61"/>
      <c r="P454" s="29"/>
      <c r="Q454" s="29"/>
      <c r="R454" s="25">
        <v>0</v>
      </c>
    </row>
    <row r="455" spans="1:18" x14ac:dyDescent="0.3">
      <c r="A455" s="59">
        <v>45248</v>
      </c>
      <c r="B455" s="33" t="s">
        <v>2270</v>
      </c>
      <c r="C455" s="32" t="s">
        <v>2271</v>
      </c>
      <c r="D455" s="32" t="s">
        <v>2272</v>
      </c>
      <c r="E455" s="44" t="s">
        <v>2273</v>
      </c>
      <c r="F455" s="44" t="s">
        <v>2274</v>
      </c>
      <c r="G455" s="44" t="s">
        <v>1833</v>
      </c>
      <c r="H455" s="29">
        <v>4</v>
      </c>
      <c r="I455" s="29" t="s">
        <v>605</v>
      </c>
      <c r="J455" s="29" t="s">
        <v>539</v>
      </c>
      <c r="K455" s="29" t="s">
        <v>1005</v>
      </c>
      <c r="L455" s="23">
        <f t="shared" si="18"/>
        <v>1294.6428571428571</v>
      </c>
      <c r="M455" s="23">
        <f t="shared" si="19"/>
        <v>155.35714285714286</v>
      </c>
      <c r="N455" s="60">
        <v>1450</v>
      </c>
      <c r="O455" s="61" t="s">
        <v>2275</v>
      </c>
      <c r="P455" s="29" t="s">
        <v>335</v>
      </c>
      <c r="Q455" s="29" t="s">
        <v>58</v>
      </c>
      <c r="R455" s="25">
        <v>0</v>
      </c>
    </row>
    <row r="456" spans="1:18" x14ac:dyDescent="0.3">
      <c r="A456" s="59">
        <v>45248</v>
      </c>
      <c r="B456" s="33" t="s">
        <v>2276</v>
      </c>
      <c r="C456" s="32" t="s">
        <v>2277</v>
      </c>
      <c r="D456" s="32" t="s">
        <v>2278</v>
      </c>
      <c r="E456" s="44" t="s">
        <v>2279</v>
      </c>
      <c r="F456" s="44" t="s">
        <v>2280</v>
      </c>
      <c r="G456" s="44" t="s">
        <v>1826</v>
      </c>
      <c r="H456" s="29">
        <v>6</v>
      </c>
      <c r="I456" s="29" t="s">
        <v>617</v>
      </c>
      <c r="J456" s="29" t="s">
        <v>539</v>
      </c>
      <c r="K456" s="29" t="s">
        <v>332</v>
      </c>
      <c r="L456" s="23">
        <f t="shared" si="18"/>
        <v>1776.7857142857142</v>
      </c>
      <c r="M456" s="23">
        <f t="shared" si="19"/>
        <v>213.21428571428569</v>
      </c>
      <c r="N456" s="60">
        <v>1990</v>
      </c>
      <c r="O456" s="61" t="s">
        <v>2281</v>
      </c>
      <c r="P456" s="29" t="s">
        <v>1482</v>
      </c>
      <c r="Q456" s="29" t="s">
        <v>65</v>
      </c>
      <c r="R456" s="25">
        <v>0</v>
      </c>
    </row>
    <row r="457" spans="1:18" x14ac:dyDescent="0.3">
      <c r="A457" s="59">
        <v>45248</v>
      </c>
      <c r="B457" s="33" t="s">
        <v>2282</v>
      </c>
      <c r="C457" s="32" t="s">
        <v>2283</v>
      </c>
      <c r="D457" s="32" t="s">
        <v>2284</v>
      </c>
      <c r="E457" s="44" t="s">
        <v>2285</v>
      </c>
      <c r="F457" s="44" t="s">
        <v>2286</v>
      </c>
      <c r="G457" s="44" t="s">
        <v>1833</v>
      </c>
      <c r="H457" s="29">
        <v>5</v>
      </c>
      <c r="I457" s="29"/>
      <c r="J457" s="29"/>
      <c r="K457" s="29"/>
      <c r="L457" s="23">
        <f t="shared" si="18"/>
        <v>0</v>
      </c>
      <c r="M457" s="23">
        <f t="shared" si="19"/>
        <v>0</v>
      </c>
      <c r="N457" s="60"/>
      <c r="O457" s="61" t="s">
        <v>2287</v>
      </c>
      <c r="P457" s="29" t="s">
        <v>731</v>
      </c>
      <c r="Q457" s="29" t="s">
        <v>782</v>
      </c>
      <c r="R457" s="25">
        <v>0</v>
      </c>
    </row>
    <row r="458" spans="1:18" x14ac:dyDescent="0.3">
      <c r="A458" s="59">
        <v>45248</v>
      </c>
      <c r="B458" s="33" t="s">
        <v>2288</v>
      </c>
      <c r="C458" s="32" t="s">
        <v>2289</v>
      </c>
      <c r="D458" s="32" t="s">
        <v>2290</v>
      </c>
      <c r="E458" s="44" t="s">
        <v>2291</v>
      </c>
      <c r="F458" s="44" t="s">
        <v>2292</v>
      </c>
      <c r="G458" s="44" t="s">
        <v>1840</v>
      </c>
      <c r="H458" s="47">
        <v>6</v>
      </c>
      <c r="I458" s="47" t="s">
        <v>617</v>
      </c>
      <c r="J458" s="67" t="s">
        <v>539</v>
      </c>
      <c r="K458" s="67" t="s">
        <v>1005</v>
      </c>
      <c r="L458" s="23">
        <f t="shared" si="18"/>
        <v>1776.7857142857142</v>
      </c>
      <c r="M458" s="23">
        <f t="shared" si="19"/>
        <v>213.21428571428569</v>
      </c>
      <c r="N458" s="68">
        <v>1990</v>
      </c>
      <c r="O458" s="61" t="s">
        <v>2293</v>
      </c>
      <c r="P458" s="29" t="s">
        <v>2140</v>
      </c>
      <c r="Q458" s="29" t="s">
        <v>348</v>
      </c>
      <c r="R458" s="25">
        <v>0</v>
      </c>
    </row>
    <row r="459" spans="1:18" x14ac:dyDescent="0.3">
      <c r="A459" s="59">
        <v>45248</v>
      </c>
      <c r="B459" s="33" t="s">
        <v>2294</v>
      </c>
      <c r="C459" s="32" t="s">
        <v>2295</v>
      </c>
      <c r="D459" s="32" t="s">
        <v>2296</v>
      </c>
      <c r="E459" s="44" t="s">
        <v>2297</v>
      </c>
      <c r="F459" s="44" t="s">
        <v>2298</v>
      </c>
      <c r="G459" s="44" t="s">
        <v>1962</v>
      </c>
      <c r="H459" s="29">
        <v>7</v>
      </c>
      <c r="I459" s="29" t="s">
        <v>2175</v>
      </c>
      <c r="J459" s="67" t="s">
        <v>539</v>
      </c>
      <c r="K459" s="67" t="s">
        <v>199</v>
      </c>
      <c r="L459" s="23">
        <f t="shared" si="18"/>
        <v>2187.5</v>
      </c>
      <c r="M459" s="23">
        <f t="shared" si="19"/>
        <v>262.5</v>
      </c>
      <c r="N459" s="62">
        <v>2450</v>
      </c>
      <c r="O459" s="61" t="s">
        <v>2299</v>
      </c>
      <c r="P459" s="29" t="s">
        <v>2256</v>
      </c>
      <c r="Q459" s="29" t="s">
        <v>2169</v>
      </c>
      <c r="R459" s="25">
        <v>0</v>
      </c>
    </row>
    <row r="460" spans="1:18" x14ac:dyDescent="0.3">
      <c r="A460" s="59">
        <v>45250</v>
      </c>
      <c r="B460" s="33" t="s">
        <v>2300</v>
      </c>
      <c r="C460" s="32" t="s">
        <v>2301</v>
      </c>
      <c r="D460" s="32" t="s">
        <v>2302</v>
      </c>
      <c r="E460" s="44" t="s">
        <v>2303</v>
      </c>
      <c r="F460" s="44" t="s">
        <v>2304</v>
      </c>
      <c r="G460" s="44" t="s">
        <v>1919</v>
      </c>
      <c r="H460" s="29">
        <v>3</v>
      </c>
      <c r="I460" s="29" t="s">
        <v>605</v>
      </c>
      <c r="J460" s="67" t="s">
        <v>539</v>
      </c>
      <c r="K460" s="67" t="s">
        <v>332</v>
      </c>
      <c r="L460" s="23">
        <f t="shared" si="18"/>
        <v>937.49999999999989</v>
      </c>
      <c r="M460" s="23">
        <f t="shared" si="19"/>
        <v>112.49999999999999</v>
      </c>
      <c r="N460" s="62">
        <v>1050</v>
      </c>
      <c r="O460" s="61" t="s">
        <v>2305</v>
      </c>
      <c r="P460" s="29" t="s">
        <v>348</v>
      </c>
      <c r="Q460" s="29" t="s">
        <v>2256</v>
      </c>
      <c r="R460" s="25">
        <v>0</v>
      </c>
    </row>
    <row r="461" spans="1:18" x14ac:dyDescent="0.3">
      <c r="A461" s="59">
        <v>45251</v>
      </c>
      <c r="B461" s="33" t="s">
        <v>2306</v>
      </c>
      <c r="C461" s="32" t="s">
        <v>2307</v>
      </c>
      <c r="D461" s="32" t="s">
        <v>2308</v>
      </c>
      <c r="E461" s="44" t="s">
        <v>2309</v>
      </c>
      <c r="F461" s="44" t="s">
        <v>2310</v>
      </c>
      <c r="G461" s="44" t="s">
        <v>1833</v>
      </c>
      <c r="H461" s="29">
        <v>5</v>
      </c>
      <c r="I461" s="29" t="s">
        <v>617</v>
      </c>
      <c r="J461" s="67" t="s">
        <v>539</v>
      </c>
      <c r="K461" s="67" t="s">
        <v>200</v>
      </c>
      <c r="L461" s="23">
        <f t="shared" si="18"/>
        <v>1776.7857142857142</v>
      </c>
      <c r="M461" s="23">
        <f t="shared" si="19"/>
        <v>213.21428571428569</v>
      </c>
      <c r="N461" s="62">
        <v>1990</v>
      </c>
      <c r="O461" s="61" t="s">
        <v>2311</v>
      </c>
      <c r="P461" s="29" t="s">
        <v>225</v>
      </c>
      <c r="Q461" s="29" t="s">
        <v>225</v>
      </c>
      <c r="R461" s="25">
        <v>0</v>
      </c>
    </row>
    <row r="462" spans="1:18" x14ac:dyDescent="0.3">
      <c r="A462" s="59">
        <v>45251</v>
      </c>
      <c r="B462" s="33" t="s">
        <v>2312</v>
      </c>
      <c r="C462" s="32" t="s">
        <v>2313</v>
      </c>
      <c r="D462" s="32" t="s">
        <v>2314</v>
      </c>
      <c r="E462" s="44" t="s">
        <v>2315</v>
      </c>
      <c r="F462" s="44" t="s">
        <v>2316</v>
      </c>
      <c r="G462" s="44" t="s">
        <v>1919</v>
      </c>
      <c r="H462" s="29">
        <v>3</v>
      </c>
      <c r="I462" s="29" t="s">
        <v>605</v>
      </c>
      <c r="J462" s="67" t="s">
        <v>539</v>
      </c>
      <c r="K462" s="67" t="s">
        <v>199</v>
      </c>
      <c r="L462" s="23">
        <f t="shared" si="18"/>
        <v>624.99999999999989</v>
      </c>
      <c r="M462" s="23">
        <f t="shared" si="19"/>
        <v>74.999999999999986</v>
      </c>
      <c r="N462" s="62">
        <v>700</v>
      </c>
      <c r="O462" s="61" t="s">
        <v>2317</v>
      </c>
      <c r="P462" s="29" t="s">
        <v>339</v>
      </c>
      <c r="Q462" s="29" t="s">
        <v>65</v>
      </c>
      <c r="R462" s="25">
        <v>0</v>
      </c>
    </row>
    <row r="463" spans="1:18" x14ac:dyDescent="0.3">
      <c r="A463" s="59">
        <v>45251</v>
      </c>
      <c r="B463" s="33" t="s">
        <v>2318</v>
      </c>
      <c r="C463" s="32" t="s">
        <v>2319</v>
      </c>
      <c r="D463" s="32" t="s">
        <v>2320</v>
      </c>
      <c r="E463" s="44" t="s">
        <v>2321</v>
      </c>
      <c r="F463" s="44" t="s">
        <v>2322</v>
      </c>
      <c r="G463" s="44" t="s">
        <v>1833</v>
      </c>
      <c r="H463" s="29">
        <v>3</v>
      </c>
      <c r="I463" s="29" t="s">
        <v>605</v>
      </c>
      <c r="J463" s="67" t="s">
        <v>821</v>
      </c>
      <c r="K463" s="67" t="s">
        <v>199</v>
      </c>
      <c r="L463" s="23">
        <f t="shared" si="18"/>
        <v>624.99999999999989</v>
      </c>
      <c r="M463" s="23">
        <f t="shared" si="19"/>
        <v>74.999999999999986</v>
      </c>
      <c r="N463" s="62">
        <v>700</v>
      </c>
      <c r="O463" s="61" t="s">
        <v>2323</v>
      </c>
      <c r="P463" s="29" t="s">
        <v>335</v>
      </c>
      <c r="Q463" s="29" t="s">
        <v>782</v>
      </c>
      <c r="R463" s="25">
        <v>0</v>
      </c>
    </row>
    <row r="464" spans="1:18" x14ac:dyDescent="0.3">
      <c r="A464" s="59">
        <v>45254</v>
      </c>
      <c r="B464" s="33" t="s">
        <v>2324</v>
      </c>
      <c r="C464" s="32" t="s">
        <v>2325</v>
      </c>
      <c r="D464" s="32" t="s">
        <v>2326</v>
      </c>
      <c r="E464" s="44" t="s">
        <v>2327</v>
      </c>
      <c r="F464" s="44" t="s">
        <v>2328</v>
      </c>
      <c r="G464" s="44" t="s">
        <v>1826</v>
      </c>
      <c r="H464" s="29">
        <v>6</v>
      </c>
      <c r="I464" s="29" t="s">
        <v>605</v>
      </c>
      <c r="J464" s="52" t="s">
        <v>539</v>
      </c>
      <c r="K464" s="52" t="s">
        <v>200</v>
      </c>
      <c r="L464" s="23">
        <f t="shared" si="18"/>
        <v>2669.6428571428569</v>
      </c>
      <c r="M464" s="23">
        <f t="shared" si="19"/>
        <v>320.35714285714283</v>
      </c>
      <c r="N464" s="60">
        <v>2990</v>
      </c>
      <c r="O464" s="61" t="s">
        <v>2329</v>
      </c>
      <c r="P464" s="29" t="s">
        <v>2330</v>
      </c>
      <c r="Q464" s="29" t="s">
        <v>2161</v>
      </c>
      <c r="R464" s="25">
        <v>0</v>
      </c>
    </row>
    <row r="465" spans="1:18" x14ac:dyDescent="0.3">
      <c r="A465" s="59">
        <v>45254</v>
      </c>
      <c r="B465" s="33" t="s">
        <v>2331</v>
      </c>
      <c r="C465" s="32" t="s">
        <v>2332</v>
      </c>
      <c r="D465" s="32" t="s">
        <v>2333</v>
      </c>
      <c r="E465" s="44" t="s">
        <v>2334</v>
      </c>
      <c r="F465" s="44" t="s">
        <v>2335</v>
      </c>
      <c r="G465" s="44" t="s">
        <v>1840</v>
      </c>
      <c r="H465" s="29">
        <v>7</v>
      </c>
      <c r="I465" s="29"/>
      <c r="J465" s="52" t="s">
        <v>539</v>
      </c>
      <c r="K465" s="52" t="s">
        <v>200</v>
      </c>
      <c r="L465" s="23">
        <f t="shared" si="18"/>
        <v>1339.2857142857142</v>
      </c>
      <c r="M465" s="23">
        <f t="shared" si="19"/>
        <v>160.71428571428569</v>
      </c>
      <c r="N465" s="60">
        <v>1500</v>
      </c>
      <c r="O465" s="61" t="s">
        <v>2336</v>
      </c>
      <c r="P465" s="29" t="s">
        <v>2140</v>
      </c>
      <c r="Q465" s="29" t="s">
        <v>2337</v>
      </c>
      <c r="R465" s="25">
        <v>0</v>
      </c>
    </row>
    <row r="466" spans="1:18" x14ac:dyDescent="0.3">
      <c r="A466" s="59">
        <v>45254</v>
      </c>
      <c r="B466" s="33" t="s">
        <v>2338</v>
      </c>
      <c r="C466" s="32" t="s">
        <v>2339</v>
      </c>
      <c r="D466" s="32" t="s">
        <v>2340</v>
      </c>
      <c r="E466" s="44" t="s">
        <v>2341</v>
      </c>
      <c r="F466" s="44" t="s">
        <v>2342</v>
      </c>
      <c r="G466" s="44" t="s">
        <v>1840</v>
      </c>
      <c r="H466" s="29">
        <v>3</v>
      </c>
      <c r="I466" s="29" t="s">
        <v>617</v>
      </c>
      <c r="J466" s="52" t="s">
        <v>539</v>
      </c>
      <c r="K466" s="52" t="s">
        <v>200</v>
      </c>
      <c r="L466" s="23">
        <f t="shared" si="18"/>
        <v>1428.5714285714284</v>
      </c>
      <c r="M466" s="23">
        <f t="shared" si="19"/>
        <v>171.42857142857142</v>
      </c>
      <c r="N466" s="60">
        <v>1600</v>
      </c>
      <c r="O466" s="61" t="s">
        <v>2343</v>
      </c>
      <c r="P466" s="29" t="s">
        <v>2344</v>
      </c>
      <c r="Q466" s="29" t="s">
        <v>2169</v>
      </c>
      <c r="R466" s="25">
        <v>0</v>
      </c>
    </row>
    <row r="467" spans="1:18" x14ac:dyDescent="0.3">
      <c r="A467" s="59">
        <v>45255</v>
      </c>
      <c r="B467" s="33" t="s">
        <v>2345</v>
      </c>
      <c r="C467" s="32" t="s">
        <v>2346</v>
      </c>
      <c r="D467" s="32" t="s">
        <v>2347</v>
      </c>
      <c r="E467" s="44" t="s">
        <v>2348</v>
      </c>
      <c r="F467" s="44" t="s">
        <v>2349</v>
      </c>
      <c r="G467" s="44" t="s">
        <v>1840</v>
      </c>
      <c r="H467" s="29">
        <v>5</v>
      </c>
      <c r="I467" s="29" t="s">
        <v>2175</v>
      </c>
      <c r="J467" s="29" t="s">
        <v>539</v>
      </c>
      <c r="K467" s="29" t="s">
        <v>199</v>
      </c>
      <c r="L467" s="23">
        <f t="shared" si="18"/>
        <v>1776.7857142857142</v>
      </c>
      <c r="M467" s="23">
        <f t="shared" si="19"/>
        <v>213.21428571428569</v>
      </c>
      <c r="N467" s="62">
        <v>1990</v>
      </c>
      <c r="O467" s="61" t="s">
        <v>2350</v>
      </c>
      <c r="P467" s="29" t="s">
        <v>339</v>
      </c>
      <c r="Q467" s="29" t="s">
        <v>65</v>
      </c>
      <c r="R467" s="25">
        <v>0</v>
      </c>
    </row>
    <row r="468" spans="1:18" x14ac:dyDescent="0.3">
      <c r="A468" s="59">
        <v>45255</v>
      </c>
      <c r="B468" s="33" t="s">
        <v>2351</v>
      </c>
      <c r="C468" s="32" t="s">
        <v>2352</v>
      </c>
      <c r="D468" s="32" t="s">
        <v>2353</v>
      </c>
      <c r="E468" s="44" t="s">
        <v>2354</v>
      </c>
      <c r="F468" s="44" t="s">
        <v>2355</v>
      </c>
      <c r="G468" s="44" t="s">
        <v>1962</v>
      </c>
      <c r="H468" s="29">
        <v>8</v>
      </c>
      <c r="I468" s="29" t="s">
        <v>2175</v>
      </c>
      <c r="J468" s="29" t="s">
        <v>539</v>
      </c>
      <c r="K468" s="29" t="s">
        <v>2356</v>
      </c>
      <c r="L468" s="23">
        <f t="shared" si="18"/>
        <v>2669.6428571428569</v>
      </c>
      <c r="M468" s="23">
        <f t="shared" si="19"/>
        <v>320.35714285714283</v>
      </c>
      <c r="N468" s="62">
        <v>2990</v>
      </c>
      <c r="O468" s="61" t="s">
        <v>2357</v>
      </c>
      <c r="P468" s="29" t="s">
        <v>335</v>
      </c>
      <c r="Q468" s="29" t="s">
        <v>782</v>
      </c>
      <c r="R468" s="25">
        <v>0</v>
      </c>
    </row>
    <row r="469" spans="1:18" x14ac:dyDescent="0.3">
      <c r="A469" s="59">
        <v>45258</v>
      </c>
      <c r="B469" s="32" t="s">
        <v>2358</v>
      </c>
      <c r="C469" s="32" t="s">
        <v>2359</v>
      </c>
      <c r="D469" s="32" t="s">
        <v>2360</v>
      </c>
      <c r="E469" s="44" t="s">
        <v>2361</v>
      </c>
      <c r="F469" s="44" t="s">
        <v>2362</v>
      </c>
      <c r="G469" s="44" t="s">
        <v>1826</v>
      </c>
      <c r="H469" s="29">
        <v>7</v>
      </c>
      <c r="I469" s="29" t="s">
        <v>2175</v>
      </c>
      <c r="J469" s="29" t="s">
        <v>539</v>
      </c>
      <c r="K469" s="29" t="s">
        <v>1005</v>
      </c>
      <c r="L469" s="23">
        <f t="shared" si="18"/>
        <v>1874.9999999999998</v>
      </c>
      <c r="M469" s="23">
        <f t="shared" si="19"/>
        <v>224.99999999999997</v>
      </c>
      <c r="N469" s="62">
        <v>2100</v>
      </c>
      <c r="O469" s="61" t="s">
        <v>2363</v>
      </c>
      <c r="P469" s="29" t="s">
        <v>339</v>
      </c>
      <c r="Q469" s="29" t="s">
        <v>65</v>
      </c>
      <c r="R469" s="25">
        <v>0</v>
      </c>
    </row>
    <row r="470" spans="1:18" x14ac:dyDescent="0.3">
      <c r="A470" s="59">
        <v>45259</v>
      </c>
      <c r="B470" s="32" t="s">
        <v>2364</v>
      </c>
      <c r="C470" s="32" t="s">
        <v>2365</v>
      </c>
      <c r="D470" s="32" t="s">
        <v>2366</v>
      </c>
      <c r="E470" s="44" t="s">
        <v>2367</v>
      </c>
      <c r="F470" s="44" t="s">
        <v>2368</v>
      </c>
      <c r="G470" s="44" t="s">
        <v>1840</v>
      </c>
      <c r="H470" s="29">
        <v>5</v>
      </c>
      <c r="I470" s="29" t="s">
        <v>617</v>
      </c>
      <c r="J470" s="29" t="s">
        <v>821</v>
      </c>
      <c r="K470" s="29" t="s">
        <v>200</v>
      </c>
      <c r="L470" s="23">
        <f t="shared" si="18"/>
        <v>624.99999999999989</v>
      </c>
      <c r="M470" s="23">
        <f t="shared" si="19"/>
        <v>74.999999999999986</v>
      </c>
      <c r="N470" s="62">
        <v>700</v>
      </c>
      <c r="O470" s="61" t="s">
        <v>2369</v>
      </c>
      <c r="P470" s="29" t="s">
        <v>548</v>
      </c>
      <c r="Q470" s="29" t="s">
        <v>65</v>
      </c>
      <c r="R470" s="25">
        <v>0</v>
      </c>
    </row>
    <row r="471" spans="1:18" x14ac:dyDescent="0.3">
      <c r="A471" s="59">
        <v>45259</v>
      </c>
      <c r="B471" s="32" t="s">
        <v>2370</v>
      </c>
      <c r="C471" s="32" t="s">
        <v>2371</v>
      </c>
      <c r="D471" s="32" t="s">
        <v>2372</v>
      </c>
      <c r="E471" s="44" t="s">
        <v>2373</v>
      </c>
      <c r="F471" s="44" t="s">
        <v>2374</v>
      </c>
      <c r="G471" s="44" t="s">
        <v>1833</v>
      </c>
      <c r="H471" s="29">
        <v>4</v>
      </c>
      <c r="I471" s="45" t="s">
        <v>605</v>
      </c>
      <c r="J471" s="69" t="s">
        <v>539</v>
      </c>
      <c r="K471" s="70" t="s">
        <v>199</v>
      </c>
      <c r="L471" s="23">
        <f t="shared" si="18"/>
        <v>624.99999999999989</v>
      </c>
      <c r="M471" s="23">
        <f t="shared" si="19"/>
        <v>74.999999999999986</v>
      </c>
      <c r="N471" s="62">
        <v>700</v>
      </c>
      <c r="O471" s="61" t="s">
        <v>2375</v>
      </c>
      <c r="P471" s="29" t="s">
        <v>1482</v>
      </c>
      <c r="Q471" s="29" t="s">
        <v>782</v>
      </c>
      <c r="R471" s="25">
        <v>0</v>
      </c>
    </row>
    <row r="472" spans="1:18" x14ac:dyDescent="0.3">
      <c r="A472" s="59">
        <v>45260</v>
      </c>
      <c r="B472" s="32" t="s">
        <v>2376</v>
      </c>
      <c r="C472" s="32" t="s">
        <v>2377</v>
      </c>
      <c r="D472" s="32" t="s">
        <v>2378</v>
      </c>
      <c r="E472" s="44" t="s">
        <v>2379</v>
      </c>
      <c r="F472" s="44" t="s">
        <v>2380</v>
      </c>
      <c r="G472" s="44" t="s">
        <v>1833</v>
      </c>
      <c r="H472" s="29">
        <v>4</v>
      </c>
      <c r="I472" s="29" t="s">
        <v>605</v>
      </c>
      <c r="J472" s="29" t="s">
        <v>821</v>
      </c>
      <c r="K472" s="29" t="s">
        <v>200</v>
      </c>
      <c r="L472" s="23">
        <f t="shared" si="18"/>
        <v>714.28571428571422</v>
      </c>
      <c r="M472" s="23">
        <f t="shared" si="19"/>
        <v>85.714285714285708</v>
      </c>
      <c r="N472" s="62">
        <v>800</v>
      </c>
      <c r="O472" s="61" t="s">
        <v>2381</v>
      </c>
      <c r="P472" s="29" t="s">
        <v>337</v>
      </c>
      <c r="Q472" s="29" t="s">
        <v>782</v>
      </c>
      <c r="R472" s="25">
        <v>0</v>
      </c>
    </row>
    <row r="473" spans="1:18" x14ac:dyDescent="0.3">
      <c r="A473" s="59">
        <v>45260</v>
      </c>
      <c r="B473" s="32" t="s">
        <v>2382</v>
      </c>
      <c r="C473" s="32" t="s">
        <v>2383</v>
      </c>
      <c r="D473" s="32" t="s">
        <v>2384</v>
      </c>
      <c r="E473" s="44" t="s">
        <v>2385</v>
      </c>
      <c r="F473" s="44" t="s">
        <v>2386</v>
      </c>
      <c r="G473" s="44" t="s">
        <v>1919</v>
      </c>
      <c r="H473" s="29">
        <v>3</v>
      </c>
      <c r="I473" s="29" t="s">
        <v>605</v>
      </c>
      <c r="J473" s="29" t="s">
        <v>539</v>
      </c>
      <c r="K473" s="29" t="s">
        <v>199</v>
      </c>
      <c r="L473" s="23">
        <f t="shared" si="18"/>
        <v>624.99999999999989</v>
      </c>
      <c r="M473" s="23">
        <f t="shared" si="19"/>
        <v>74.999999999999986</v>
      </c>
      <c r="N473" s="62">
        <v>700</v>
      </c>
      <c r="O473" s="61" t="s">
        <v>2387</v>
      </c>
      <c r="P473" s="29" t="s">
        <v>1482</v>
      </c>
      <c r="Q473" s="29" t="s">
        <v>58</v>
      </c>
      <c r="R473" s="25">
        <v>0</v>
      </c>
    </row>
    <row r="474" spans="1:18" x14ac:dyDescent="0.3">
      <c r="A474" s="59">
        <v>45261</v>
      </c>
      <c r="B474" s="32" t="s">
        <v>2388</v>
      </c>
      <c r="C474" s="32" t="s">
        <v>2389</v>
      </c>
      <c r="D474" s="32" t="s">
        <v>2390</v>
      </c>
      <c r="E474" s="44" t="s">
        <v>2391</v>
      </c>
      <c r="F474" s="44" t="s">
        <v>2392</v>
      </c>
      <c r="G474" s="44" t="s">
        <v>1919</v>
      </c>
      <c r="H474" s="29">
        <v>3</v>
      </c>
      <c r="I474" s="29" t="s">
        <v>605</v>
      </c>
      <c r="J474" s="29" t="s">
        <v>539</v>
      </c>
      <c r="K474" s="29" t="s">
        <v>200</v>
      </c>
      <c r="L474" s="23">
        <f t="shared" si="18"/>
        <v>1071.4285714285713</v>
      </c>
      <c r="M474" s="23">
        <f t="shared" si="19"/>
        <v>128.57142857142856</v>
      </c>
      <c r="N474" s="60">
        <v>1200</v>
      </c>
      <c r="O474" s="61" t="s">
        <v>2393</v>
      </c>
      <c r="P474" s="29" t="s">
        <v>731</v>
      </c>
      <c r="Q474" s="29" t="s">
        <v>58</v>
      </c>
      <c r="R474" s="25">
        <v>0</v>
      </c>
    </row>
    <row r="475" spans="1:18" x14ac:dyDescent="0.3">
      <c r="A475" s="59">
        <v>45261</v>
      </c>
      <c r="B475" s="32" t="s">
        <v>2394</v>
      </c>
      <c r="C475" s="32" t="s">
        <v>2395</v>
      </c>
      <c r="D475" s="32" t="s">
        <v>2396</v>
      </c>
      <c r="E475" s="44" t="s">
        <v>2397</v>
      </c>
      <c r="F475" s="44" t="s">
        <v>2398</v>
      </c>
      <c r="G475" s="44" t="s">
        <v>1833</v>
      </c>
      <c r="H475" s="29">
        <v>8</v>
      </c>
      <c r="I475" s="29" t="s">
        <v>617</v>
      </c>
      <c r="J475" s="29" t="s">
        <v>539</v>
      </c>
      <c r="K475" s="29" t="s">
        <v>199</v>
      </c>
      <c r="L475" s="23">
        <f t="shared" si="18"/>
        <v>2669.6428571428569</v>
      </c>
      <c r="M475" s="23">
        <f t="shared" si="19"/>
        <v>320.35714285714283</v>
      </c>
      <c r="N475" s="60">
        <v>2990</v>
      </c>
      <c r="O475" s="61" t="s">
        <v>2399</v>
      </c>
      <c r="P475" s="29" t="s">
        <v>337</v>
      </c>
      <c r="Q475" s="29" t="s">
        <v>225</v>
      </c>
      <c r="R475" s="25">
        <v>0</v>
      </c>
    </row>
    <row r="476" spans="1:18" x14ac:dyDescent="0.3">
      <c r="A476" s="59">
        <v>45261</v>
      </c>
      <c r="B476" s="32" t="s">
        <v>2400</v>
      </c>
      <c r="C476" s="32" t="s">
        <v>2401</v>
      </c>
      <c r="D476" s="32" t="s">
        <v>2402</v>
      </c>
      <c r="E476" s="44" t="s">
        <v>2403</v>
      </c>
      <c r="F476" s="44" t="s">
        <v>2404</v>
      </c>
      <c r="G476" s="44" t="s">
        <v>1919</v>
      </c>
      <c r="H476" s="29">
        <v>5</v>
      </c>
      <c r="I476" s="29" t="s">
        <v>605</v>
      </c>
      <c r="J476" s="29" t="s">
        <v>2405</v>
      </c>
      <c r="K476" s="29" t="s">
        <v>199</v>
      </c>
      <c r="L476" s="23">
        <f t="shared" si="18"/>
        <v>1026.7857142857142</v>
      </c>
      <c r="M476" s="23">
        <f t="shared" si="19"/>
        <v>123.21428571428571</v>
      </c>
      <c r="N476" s="60">
        <v>1150</v>
      </c>
      <c r="O476" s="61" t="s">
        <v>2406</v>
      </c>
      <c r="P476" s="29" t="s">
        <v>2407</v>
      </c>
      <c r="Q476" s="29" t="s">
        <v>225</v>
      </c>
      <c r="R476" s="25">
        <v>0</v>
      </c>
    </row>
    <row r="477" spans="1:18" x14ac:dyDescent="0.3">
      <c r="A477" s="59">
        <v>45261</v>
      </c>
      <c r="B477" s="32" t="s">
        <v>2408</v>
      </c>
      <c r="C477" s="32" t="s">
        <v>2409</v>
      </c>
      <c r="D477" s="32" t="s">
        <v>2410</v>
      </c>
      <c r="E477" s="44" t="s">
        <v>2411</v>
      </c>
      <c r="F477" s="44" t="s">
        <v>2412</v>
      </c>
      <c r="G477" s="44" t="s">
        <v>1833</v>
      </c>
      <c r="H477" s="29">
        <v>5</v>
      </c>
      <c r="I477" s="29" t="s">
        <v>605</v>
      </c>
      <c r="J477" s="29" t="s">
        <v>539</v>
      </c>
      <c r="K477" s="29" t="s">
        <v>199</v>
      </c>
      <c r="L477" s="23">
        <f t="shared" si="18"/>
        <v>892.85714285714278</v>
      </c>
      <c r="M477" s="23">
        <f t="shared" si="19"/>
        <v>107.14285714285712</v>
      </c>
      <c r="N477" s="60">
        <v>1000</v>
      </c>
      <c r="O477" s="61" t="s">
        <v>2413</v>
      </c>
      <c r="P477" s="29" t="s">
        <v>339</v>
      </c>
      <c r="Q477" s="29" t="s">
        <v>782</v>
      </c>
      <c r="R477" s="25">
        <v>0</v>
      </c>
    </row>
    <row r="478" spans="1:18" x14ac:dyDescent="0.3">
      <c r="A478" s="59">
        <v>45261</v>
      </c>
      <c r="B478" s="32" t="s">
        <v>2414</v>
      </c>
      <c r="C478" s="32" t="s">
        <v>2415</v>
      </c>
      <c r="D478" s="32" t="s">
        <v>2416</v>
      </c>
      <c r="E478" s="44" t="s">
        <v>2417</v>
      </c>
      <c r="F478" s="44" t="s">
        <v>2418</v>
      </c>
      <c r="G478" s="44" t="s">
        <v>1962</v>
      </c>
      <c r="H478" s="29">
        <v>5</v>
      </c>
      <c r="I478" s="29" t="s">
        <v>605</v>
      </c>
      <c r="J478" s="29" t="s">
        <v>821</v>
      </c>
      <c r="K478" s="29" t="s">
        <v>200</v>
      </c>
      <c r="L478" s="23">
        <f t="shared" si="18"/>
        <v>803.57142857142844</v>
      </c>
      <c r="M478" s="23">
        <f t="shared" si="19"/>
        <v>96.428571428571416</v>
      </c>
      <c r="N478" s="60">
        <v>900</v>
      </c>
      <c r="O478" s="61" t="s">
        <v>2419</v>
      </c>
      <c r="P478" s="29" t="s">
        <v>1482</v>
      </c>
      <c r="Q478" s="29" t="s">
        <v>65</v>
      </c>
      <c r="R478" s="25">
        <v>0</v>
      </c>
    </row>
    <row r="479" spans="1:18" x14ac:dyDescent="0.3">
      <c r="A479" s="59">
        <v>45262</v>
      </c>
      <c r="B479" s="32" t="s">
        <v>2420</v>
      </c>
      <c r="C479" s="32" t="s">
        <v>2421</v>
      </c>
      <c r="D479" s="32" t="s">
        <v>2422</v>
      </c>
      <c r="E479" s="44" t="s">
        <v>2423</v>
      </c>
      <c r="F479" s="44" t="s">
        <v>2424</v>
      </c>
      <c r="G479" s="44" t="s">
        <v>1919</v>
      </c>
      <c r="H479" s="29">
        <v>4</v>
      </c>
      <c r="I479" s="29" t="s">
        <v>605</v>
      </c>
      <c r="J479" s="29" t="s">
        <v>539</v>
      </c>
      <c r="K479" s="29" t="s">
        <v>199</v>
      </c>
      <c r="L479" s="23">
        <f t="shared" si="18"/>
        <v>1339.2857142857142</v>
      </c>
      <c r="M479" s="23">
        <f t="shared" si="19"/>
        <v>160.71428571428569</v>
      </c>
      <c r="N479" s="60">
        <v>1500</v>
      </c>
      <c r="O479" s="61" t="s">
        <v>2425</v>
      </c>
      <c r="P479" s="29" t="s">
        <v>2256</v>
      </c>
      <c r="Q479" s="29" t="s">
        <v>348</v>
      </c>
      <c r="R479" s="25">
        <v>0</v>
      </c>
    </row>
    <row r="480" spans="1:18" x14ac:dyDescent="0.3">
      <c r="A480" s="59">
        <v>45265</v>
      </c>
      <c r="B480" s="32" t="s">
        <v>2426</v>
      </c>
      <c r="C480" s="32" t="s">
        <v>2427</v>
      </c>
      <c r="D480" s="32" t="s">
        <v>2428</v>
      </c>
      <c r="E480" s="44" t="s">
        <v>2429</v>
      </c>
      <c r="F480" s="44" t="s">
        <v>2430</v>
      </c>
      <c r="G480" s="44" t="s">
        <v>1926</v>
      </c>
      <c r="H480" s="29">
        <v>3</v>
      </c>
      <c r="I480" s="29" t="s">
        <v>605</v>
      </c>
      <c r="J480" s="29" t="s">
        <v>539</v>
      </c>
      <c r="K480" s="29" t="s">
        <v>200</v>
      </c>
      <c r="L480" s="23">
        <f t="shared" si="18"/>
        <v>714.28571428571422</v>
      </c>
      <c r="M480" s="23">
        <f t="shared" si="19"/>
        <v>85.714285714285708</v>
      </c>
      <c r="N480" s="60">
        <v>800</v>
      </c>
      <c r="O480" s="61" t="s">
        <v>2431</v>
      </c>
      <c r="P480" s="29" t="s">
        <v>337</v>
      </c>
      <c r="Q480" s="29" t="s">
        <v>58</v>
      </c>
      <c r="R480" s="25">
        <v>0</v>
      </c>
    </row>
    <row r="481" spans="1:18" x14ac:dyDescent="0.3">
      <c r="A481" s="59">
        <v>45265</v>
      </c>
      <c r="B481" s="32" t="s">
        <v>2432</v>
      </c>
      <c r="C481" s="32" t="s">
        <v>2433</v>
      </c>
      <c r="D481" s="32" t="s">
        <v>2434</v>
      </c>
      <c r="E481" s="44" t="s">
        <v>2435</v>
      </c>
      <c r="F481" s="44" t="s">
        <v>2436</v>
      </c>
      <c r="G481" s="44" t="s">
        <v>1926</v>
      </c>
      <c r="H481" s="29">
        <v>3</v>
      </c>
      <c r="I481" s="29" t="s">
        <v>605</v>
      </c>
      <c r="J481" s="29" t="s">
        <v>539</v>
      </c>
      <c r="K481" s="29" t="s">
        <v>199</v>
      </c>
      <c r="L481" s="23">
        <f t="shared" si="18"/>
        <v>624.99999999999989</v>
      </c>
      <c r="M481" s="23">
        <f t="shared" si="19"/>
        <v>74.999999999999986</v>
      </c>
      <c r="N481" s="60">
        <v>700</v>
      </c>
      <c r="O481" s="61" t="s">
        <v>2437</v>
      </c>
      <c r="P481" s="29" t="s">
        <v>1482</v>
      </c>
      <c r="Q481" s="29" t="s">
        <v>225</v>
      </c>
      <c r="R481" s="25">
        <v>0</v>
      </c>
    </row>
    <row r="482" spans="1:18" x14ac:dyDescent="0.3">
      <c r="A482" s="59">
        <v>45265</v>
      </c>
      <c r="B482" s="32" t="s">
        <v>2438</v>
      </c>
      <c r="C482" s="32" t="s">
        <v>2439</v>
      </c>
      <c r="D482" s="32" t="s">
        <v>2440</v>
      </c>
      <c r="E482" s="44" t="s">
        <v>2441</v>
      </c>
      <c r="F482" s="44" t="s">
        <v>2442</v>
      </c>
      <c r="G482" s="44" t="s">
        <v>1840</v>
      </c>
      <c r="H482" s="29">
        <v>10</v>
      </c>
      <c r="I482" s="29" t="s">
        <v>2443</v>
      </c>
      <c r="J482" s="29" t="s">
        <v>539</v>
      </c>
      <c r="K482" s="29" t="s">
        <v>200</v>
      </c>
      <c r="L482" s="23">
        <f t="shared" si="18"/>
        <v>3124.9999999999995</v>
      </c>
      <c r="M482" s="23">
        <f t="shared" si="19"/>
        <v>374.99999999999994</v>
      </c>
      <c r="N482" s="60">
        <v>3500</v>
      </c>
      <c r="O482" s="61" t="s">
        <v>2444</v>
      </c>
      <c r="P482" s="29" t="s">
        <v>548</v>
      </c>
      <c r="Q482" s="29" t="s">
        <v>348</v>
      </c>
      <c r="R482" s="25">
        <v>0</v>
      </c>
    </row>
    <row r="483" spans="1:18" x14ac:dyDescent="0.3">
      <c r="A483" s="59">
        <v>45265</v>
      </c>
      <c r="B483" s="32" t="s">
        <v>2445</v>
      </c>
      <c r="C483" s="32" t="s">
        <v>2446</v>
      </c>
      <c r="D483" s="32" t="s">
        <v>2447</v>
      </c>
      <c r="E483" s="44" t="s">
        <v>2448</v>
      </c>
      <c r="F483" s="44" t="s">
        <v>2449</v>
      </c>
      <c r="G483" s="44" t="s">
        <v>1926</v>
      </c>
      <c r="H483" s="29">
        <v>2</v>
      </c>
      <c r="I483" s="29" t="s">
        <v>605</v>
      </c>
      <c r="J483" s="29" t="s">
        <v>539</v>
      </c>
      <c r="K483" s="29" t="s">
        <v>1586</v>
      </c>
      <c r="L483" s="23">
        <f t="shared" si="18"/>
        <v>446.42857142857139</v>
      </c>
      <c r="M483" s="23">
        <f t="shared" si="19"/>
        <v>53.571428571428562</v>
      </c>
      <c r="N483" s="62">
        <v>500</v>
      </c>
      <c r="O483" s="61" t="s">
        <v>2450</v>
      </c>
      <c r="P483" s="29" t="s">
        <v>337</v>
      </c>
      <c r="Q483" s="29" t="s">
        <v>225</v>
      </c>
      <c r="R483" s="25">
        <v>0</v>
      </c>
    </row>
    <row r="484" spans="1:18" x14ac:dyDescent="0.3">
      <c r="A484" s="59">
        <v>45265</v>
      </c>
      <c r="B484" s="32" t="s">
        <v>2451</v>
      </c>
      <c r="C484" s="32" t="s">
        <v>2452</v>
      </c>
      <c r="D484" s="32" t="s">
        <v>2453</v>
      </c>
      <c r="E484" s="44" t="s">
        <v>2454</v>
      </c>
      <c r="F484" s="44" t="s">
        <v>2455</v>
      </c>
      <c r="G484" s="44" t="s">
        <v>1833</v>
      </c>
      <c r="H484" s="29">
        <v>6</v>
      </c>
      <c r="I484" s="29" t="s">
        <v>605</v>
      </c>
      <c r="J484" s="29" t="s">
        <v>821</v>
      </c>
      <c r="K484" s="29" t="s">
        <v>200</v>
      </c>
      <c r="L484" s="23">
        <f t="shared" si="18"/>
        <v>1339.2857142857142</v>
      </c>
      <c r="M484" s="23">
        <f t="shared" si="19"/>
        <v>160.71428571428569</v>
      </c>
      <c r="N484" s="62">
        <v>1500</v>
      </c>
      <c r="O484" s="61" t="s">
        <v>2456</v>
      </c>
      <c r="P484" s="29" t="s">
        <v>335</v>
      </c>
      <c r="Q484" s="29" t="s">
        <v>782</v>
      </c>
      <c r="R484" s="25">
        <v>0</v>
      </c>
    </row>
    <row r="485" spans="1:18" x14ac:dyDescent="0.3">
      <c r="A485" s="59">
        <v>45265</v>
      </c>
      <c r="B485" s="32" t="s">
        <v>2457</v>
      </c>
      <c r="C485" s="32" t="s">
        <v>2458</v>
      </c>
      <c r="D485" s="32" t="s">
        <v>2459</v>
      </c>
      <c r="E485" s="44" t="s">
        <v>2460</v>
      </c>
      <c r="F485" s="44" t="s">
        <v>2461</v>
      </c>
      <c r="G485" s="44" t="s">
        <v>1919</v>
      </c>
      <c r="H485" s="29">
        <v>5</v>
      </c>
      <c r="I485" s="29" t="s">
        <v>605</v>
      </c>
      <c r="J485" s="29" t="s">
        <v>539</v>
      </c>
      <c r="K485" s="29" t="s">
        <v>199</v>
      </c>
      <c r="L485" s="23">
        <f t="shared" si="18"/>
        <v>892.85714285714278</v>
      </c>
      <c r="M485" s="23">
        <f t="shared" si="19"/>
        <v>107.14285714285712</v>
      </c>
      <c r="N485" s="60">
        <v>1000</v>
      </c>
      <c r="O485" s="61" t="s">
        <v>2462</v>
      </c>
      <c r="P485" s="29" t="s">
        <v>1482</v>
      </c>
      <c r="Q485" s="29" t="s">
        <v>2169</v>
      </c>
      <c r="R485" s="25">
        <v>0</v>
      </c>
    </row>
    <row r="486" spans="1:18" x14ac:dyDescent="0.3">
      <c r="A486" s="59">
        <v>45266</v>
      </c>
      <c r="B486" s="32" t="s">
        <v>2463</v>
      </c>
      <c r="C486" s="32" t="s">
        <v>2464</v>
      </c>
      <c r="D486" s="32" t="s">
        <v>2465</v>
      </c>
      <c r="E486" s="44" t="s">
        <v>2466</v>
      </c>
      <c r="F486" s="44" t="s">
        <v>2467</v>
      </c>
      <c r="G486" s="44" t="s">
        <v>1833</v>
      </c>
      <c r="H486" s="29">
        <v>7</v>
      </c>
      <c r="I486" s="71" t="s">
        <v>2468</v>
      </c>
      <c r="J486" s="29" t="s">
        <v>539</v>
      </c>
      <c r="K486" s="29" t="s">
        <v>200</v>
      </c>
      <c r="L486" s="23">
        <f t="shared" si="18"/>
        <v>1785.7142857142856</v>
      </c>
      <c r="M486" s="23">
        <f t="shared" si="19"/>
        <v>214.28571428571425</v>
      </c>
      <c r="N486" s="60">
        <v>2000</v>
      </c>
      <c r="O486" s="61" t="s">
        <v>2469</v>
      </c>
      <c r="P486" s="29" t="s">
        <v>335</v>
      </c>
      <c r="Q486" s="29" t="s">
        <v>65</v>
      </c>
      <c r="R486" s="25">
        <v>0</v>
      </c>
    </row>
    <row r="487" spans="1:18" x14ac:dyDescent="0.3">
      <c r="A487" s="59">
        <v>45266</v>
      </c>
      <c r="B487" s="32" t="s">
        <v>2470</v>
      </c>
      <c r="C487" s="32" t="s">
        <v>2471</v>
      </c>
      <c r="D487" s="32" t="s">
        <v>2472</v>
      </c>
      <c r="E487" s="44" t="s">
        <v>2473</v>
      </c>
      <c r="F487" s="44" t="s">
        <v>2474</v>
      </c>
      <c r="G487" s="44" t="s">
        <v>1919</v>
      </c>
      <c r="H487" s="29">
        <v>5</v>
      </c>
      <c r="I487" s="29" t="s">
        <v>605</v>
      </c>
      <c r="J487" s="29" t="s">
        <v>821</v>
      </c>
      <c r="K487" s="29" t="s">
        <v>200</v>
      </c>
      <c r="L487" s="23">
        <f t="shared" si="18"/>
        <v>267.85714285714283</v>
      </c>
      <c r="M487" s="23">
        <f t="shared" si="19"/>
        <v>32.142857142857139</v>
      </c>
      <c r="N487" s="60">
        <v>300</v>
      </c>
      <c r="O487" s="61" t="s">
        <v>2475</v>
      </c>
      <c r="P487" s="29" t="s">
        <v>2256</v>
      </c>
      <c r="Q487" s="29" t="s">
        <v>225</v>
      </c>
      <c r="R487" s="25">
        <v>0</v>
      </c>
    </row>
    <row r="488" spans="1:18" x14ac:dyDescent="0.3">
      <c r="A488" s="59">
        <v>45266</v>
      </c>
      <c r="B488" s="32" t="s">
        <v>2476</v>
      </c>
      <c r="C488" s="32" t="s">
        <v>2477</v>
      </c>
      <c r="D488" s="32" t="s">
        <v>2478</v>
      </c>
      <c r="E488" s="44" t="s">
        <v>2479</v>
      </c>
      <c r="F488" s="44" t="s">
        <v>2480</v>
      </c>
      <c r="G488" s="44" t="s">
        <v>1919</v>
      </c>
      <c r="H488" s="29">
        <v>4</v>
      </c>
      <c r="I488" s="29" t="s">
        <v>605</v>
      </c>
      <c r="J488" s="29" t="s">
        <v>539</v>
      </c>
      <c r="K488" s="29" t="s">
        <v>1631</v>
      </c>
      <c r="L488" s="23">
        <f t="shared" si="18"/>
        <v>937.49999999999989</v>
      </c>
      <c r="M488" s="23">
        <f t="shared" si="19"/>
        <v>112.49999999999999</v>
      </c>
      <c r="N488" s="60">
        <v>1050</v>
      </c>
      <c r="O488" s="61" t="s">
        <v>2481</v>
      </c>
      <c r="P488" s="29" t="s">
        <v>348</v>
      </c>
      <c r="Q488" s="29" t="s">
        <v>2169</v>
      </c>
      <c r="R488" s="25">
        <v>0</v>
      </c>
    </row>
    <row r="489" spans="1:18" x14ac:dyDescent="0.3">
      <c r="A489" s="59">
        <v>45266</v>
      </c>
      <c r="B489" s="32" t="s">
        <v>2482</v>
      </c>
      <c r="C489" s="72" t="s">
        <v>2483</v>
      </c>
      <c r="D489" s="32" t="s">
        <v>2484</v>
      </c>
      <c r="E489" s="44" t="s">
        <v>2485</v>
      </c>
      <c r="F489" s="73" t="s">
        <v>2486</v>
      </c>
      <c r="G489" s="44" t="s">
        <v>1833</v>
      </c>
      <c r="H489" s="29">
        <v>6</v>
      </c>
      <c r="I489" s="29" t="s">
        <v>2487</v>
      </c>
      <c r="J489" s="29" t="s">
        <v>539</v>
      </c>
      <c r="K489" s="29" t="s">
        <v>2488</v>
      </c>
      <c r="L489" s="23">
        <f t="shared" si="18"/>
        <v>1160.7142857142856</v>
      </c>
      <c r="M489" s="23">
        <f t="shared" si="19"/>
        <v>139.28571428571425</v>
      </c>
      <c r="N489" s="60">
        <v>1300</v>
      </c>
      <c r="O489" s="61" t="s">
        <v>2489</v>
      </c>
      <c r="P489" s="29" t="s">
        <v>782</v>
      </c>
      <c r="Q489" s="29" t="s">
        <v>782</v>
      </c>
      <c r="R489" s="25">
        <v>0</v>
      </c>
    </row>
    <row r="490" spans="1:18" x14ac:dyDescent="0.3">
      <c r="A490" s="59">
        <v>45236</v>
      </c>
      <c r="B490" s="32" t="s">
        <v>2490</v>
      </c>
      <c r="C490" s="32" t="s">
        <v>2491</v>
      </c>
      <c r="D490" s="32" t="s">
        <v>2492</v>
      </c>
      <c r="E490" s="44" t="s">
        <v>2493</v>
      </c>
      <c r="F490" s="44" t="s">
        <v>2494</v>
      </c>
      <c r="G490" s="44" t="s">
        <v>1840</v>
      </c>
      <c r="H490" s="29">
        <v>3</v>
      </c>
      <c r="I490" s="29" t="s">
        <v>605</v>
      </c>
      <c r="J490" s="29" t="s">
        <v>539</v>
      </c>
      <c r="K490" s="29" t="s">
        <v>200</v>
      </c>
      <c r="L490" s="23">
        <f t="shared" si="18"/>
        <v>892.85714285714278</v>
      </c>
      <c r="M490" s="23">
        <f t="shared" si="19"/>
        <v>107.14285714285712</v>
      </c>
      <c r="N490" s="60">
        <v>1000</v>
      </c>
      <c r="O490" s="61" t="s">
        <v>2495</v>
      </c>
      <c r="P490" s="29" t="s">
        <v>348</v>
      </c>
      <c r="Q490" s="29" t="s">
        <v>337</v>
      </c>
      <c r="R490" s="25">
        <v>0</v>
      </c>
    </row>
    <row r="491" spans="1:18" x14ac:dyDescent="0.3">
      <c r="A491" s="59">
        <v>45236</v>
      </c>
      <c r="B491" s="32" t="s">
        <v>2496</v>
      </c>
      <c r="C491" s="32" t="s">
        <v>2497</v>
      </c>
      <c r="D491" s="32" t="s">
        <v>2498</v>
      </c>
      <c r="E491" s="44" t="s">
        <v>2499</v>
      </c>
      <c r="F491" s="44" t="s">
        <v>2500</v>
      </c>
      <c r="G491" s="44" t="s">
        <v>1919</v>
      </c>
      <c r="H491" s="29">
        <v>4</v>
      </c>
      <c r="I491" s="29" t="s">
        <v>617</v>
      </c>
      <c r="J491" s="29" t="s">
        <v>539</v>
      </c>
      <c r="K491" s="29" t="s">
        <v>1631</v>
      </c>
      <c r="L491" s="23">
        <f t="shared" si="18"/>
        <v>1383.9285714285713</v>
      </c>
      <c r="M491" s="23">
        <f t="shared" si="19"/>
        <v>166.07142857142856</v>
      </c>
      <c r="N491" s="60">
        <v>1550</v>
      </c>
      <c r="O491" s="61"/>
      <c r="P491" s="29" t="s">
        <v>2330</v>
      </c>
      <c r="Q491" s="29" t="s">
        <v>348</v>
      </c>
      <c r="R491" s="25">
        <v>0</v>
      </c>
    </row>
    <row r="492" spans="1:18" x14ac:dyDescent="0.3">
      <c r="A492" s="59">
        <v>45236</v>
      </c>
      <c r="B492" s="32" t="s">
        <v>2501</v>
      </c>
      <c r="C492" s="32" t="s">
        <v>1417</v>
      </c>
      <c r="D492" s="32" t="s">
        <v>2502</v>
      </c>
      <c r="E492" s="44" t="s">
        <v>2503</v>
      </c>
      <c r="F492" s="44" t="s">
        <v>2504</v>
      </c>
      <c r="G492" s="44" t="s">
        <v>1840</v>
      </c>
      <c r="H492" s="29">
        <v>8</v>
      </c>
      <c r="I492" s="29" t="s">
        <v>617</v>
      </c>
      <c r="J492" s="29" t="s">
        <v>539</v>
      </c>
      <c r="K492" s="29" t="s">
        <v>200</v>
      </c>
      <c r="L492" s="23">
        <f t="shared" si="18"/>
        <v>1830.3571428571427</v>
      </c>
      <c r="M492" s="23">
        <f t="shared" si="19"/>
        <v>219.64285714285711</v>
      </c>
      <c r="N492" s="60">
        <v>2050</v>
      </c>
      <c r="O492" s="61" t="s">
        <v>2505</v>
      </c>
      <c r="P492" s="29" t="s">
        <v>2256</v>
      </c>
      <c r="Q492" s="29" t="s">
        <v>2169</v>
      </c>
      <c r="R492" s="25">
        <v>0</v>
      </c>
    </row>
    <row r="493" spans="1:18" x14ac:dyDescent="0.3">
      <c r="A493" s="59">
        <v>45267</v>
      </c>
      <c r="B493" s="32" t="s">
        <v>2506</v>
      </c>
      <c r="C493" s="32" t="s">
        <v>2507</v>
      </c>
      <c r="D493" s="32" t="s">
        <v>2508</v>
      </c>
      <c r="E493" s="44" t="s">
        <v>2509</v>
      </c>
      <c r="F493" s="44" t="s">
        <v>2510</v>
      </c>
      <c r="G493" s="44" t="s">
        <v>1840</v>
      </c>
      <c r="H493" s="29">
        <v>5</v>
      </c>
      <c r="I493" s="29" t="s">
        <v>2487</v>
      </c>
      <c r="J493" s="29" t="s">
        <v>539</v>
      </c>
      <c r="K493" s="29" t="s">
        <v>200</v>
      </c>
      <c r="L493" s="23">
        <f t="shared" si="18"/>
        <v>1383.9285714285713</v>
      </c>
      <c r="M493" s="23">
        <f t="shared" si="19"/>
        <v>166.07142857142856</v>
      </c>
      <c r="N493" s="60">
        <v>1550</v>
      </c>
      <c r="O493" s="61" t="s">
        <v>2511</v>
      </c>
      <c r="P493" s="29" t="s">
        <v>339</v>
      </c>
      <c r="Q493" s="29" t="s">
        <v>2161</v>
      </c>
      <c r="R493" s="25">
        <v>0</v>
      </c>
    </row>
    <row r="494" spans="1:18" x14ac:dyDescent="0.3">
      <c r="A494" s="59">
        <v>45267</v>
      </c>
      <c r="B494" s="32" t="s">
        <v>2512</v>
      </c>
      <c r="C494" s="32" t="s">
        <v>2513</v>
      </c>
      <c r="D494" s="32" t="s">
        <v>2514</v>
      </c>
      <c r="E494" s="44" t="s">
        <v>2515</v>
      </c>
      <c r="F494" s="44" t="s">
        <v>2516</v>
      </c>
      <c r="G494" s="44" t="s">
        <v>1840</v>
      </c>
      <c r="H494" s="29">
        <v>7</v>
      </c>
      <c r="I494" s="45" t="s">
        <v>605</v>
      </c>
      <c r="J494" s="64" t="s">
        <v>539</v>
      </c>
      <c r="K494" s="65" t="s">
        <v>200</v>
      </c>
      <c r="L494" s="23">
        <f t="shared" si="18"/>
        <v>1919.6428571428569</v>
      </c>
      <c r="M494" s="23">
        <f t="shared" si="19"/>
        <v>230.3571428571428</v>
      </c>
      <c r="N494" s="60">
        <v>2150</v>
      </c>
      <c r="O494" s="61" t="s">
        <v>2517</v>
      </c>
      <c r="P494" s="29" t="s">
        <v>1482</v>
      </c>
      <c r="Q494" s="29" t="s">
        <v>2169</v>
      </c>
      <c r="R494" s="25">
        <v>0</v>
      </c>
    </row>
    <row r="495" spans="1:18" x14ac:dyDescent="0.3">
      <c r="A495" s="59">
        <v>45267</v>
      </c>
      <c r="B495" s="32" t="s">
        <v>2518</v>
      </c>
      <c r="C495" s="32" t="s">
        <v>2519</v>
      </c>
      <c r="D495" s="32" t="s">
        <v>2520</v>
      </c>
      <c r="E495" s="44" t="s">
        <v>2521</v>
      </c>
      <c r="F495" s="44" t="s">
        <v>2522</v>
      </c>
      <c r="G495" s="44" t="s">
        <v>1840</v>
      </c>
      <c r="H495" s="29">
        <v>10</v>
      </c>
      <c r="I495" s="29" t="s">
        <v>2487</v>
      </c>
      <c r="J495" s="29" t="s">
        <v>539</v>
      </c>
      <c r="K495" s="29" t="s">
        <v>200</v>
      </c>
      <c r="L495" s="23">
        <f t="shared" si="18"/>
        <v>3562.4999999999995</v>
      </c>
      <c r="M495" s="23">
        <f t="shared" si="19"/>
        <v>427.49999999999994</v>
      </c>
      <c r="N495" s="60">
        <v>3990</v>
      </c>
      <c r="O495" s="61" t="s">
        <v>2523</v>
      </c>
      <c r="P495" s="29" t="s">
        <v>548</v>
      </c>
      <c r="Q495" s="29" t="s">
        <v>2524</v>
      </c>
      <c r="R495" s="25">
        <v>0</v>
      </c>
    </row>
    <row r="496" spans="1:18" x14ac:dyDescent="0.3">
      <c r="A496" s="59">
        <v>45268</v>
      </c>
      <c r="B496" s="32" t="s">
        <v>2525</v>
      </c>
      <c r="C496" s="32" t="s">
        <v>2526</v>
      </c>
      <c r="D496" s="32" t="s">
        <v>2527</v>
      </c>
      <c r="E496" s="44" t="s">
        <v>2528</v>
      </c>
      <c r="F496" s="44" t="s">
        <v>2529</v>
      </c>
      <c r="G496" s="44" t="s">
        <v>1840</v>
      </c>
      <c r="H496" s="29">
        <v>7</v>
      </c>
      <c r="I496" s="29" t="s">
        <v>605</v>
      </c>
      <c r="J496" s="29" t="s">
        <v>539</v>
      </c>
      <c r="K496" s="29" t="s">
        <v>1005</v>
      </c>
      <c r="L496" s="23">
        <f t="shared" si="18"/>
        <v>1924.1071428571427</v>
      </c>
      <c r="M496" s="23">
        <f t="shared" si="19"/>
        <v>230.89285714285711</v>
      </c>
      <c r="N496" s="60">
        <v>2155</v>
      </c>
      <c r="O496" s="61" t="s">
        <v>2530</v>
      </c>
      <c r="P496" s="29" t="s">
        <v>339</v>
      </c>
      <c r="Q496" s="29" t="s">
        <v>782</v>
      </c>
      <c r="R496" s="25">
        <v>0</v>
      </c>
    </row>
    <row r="497" spans="1:18" x14ac:dyDescent="0.3">
      <c r="A497" s="59">
        <v>45268</v>
      </c>
      <c r="B497" s="32" t="s">
        <v>2531</v>
      </c>
      <c r="C497" s="32" t="s">
        <v>2532</v>
      </c>
      <c r="D497" s="32" t="s">
        <v>2533</v>
      </c>
      <c r="E497" s="44" t="s">
        <v>2534</v>
      </c>
      <c r="F497" s="44" t="s">
        <v>2535</v>
      </c>
      <c r="G497" s="44" t="s">
        <v>1840</v>
      </c>
      <c r="H497" s="29">
        <v>5</v>
      </c>
      <c r="I497" s="29" t="s">
        <v>605</v>
      </c>
      <c r="J497" s="29" t="s">
        <v>539</v>
      </c>
      <c r="K497" s="29" t="s">
        <v>200</v>
      </c>
      <c r="L497" s="23">
        <f t="shared" si="18"/>
        <v>1339.2857142857142</v>
      </c>
      <c r="M497" s="23">
        <f t="shared" si="19"/>
        <v>160.71428571428569</v>
      </c>
      <c r="N497" s="60">
        <v>1500</v>
      </c>
      <c r="O497" s="61" t="s">
        <v>2536</v>
      </c>
      <c r="P497" s="29" t="s">
        <v>548</v>
      </c>
      <c r="Q497" s="29" t="s">
        <v>65</v>
      </c>
      <c r="R497" s="25">
        <v>0</v>
      </c>
    </row>
    <row r="498" spans="1:18" x14ac:dyDescent="0.3">
      <c r="A498" s="59">
        <v>45268</v>
      </c>
      <c r="B498" s="32" t="s">
        <v>2537</v>
      </c>
      <c r="C498" s="32" t="s">
        <v>2538</v>
      </c>
      <c r="D498" s="32" t="s">
        <v>2539</v>
      </c>
      <c r="E498" s="44" t="s">
        <v>2540</v>
      </c>
      <c r="F498" s="44" t="s">
        <v>2541</v>
      </c>
      <c r="G498" s="44" t="s">
        <v>1840</v>
      </c>
      <c r="H498" s="29">
        <v>5</v>
      </c>
      <c r="I498" s="29" t="s">
        <v>605</v>
      </c>
      <c r="J498" s="29" t="s">
        <v>539</v>
      </c>
      <c r="K498" s="29" t="s">
        <v>200</v>
      </c>
      <c r="L498" s="23">
        <f t="shared" ref="L498:L560" si="20">+N498/1.12</f>
        <v>1160.7142857142856</v>
      </c>
      <c r="M498" s="23">
        <f t="shared" ref="M498:M560" si="21">+L498*12%</f>
        <v>139.28571428571425</v>
      </c>
      <c r="N498" s="60">
        <v>1300</v>
      </c>
      <c r="O498" s="61" t="s">
        <v>2542</v>
      </c>
      <c r="P498" s="29" t="s">
        <v>1482</v>
      </c>
      <c r="Q498" s="29" t="s">
        <v>2161</v>
      </c>
      <c r="R498" s="25">
        <v>0</v>
      </c>
    </row>
    <row r="499" spans="1:18" x14ac:dyDescent="0.3">
      <c r="A499" s="59">
        <v>45268</v>
      </c>
      <c r="B499" s="32" t="s">
        <v>2543</v>
      </c>
      <c r="C499" s="32" t="s">
        <v>2544</v>
      </c>
      <c r="D499" s="32" t="s">
        <v>2545</v>
      </c>
      <c r="E499" s="44" t="s">
        <v>2546</v>
      </c>
      <c r="F499" s="44" t="s">
        <v>2547</v>
      </c>
      <c r="G499" s="44" t="s">
        <v>1833</v>
      </c>
      <c r="H499" s="29">
        <v>3</v>
      </c>
      <c r="I499" s="29" t="s">
        <v>617</v>
      </c>
      <c r="J499" s="29" t="s">
        <v>539</v>
      </c>
      <c r="K499" s="29" t="s">
        <v>199</v>
      </c>
      <c r="L499" s="23">
        <f t="shared" si="20"/>
        <v>982.142857142857</v>
      </c>
      <c r="M499" s="23">
        <f t="shared" si="21"/>
        <v>117.85714285714283</v>
      </c>
      <c r="N499" s="60">
        <v>1100</v>
      </c>
      <c r="O499" s="61" t="s">
        <v>2548</v>
      </c>
      <c r="P499" s="29" t="s">
        <v>225</v>
      </c>
      <c r="Q499" s="29" t="s">
        <v>225</v>
      </c>
      <c r="R499" s="25">
        <v>0</v>
      </c>
    </row>
    <row r="500" spans="1:18" x14ac:dyDescent="0.3">
      <c r="A500" s="59">
        <v>45268</v>
      </c>
      <c r="B500" s="32" t="s">
        <v>2549</v>
      </c>
      <c r="C500" s="32" t="s">
        <v>2550</v>
      </c>
      <c r="D500" s="32" t="s">
        <v>2551</v>
      </c>
      <c r="E500" s="44" t="s">
        <v>2552</v>
      </c>
      <c r="F500" s="44" t="s">
        <v>2553</v>
      </c>
      <c r="G500" s="44" t="s">
        <v>1833</v>
      </c>
      <c r="H500" s="29">
        <v>3</v>
      </c>
      <c r="I500" s="29" t="s">
        <v>605</v>
      </c>
      <c r="J500" s="29" t="s">
        <v>539</v>
      </c>
      <c r="K500" s="29" t="s">
        <v>200</v>
      </c>
      <c r="L500" s="23">
        <f t="shared" si="20"/>
        <v>892.85714285714278</v>
      </c>
      <c r="M500" s="23">
        <f t="shared" si="21"/>
        <v>107.14285714285712</v>
      </c>
      <c r="N500" s="60">
        <v>1000</v>
      </c>
      <c r="O500" s="61" t="s">
        <v>2554</v>
      </c>
      <c r="P500" s="29" t="s">
        <v>2256</v>
      </c>
      <c r="Q500" s="29" t="s">
        <v>225</v>
      </c>
      <c r="R500" s="25">
        <v>0</v>
      </c>
    </row>
    <row r="501" spans="1:18" x14ac:dyDescent="0.3">
      <c r="A501" s="59">
        <v>45269</v>
      </c>
      <c r="B501" s="32" t="s">
        <v>2555</v>
      </c>
      <c r="C501" s="32" t="s">
        <v>2556</v>
      </c>
      <c r="D501" s="32" t="s">
        <v>2557</v>
      </c>
      <c r="E501" s="44" t="s">
        <v>2558</v>
      </c>
      <c r="F501" s="44" t="s">
        <v>2559</v>
      </c>
      <c r="G501" s="44" t="s">
        <v>1919</v>
      </c>
      <c r="H501" s="29">
        <v>8</v>
      </c>
      <c r="I501" s="29" t="s">
        <v>617</v>
      </c>
      <c r="J501" s="29" t="s">
        <v>539</v>
      </c>
      <c r="K501" s="29" t="s">
        <v>200</v>
      </c>
      <c r="L501" s="23">
        <f t="shared" si="20"/>
        <v>1830.3571428571427</v>
      </c>
      <c r="M501" s="23">
        <f t="shared" si="21"/>
        <v>219.64285714285711</v>
      </c>
      <c r="N501" s="60">
        <v>2050</v>
      </c>
      <c r="O501" s="61" t="s">
        <v>2560</v>
      </c>
      <c r="P501" s="29" t="s">
        <v>335</v>
      </c>
      <c r="Q501" s="29" t="s">
        <v>337</v>
      </c>
      <c r="R501" s="25">
        <v>0</v>
      </c>
    </row>
    <row r="502" spans="1:18" x14ac:dyDescent="0.3">
      <c r="A502" s="59">
        <v>45269</v>
      </c>
      <c r="B502" s="32" t="s">
        <v>2561</v>
      </c>
      <c r="C502" s="32" t="s">
        <v>2562</v>
      </c>
      <c r="D502" s="32" t="s">
        <v>2563</v>
      </c>
      <c r="E502" s="44" t="s">
        <v>2564</v>
      </c>
      <c r="F502" s="44" t="s">
        <v>2565</v>
      </c>
      <c r="G502" s="44" t="s">
        <v>1926</v>
      </c>
      <c r="H502" s="29">
        <v>3</v>
      </c>
      <c r="I502" s="29" t="s">
        <v>605</v>
      </c>
      <c r="J502" s="29" t="s">
        <v>539</v>
      </c>
      <c r="K502" s="29" t="s">
        <v>1005</v>
      </c>
      <c r="L502" s="23">
        <f t="shared" si="20"/>
        <v>624.99999999999989</v>
      </c>
      <c r="M502" s="23">
        <f t="shared" si="21"/>
        <v>74.999999999999986</v>
      </c>
      <c r="N502" s="60">
        <v>700</v>
      </c>
      <c r="O502" s="61" t="s">
        <v>2566</v>
      </c>
      <c r="P502" s="29" t="s">
        <v>731</v>
      </c>
      <c r="Q502" s="29" t="s">
        <v>58</v>
      </c>
      <c r="R502" s="25">
        <v>0</v>
      </c>
    </row>
    <row r="503" spans="1:18" x14ac:dyDescent="0.3">
      <c r="A503" s="59">
        <v>45269</v>
      </c>
      <c r="B503" s="32" t="s">
        <v>2567</v>
      </c>
      <c r="C503" s="32" t="s">
        <v>2568</v>
      </c>
      <c r="D503" s="32" t="s">
        <v>2569</v>
      </c>
      <c r="E503" s="44" t="s">
        <v>2570</v>
      </c>
      <c r="F503" s="44" t="s">
        <v>2571</v>
      </c>
      <c r="G503" s="44" t="s">
        <v>1919</v>
      </c>
      <c r="H503" s="29">
        <v>2</v>
      </c>
      <c r="I503" s="29" t="s">
        <v>605</v>
      </c>
      <c r="J503" s="29" t="s">
        <v>821</v>
      </c>
      <c r="K503" s="29" t="s">
        <v>199</v>
      </c>
      <c r="L503" s="23">
        <f t="shared" si="20"/>
        <v>446.42857142857139</v>
      </c>
      <c r="M503" s="23">
        <f t="shared" si="21"/>
        <v>53.571428571428562</v>
      </c>
      <c r="N503" s="60">
        <v>500</v>
      </c>
      <c r="O503" s="61" t="s">
        <v>2572</v>
      </c>
      <c r="P503" s="29" t="s">
        <v>2573</v>
      </c>
      <c r="Q503" s="29" t="s">
        <v>2161</v>
      </c>
      <c r="R503" s="25">
        <v>0</v>
      </c>
    </row>
    <row r="504" spans="1:18" x14ac:dyDescent="0.3">
      <c r="A504" s="59">
        <v>45269</v>
      </c>
      <c r="B504" s="32" t="s">
        <v>2574</v>
      </c>
      <c r="C504" s="32" t="s">
        <v>2575</v>
      </c>
      <c r="D504" s="32" t="s">
        <v>2576</v>
      </c>
      <c r="E504" s="44" t="s">
        <v>2577</v>
      </c>
      <c r="F504" s="66" t="s">
        <v>2578</v>
      </c>
      <c r="G504" s="44" t="s">
        <v>1962</v>
      </c>
      <c r="H504" s="29">
        <v>7</v>
      </c>
      <c r="I504" s="29" t="s">
        <v>605</v>
      </c>
      <c r="J504" s="29" t="s">
        <v>539</v>
      </c>
      <c r="K504" s="29" t="s">
        <v>199</v>
      </c>
      <c r="L504" s="23">
        <f t="shared" si="20"/>
        <v>3124.9999999999995</v>
      </c>
      <c r="M504" s="23">
        <f t="shared" si="21"/>
        <v>374.99999999999994</v>
      </c>
      <c r="N504" s="60">
        <v>3500</v>
      </c>
      <c r="O504" s="61" t="s">
        <v>2579</v>
      </c>
      <c r="P504" s="61" t="s">
        <v>1482</v>
      </c>
      <c r="Q504" s="29" t="s">
        <v>65</v>
      </c>
      <c r="R504" s="25">
        <v>0</v>
      </c>
    </row>
    <row r="505" spans="1:18" x14ac:dyDescent="0.3">
      <c r="A505" s="59">
        <v>45269</v>
      </c>
      <c r="B505" s="32" t="s">
        <v>2580</v>
      </c>
      <c r="C505" s="32" t="s">
        <v>2581</v>
      </c>
      <c r="D505" s="32" t="s">
        <v>2582</v>
      </c>
      <c r="E505" s="44" t="s">
        <v>2583</v>
      </c>
      <c r="F505" s="44" t="s">
        <v>2584</v>
      </c>
      <c r="G505" s="44" t="s">
        <v>1919</v>
      </c>
      <c r="H505" s="29">
        <v>3</v>
      </c>
      <c r="I505" s="29" t="s">
        <v>605</v>
      </c>
      <c r="J505" s="29" t="s">
        <v>539</v>
      </c>
      <c r="K505" s="29" t="s">
        <v>199</v>
      </c>
      <c r="L505" s="23">
        <f t="shared" si="20"/>
        <v>624.99999999999989</v>
      </c>
      <c r="M505" s="23">
        <f t="shared" si="21"/>
        <v>74.999999999999986</v>
      </c>
      <c r="N505" s="60">
        <v>700</v>
      </c>
      <c r="O505" s="61" t="s">
        <v>2585</v>
      </c>
      <c r="P505" s="29" t="s">
        <v>2022</v>
      </c>
      <c r="Q505" s="29" t="s">
        <v>2022</v>
      </c>
      <c r="R505" s="25">
        <v>0</v>
      </c>
    </row>
    <row r="506" spans="1:18" x14ac:dyDescent="0.3">
      <c r="A506" s="59">
        <v>45269</v>
      </c>
      <c r="B506" s="32" t="s">
        <v>2586</v>
      </c>
      <c r="C506" s="32" t="s">
        <v>2587</v>
      </c>
      <c r="D506" s="32" t="s">
        <v>2588</v>
      </c>
      <c r="E506" s="44" t="s">
        <v>2589</v>
      </c>
      <c r="F506" s="44" t="s">
        <v>2590</v>
      </c>
      <c r="G506" s="44" t="s">
        <v>1840</v>
      </c>
      <c r="H506" s="29">
        <v>5</v>
      </c>
      <c r="I506" s="29" t="s">
        <v>617</v>
      </c>
      <c r="J506" s="29" t="s">
        <v>539</v>
      </c>
      <c r="K506" s="29" t="s">
        <v>2488</v>
      </c>
      <c r="L506" s="23">
        <f t="shared" si="20"/>
        <v>1848.2142857142856</v>
      </c>
      <c r="M506" s="23">
        <f t="shared" si="21"/>
        <v>221.78571428571425</v>
      </c>
      <c r="N506" s="60">
        <v>2070</v>
      </c>
      <c r="O506" s="61" t="s">
        <v>2591</v>
      </c>
      <c r="P506" s="29" t="s">
        <v>2022</v>
      </c>
      <c r="Q506" s="29" t="s">
        <v>2169</v>
      </c>
      <c r="R506" s="25">
        <v>0</v>
      </c>
    </row>
    <row r="507" spans="1:18" x14ac:dyDescent="0.3">
      <c r="A507" s="59">
        <v>45269</v>
      </c>
      <c r="B507" s="32" t="s">
        <v>2592</v>
      </c>
      <c r="C507" s="32" t="s">
        <v>2593</v>
      </c>
      <c r="D507" s="32" t="s">
        <v>2594</v>
      </c>
      <c r="E507" s="44" t="s">
        <v>2595</v>
      </c>
      <c r="F507" s="44" t="s">
        <v>2596</v>
      </c>
      <c r="G507" s="44" t="s">
        <v>1919</v>
      </c>
      <c r="H507" s="29">
        <v>3</v>
      </c>
      <c r="I507" s="29" t="s">
        <v>605</v>
      </c>
      <c r="J507" s="29" t="s">
        <v>539</v>
      </c>
      <c r="K507" s="29" t="s">
        <v>2597</v>
      </c>
      <c r="L507" s="23">
        <f t="shared" si="20"/>
        <v>892.85714285714278</v>
      </c>
      <c r="M507" s="23">
        <f t="shared" si="21"/>
        <v>107.14285714285712</v>
      </c>
      <c r="N507" s="60">
        <v>1000</v>
      </c>
      <c r="O507" s="61" t="s">
        <v>2598</v>
      </c>
      <c r="P507" s="29" t="s">
        <v>2256</v>
      </c>
      <c r="Q507" s="29" t="s">
        <v>782</v>
      </c>
      <c r="R507" s="25">
        <v>0</v>
      </c>
    </row>
    <row r="508" spans="1:18" x14ac:dyDescent="0.3">
      <c r="A508" s="59">
        <v>45269</v>
      </c>
      <c r="B508" s="32" t="s">
        <v>2599</v>
      </c>
      <c r="C508" s="32" t="s">
        <v>2600</v>
      </c>
      <c r="D508" s="32" t="s">
        <v>2601</v>
      </c>
      <c r="E508" s="44" t="s">
        <v>2602</v>
      </c>
      <c r="F508" s="44" t="s">
        <v>2603</v>
      </c>
      <c r="G508" s="44" t="s">
        <v>1919</v>
      </c>
      <c r="H508" s="29">
        <v>3</v>
      </c>
      <c r="I508" s="29" t="s">
        <v>605</v>
      </c>
      <c r="J508" s="29" t="s">
        <v>539</v>
      </c>
      <c r="K508" s="29" t="s">
        <v>200</v>
      </c>
      <c r="L508" s="23">
        <f t="shared" si="20"/>
        <v>624.99999999999989</v>
      </c>
      <c r="M508" s="23">
        <f t="shared" si="21"/>
        <v>74.999999999999986</v>
      </c>
      <c r="N508" s="60">
        <v>700</v>
      </c>
      <c r="O508" s="61" t="s">
        <v>2604</v>
      </c>
      <c r="P508" s="29" t="s">
        <v>339</v>
      </c>
      <c r="Q508" s="29" t="s">
        <v>225</v>
      </c>
      <c r="R508" s="25">
        <v>0</v>
      </c>
    </row>
    <row r="509" spans="1:18" x14ac:dyDescent="0.3">
      <c r="A509" s="59">
        <v>45269</v>
      </c>
      <c r="B509" s="32" t="s">
        <v>2605</v>
      </c>
      <c r="C509" s="32" t="s">
        <v>2606</v>
      </c>
      <c r="D509" s="32" t="s">
        <v>2607</v>
      </c>
      <c r="E509" s="44" t="s">
        <v>2608</v>
      </c>
      <c r="F509" s="44" t="s">
        <v>2609</v>
      </c>
      <c r="G509" s="44" t="s">
        <v>1919</v>
      </c>
      <c r="H509" s="47">
        <v>5</v>
      </c>
      <c r="I509" s="47" t="s">
        <v>605</v>
      </c>
      <c r="J509" s="67" t="s">
        <v>539</v>
      </c>
      <c r="K509" s="67" t="s">
        <v>200</v>
      </c>
      <c r="L509" s="23">
        <f t="shared" si="20"/>
        <v>1383.9285714285713</v>
      </c>
      <c r="M509" s="23">
        <f t="shared" si="21"/>
        <v>166.07142857142856</v>
      </c>
      <c r="N509" s="68">
        <v>1550</v>
      </c>
      <c r="O509" s="61" t="s">
        <v>2610</v>
      </c>
      <c r="P509" s="29" t="s">
        <v>548</v>
      </c>
      <c r="Q509" s="29" t="s">
        <v>2524</v>
      </c>
      <c r="R509" s="25">
        <v>0</v>
      </c>
    </row>
    <row r="510" spans="1:18" x14ac:dyDescent="0.3">
      <c r="A510" s="59">
        <v>45269</v>
      </c>
      <c r="B510" s="32" t="s">
        <v>2611</v>
      </c>
      <c r="C510" s="32" t="s">
        <v>2325</v>
      </c>
      <c r="D510" s="32" t="s">
        <v>2612</v>
      </c>
      <c r="E510" s="44" t="s">
        <v>2613</v>
      </c>
      <c r="F510" s="44" t="s">
        <v>2614</v>
      </c>
      <c r="G510" s="44" t="s">
        <v>1919</v>
      </c>
      <c r="H510" s="29">
        <v>4</v>
      </c>
      <c r="I510" s="29" t="s">
        <v>605</v>
      </c>
      <c r="J510" s="67" t="s">
        <v>539</v>
      </c>
      <c r="K510" s="67" t="s">
        <v>200</v>
      </c>
      <c r="L510" s="23">
        <f t="shared" si="20"/>
        <v>982.142857142857</v>
      </c>
      <c r="M510" s="23">
        <f t="shared" si="21"/>
        <v>117.85714285714283</v>
      </c>
      <c r="N510" s="62">
        <v>1100</v>
      </c>
      <c r="O510" s="61" t="s">
        <v>2615</v>
      </c>
      <c r="P510" s="29" t="s">
        <v>335</v>
      </c>
      <c r="Q510" s="29" t="s">
        <v>2161</v>
      </c>
      <c r="R510" s="25">
        <v>0</v>
      </c>
    </row>
    <row r="511" spans="1:18" x14ac:dyDescent="0.3">
      <c r="A511" s="59">
        <v>45272</v>
      </c>
      <c r="B511" s="32" t="s">
        <v>2616</v>
      </c>
      <c r="C511" s="32" t="s">
        <v>2617</v>
      </c>
      <c r="D511" s="32" t="s">
        <v>2618</v>
      </c>
      <c r="E511" s="44" t="s">
        <v>2619</v>
      </c>
      <c r="F511" s="44" t="s">
        <v>2620</v>
      </c>
      <c r="G511" s="44" t="s">
        <v>1826</v>
      </c>
      <c r="H511" s="29">
        <v>8</v>
      </c>
      <c r="I511" s="29" t="s">
        <v>617</v>
      </c>
      <c r="J511" s="67" t="s">
        <v>539</v>
      </c>
      <c r="K511" s="67" t="s">
        <v>200</v>
      </c>
      <c r="L511" s="23">
        <f t="shared" si="20"/>
        <v>2669.6428571428569</v>
      </c>
      <c r="M511" s="23">
        <f t="shared" si="21"/>
        <v>320.35714285714283</v>
      </c>
      <c r="N511" s="62">
        <v>2990</v>
      </c>
      <c r="O511" s="61" t="s">
        <v>2621</v>
      </c>
      <c r="P511" s="29" t="s">
        <v>337</v>
      </c>
      <c r="Q511" s="29" t="s">
        <v>225</v>
      </c>
      <c r="R511" s="25">
        <v>0</v>
      </c>
    </row>
    <row r="512" spans="1:18" x14ac:dyDescent="0.3">
      <c r="A512" s="59">
        <v>45272</v>
      </c>
      <c r="B512" s="32" t="s">
        <v>2622</v>
      </c>
      <c r="C512" s="32" t="s">
        <v>2623</v>
      </c>
      <c r="D512" s="32" t="s">
        <v>2624</v>
      </c>
      <c r="E512" s="44" t="s">
        <v>2625</v>
      </c>
      <c r="F512" s="44" t="s">
        <v>2626</v>
      </c>
      <c r="G512" s="44" t="s">
        <v>1919</v>
      </c>
      <c r="H512" s="29">
        <v>3</v>
      </c>
      <c r="I512" s="29" t="s">
        <v>605</v>
      </c>
      <c r="J512" s="67" t="s">
        <v>539</v>
      </c>
      <c r="K512" s="67" t="s">
        <v>200</v>
      </c>
      <c r="L512" s="23">
        <f t="shared" si="20"/>
        <v>982.142857142857</v>
      </c>
      <c r="M512" s="23">
        <f t="shared" si="21"/>
        <v>117.85714285714283</v>
      </c>
      <c r="N512" s="62">
        <v>1100</v>
      </c>
      <c r="O512" s="61" t="s">
        <v>2627</v>
      </c>
      <c r="P512" s="29" t="s">
        <v>335</v>
      </c>
      <c r="Q512" s="29" t="s">
        <v>782</v>
      </c>
      <c r="R512" s="25">
        <v>0</v>
      </c>
    </row>
    <row r="513" spans="1:18" x14ac:dyDescent="0.3">
      <c r="A513" s="59">
        <v>45272</v>
      </c>
      <c r="B513" s="32" t="s">
        <v>2628</v>
      </c>
      <c r="C513" s="32" t="s">
        <v>2629</v>
      </c>
      <c r="D513" s="32" t="s">
        <v>2630</v>
      </c>
      <c r="E513" s="44" t="s">
        <v>2631</v>
      </c>
      <c r="F513" s="44" t="s">
        <v>2632</v>
      </c>
      <c r="G513" s="44" t="s">
        <v>1833</v>
      </c>
      <c r="H513" s="29">
        <v>5</v>
      </c>
      <c r="I513" s="29" t="s">
        <v>1865</v>
      </c>
      <c r="J513" s="67" t="s">
        <v>539</v>
      </c>
      <c r="K513" s="67" t="s">
        <v>200</v>
      </c>
      <c r="L513" s="23">
        <f t="shared" si="20"/>
        <v>1830.3571428571427</v>
      </c>
      <c r="M513" s="23">
        <f t="shared" si="21"/>
        <v>219.64285714285711</v>
      </c>
      <c r="N513" s="62">
        <v>2050</v>
      </c>
      <c r="O513" s="61" t="s">
        <v>2633</v>
      </c>
      <c r="P513" s="29" t="s">
        <v>339</v>
      </c>
      <c r="Q513" s="29" t="s">
        <v>58</v>
      </c>
      <c r="R513" s="25">
        <v>0</v>
      </c>
    </row>
    <row r="514" spans="1:18" x14ac:dyDescent="0.3">
      <c r="A514" s="59">
        <v>45272</v>
      </c>
      <c r="B514" s="32" t="s">
        <v>2634</v>
      </c>
      <c r="C514" s="32" t="s">
        <v>2635</v>
      </c>
      <c r="D514" s="32" t="s">
        <v>2636</v>
      </c>
      <c r="E514" s="44" t="s">
        <v>2637</v>
      </c>
      <c r="F514" s="44" t="s">
        <v>2638</v>
      </c>
      <c r="G514" s="44" t="s">
        <v>1919</v>
      </c>
      <c r="H514" s="29">
        <v>3</v>
      </c>
      <c r="I514" s="29" t="s">
        <v>2487</v>
      </c>
      <c r="J514" s="67" t="s">
        <v>539</v>
      </c>
      <c r="K514" s="67" t="s">
        <v>199</v>
      </c>
      <c r="L514" s="23">
        <f t="shared" si="20"/>
        <v>1071.4285714285713</v>
      </c>
      <c r="M514" s="23">
        <f t="shared" si="21"/>
        <v>128.57142857142856</v>
      </c>
      <c r="N514" s="62">
        <v>1200</v>
      </c>
      <c r="O514" s="61" t="s">
        <v>2639</v>
      </c>
      <c r="P514" s="29" t="s">
        <v>335</v>
      </c>
      <c r="Q514" s="29" t="s">
        <v>65</v>
      </c>
      <c r="R514" s="25">
        <v>0</v>
      </c>
    </row>
    <row r="515" spans="1:18" x14ac:dyDescent="0.3">
      <c r="A515" s="59">
        <v>45273</v>
      </c>
      <c r="B515" s="32" t="s">
        <v>2640</v>
      </c>
      <c r="C515" s="32" t="s">
        <v>2641</v>
      </c>
      <c r="D515" s="32" t="s">
        <v>2642</v>
      </c>
      <c r="E515" s="44" t="s">
        <v>2643</v>
      </c>
      <c r="F515" s="44" t="s">
        <v>2644</v>
      </c>
      <c r="G515" s="44" t="s">
        <v>1833</v>
      </c>
      <c r="H515" s="29">
        <v>6</v>
      </c>
      <c r="I515" s="29" t="s">
        <v>2487</v>
      </c>
      <c r="J515" s="52" t="s">
        <v>539</v>
      </c>
      <c r="K515" s="52" t="s">
        <v>199</v>
      </c>
      <c r="L515" s="23">
        <f t="shared" si="20"/>
        <v>1830.3571428571427</v>
      </c>
      <c r="M515" s="23">
        <f t="shared" si="21"/>
        <v>219.64285714285711</v>
      </c>
      <c r="N515" s="60">
        <v>2050</v>
      </c>
      <c r="O515" s="61" t="s">
        <v>2645</v>
      </c>
      <c r="P515" s="29" t="s">
        <v>782</v>
      </c>
      <c r="Q515" s="29" t="s">
        <v>782</v>
      </c>
      <c r="R515" s="25">
        <v>0</v>
      </c>
    </row>
    <row r="516" spans="1:18" x14ac:dyDescent="0.3">
      <c r="A516" s="59">
        <v>45273</v>
      </c>
      <c r="B516" s="32" t="s">
        <v>2646</v>
      </c>
      <c r="C516" s="32" t="s">
        <v>2647</v>
      </c>
      <c r="D516" s="32" t="s">
        <v>2648</v>
      </c>
      <c r="E516" s="44" t="s">
        <v>2649</v>
      </c>
      <c r="F516" s="44" t="s">
        <v>2650</v>
      </c>
      <c r="G516" s="44" t="s">
        <v>1840</v>
      </c>
      <c r="H516" s="29">
        <v>8</v>
      </c>
      <c r="I516" s="29" t="s">
        <v>617</v>
      </c>
      <c r="J516" s="52" t="s">
        <v>539</v>
      </c>
      <c r="K516" s="52" t="s">
        <v>199</v>
      </c>
      <c r="L516" s="23">
        <f t="shared" si="20"/>
        <v>2669.6428571428569</v>
      </c>
      <c r="M516" s="23">
        <f t="shared" si="21"/>
        <v>320.35714285714283</v>
      </c>
      <c r="N516" s="60">
        <v>2990</v>
      </c>
      <c r="O516" s="61" t="s">
        <v>2651</v>
      </c>
      <c r="P516" s="29" t="s">
        <v>680</v>
      </c>
      <c r="Q516" s="29" t="s">
        <v>225</v>
      </c>
      <c r="R516" s="25">
        <v>0</v>
      </c>
    </row>
    <row r="517" spans="1:18" x14ac:dyDescent="0.3">
      <c r="A517" s="59">
        <v>45273</v>
      </c>
      <c r="B517" s="32" t="s">
        <v>2652</v>
      </c>
      <c r="C517" s="32" t="s">
        <v>2653</v>
      </c>
      <c r="D517" s="32" t="s">
        <v>2654</v>
      </c>
      <c r="E517" s="44" t="s">
        <v>2655</v>
      </c>
      <c r="F517" s="44" t="s">
        <v>2656</v>
      </c>
      <c r="G517" s="44" t="s">
        <v>1919</v>
      </c>
      <c r="H517" s="29">
        <v>3</v>
      </c>
      <c r="I517" s="29" t="s">
        <v>617</v>
      </c>
      <c r="J517" s="52" t="s">
        <v>539</v>
      </c>
      <c r="K517" s="52" t="s">
        <v>199</v>
      </c>
      <c r="L517" s="23">
        <f t="shared" si="20"/>
        <v>937.49999999999989</v>
      </c>
      <c r="M517" s="23">
        <f t="shared" si="21"/>
        <v>112.49999999999999</v>
      </c>
      <c r="N517" s="60">
        <v>1050</v>
      </c>
      <c r="O517" s="61" t="s">
        <v>2657</v>
      </c>
      <c r="P517" s="29" t="s">
        <v>2140</v>
      </c>
      <c r="Q517" s="29" t="s">
        <v>2658</v>
      </c>
      <c r="R517" s="25">
        <v>0</v>
      </c>
    </row>
    <row r="518" spans="1:18" x14ac:dyDescent="0.3">
      <c r="A518" s="59">
        <v>45273</v>
      </c>
      <c r="B518" s="32" t="s">
        <v>2659</v>
      </c>
      <c r="C518" s="32" t="s">
        <v>2660</v>
      </c>
      <c r="D518" s="32" t="s">
        <v>2661</v>
      </c>
      <c r="E518" s="44" t="s">
        <v>2662</v>
      </c>
      <c r="F518" s="44" t="s">
        <v>2663</v>
      </c>
      <c r="G518" s="44" t="s">
        <v>1833</v>
      </c>
      <c r="H518" s="29">
        <v>4</v>
      </c>
      <c r="I518" s="29" t="s">
        <v>2664</v>
      </c>
      <c r="J518" s="29" t="s">
        <v>539</v>
      </c>
      <c r="K518" s="29" t="s">
        <v>199</v>
      </c>
      <c r="L518" s="23">
        <f t="shared" si="20"/>
        <v>982.142857142857</v>
      </c>
      <c r="M518" s="23">
        <f t="shared" si="21"/>
        <v>117.85714285714283</v>
      </c>
      <c r="N518" s="62">
        <v>1100</v>
      </c>
      <c r="O518" s="61" t="s">
        <v>2665</v>
      </c>
      <c r="P518" s="29" t="s">
        <v>339</v>
      </c>
      <c r="Q518" s="29" t="s">
        <v>782</v>
      </c>
      <c r="R518" s="25">
        <v>0</v>
      </c>
    </row>
    <row r="519" spans="1:18" x14ac:dyDescent="0.3">
      <c r="A519" s="59">
        <v>45275</v>
      </c>
      <c r="B519" s="32" t="s">
        <v>2666</v>
      </c>
      <c r="C519" s="32" t="s">
        <v>2667</v>
      </c>
      <c r="D519" s="32" t="s">
        <v>2668</v>
      </c>
      <c r="E519" s="44" t="s">
        <v>2669</v>
      </c>
      <c r="F519" s="44" t="s">
        <v>2670</v>
      </c>
      <c r="G519" s="44" t="s">
        <v>1926</v>
      </c>
      <c r="H519" s="29">
        <v>5</v>
      </c>
      <c r="I519" s="29" t="s">
        <v>605</v>
      </c>
      <c r="J519" s="29" t="s">
        <v>539</v>
      </c>
      <c r="K519" s="29" t="s">
        <v>200</v>
      </c>
      <c r="L519" s="23">
        <f t="shared" si="20"/>
        <v>1071.4285714285713</v>
      </c>
      <c r="M519" s="23">
        <f t="shared" si="21"/>
        <v>128.57142857142856</v>
      </c>
      <c r="N519" s="62">
        <v>1200</v>
      </c>
      <c r="O519" s="61" t="s">
        <v>2671</v>
      </c>
      <c r="P519" s="29" t="s">
        <v>337</v>
      </c>
      <c r="Q519" s="29" t="s">
        <v>337</v>
      </c>
      <c r="R519" s="25">
        <v>0</v>
      </c>
    </row>
    <row r="520" spans="1:18" x14ac:dyDescent="0.3">
      <c r="A520" s="59">
        <v>45276</v>
      </c>
      <c r="B520" s="32" t="s">
        <v>2672</v>
      </c>
      <c r="C520" s="32" t="s">
        <v>2673</v>
      </c>
      <c r="D520" s="32" t="s">
        <v>2674</v>
      </c>
      <c r="E520" s="44" t="s">
        <v>2675</v>
      </c>
      <c r="F520" s="44" t="s">
        <v>2676</v>
      </c>
      <c r="G520" s="44" t="s">
        <v>1833</v>
      </c>
      <c r="H520" s="29">
        <v>4</v>
      </c>
      <c r="I520" s="29" t="s">
        <v>2677</v>
      </c>
      <c r="J520" s="29" t="s">
        <v>539</v>
      </c>
      <c r="K520" s="29" t="s">
        <v>1586</v>
      </c>
      <c r="L520" s="23">
        <f t="shared" si="20"/>
        <v>937.49999999999989</v>
      </c>
      <c r="M520" s="23">
        <f t="shared" si="21"/>
        <v>112.49999999999999</v>
      </c>
      <c r="N520" s="62">
        <v>1050</v>
      </c>
      <c r="O520" s="61" t="s">
        <v>2678</v>
      </c>
      <c r="P520" s="29" t="s">
        <v>337</v>
      </c>
      <c r="Q520" s="29" t="s">
        <v>782</v>
      </c>
      <c r="R520" s="25">
        <v>0</v>
      </c>
    </row>
    <row r="521" spans="1:18" x14ac:dyDescent="0.3">
      <c r="A521" s="59">
        <v>45275</v>
      </c>
      <c r="B521" s="32" t="s">
        <v>2679</v>
      </c>
      <c r="C521" s="32" t="s">
        <v>2680</v>
      </c>
      <c r="D521" s="32" t="s">
        <v>2681</v>
      </c>
      <c r="E521" s="44" t="s">
        <v>2682</v>
      </c>
      <c r="F521" s="44" t="s">
        <v>2683</v>
      </c>
      <c r="G521" s="44" t="s">
        <v>1962</v>
      </c>
      <c r="H521" s="29">
        <v>10</v>
      </c>
      <c r="I521" s="29" t="s">
        <v>617</v>
      </c>
      <c r="J521" s="29" t="s">
        <v>539</v>
      </c>
      <c r="K521" s="29" t="s">
        <v>1586</v>
      </c>
      <c r="L521" s="23">
        <f t="shared" si="20"/>
        <v>3124.9999999999995</v>
      </c>
      <c r="M521" s="23">
        <f t="shared" si="21"/>
        <v>374.99999999999994</v>
      </c>
      <c r="N521" s="62">
        <v>3500</v>
      </c>
      <c r="O521" s="61" t="s">
        <v>2684</v>
      </c>
      <c r="P521" s="29" t="s">
        <v>340</v>
      </c>
      <c r="Q521" s="29" t="s">
        <v>2169</v>
      </c>
      <c r="R521" s="25">
        <v>0</v>
      </c>
    </row>
    <row r="522" spans="1:18" x14ac:dyDescent="0.3">
      <c r="A522" s="59">
        <v>45276</v>
      </c>
      <c r="B522" s="32" t="s">
        <v>2685</v>
      </c>
      <c r="C522" s="32" t="s">
        <v>2686</v>
      </c>
      <c r="D522" s="32" t="s">
        <v>2687</v>
      </c>
      <c r="E522" s="44" t="s">
        <v>2688</v>
      </c>
      <c r="F522" s="44" t="s">
        <v>2689</v>
      </c>
      <c r="G522" s="44" t="s">
        <v>1919</v>
      </c>
      <c r="H522" s="29">
        <v>5</v>
      </c>
      <c r="I522" s="45" t="s">
        <v>605</v>
      </c>
      <c r="J522" s="69" t="s">
        <v>539</v>
      </c>
      <c r="K522" s="29" t="s">
        <v>200</v>
      </c>
      <c r="L522" s="23">
        <f t="shared" si="20"/>
        <v>1249.9999999999998</v>
      </c>
      <c r="M522" s="23">
        <f t="shared" si="21"/>
        <v>149.99999999999997</v>
      </c>
      <c r="N522" s="62">
        <v>1400</v>
      </c>
      <c r="O522" s="61"/>
      <c r="P522" s="29" t="s">
        <v>340</v>
      </c>
      <c r="Q522" s="29" t="s">
        <v>2169</v>
      </c>
      <c r="R522" s="25">
        <v>0</v>
      </c>
    </row>
    <row r="523" spans="1:18" x14ac:dyDescent="0.3">
      <c r="A523" s="59">
        <v>45280</v>
      </c>
      <c r="B523" s="32" t="s">
        <v>2690</v>
      </c>
      <c r="C523" s="32" t="s">
        <v>2691</v>
      </c>
      <c r="D523" s="32" t="s">
        <v>2692</v>
      </c>
      <c r="E523" s="44" t="s">
        <v>2693</v>
      </c>
      <c r="F523" s="44" t="s">
        <v>2694</v>
      </c>
      <c r="G523" s="44" t="s">
        <v>1833</v>
      </c>
      <c r="H523" s="29">
        <v>3</v>
      </c>
      <c r="I523" s="29" t="s">
        <v>605</v>
      </c>
      <c r="J523" s="29" t="s">
        <v>539</v>
      </c>
      <c r="K523" s="29" t="s">
        <v>332</v>
      </c>
      <c r="L523" s="23">
        <f t="shared" si="20"/>
        <v>892.85714285714278</v>
      </c>
      <c r="M523" s="23">
        <f t="shared" si="21"/>
        <v>107.14285714285712</v>
      </c>
      <c r="N523" s="62">
        <v>1000</v>
      </c>
      <c r="O523" s="61" t="s">
        <v>2695</v>
      </c>
      <c r="P523" s="29" t="s">
        <v>1482</v>
      </c>
      <c r="Q523" s="29" t="s">
        <v>225</v>
      </c>
      <c r="R523" s="25">
        <v>0</v>
      </c>
    </row>
    <row r="524" spans="1:18" x14ac:dyDescent="0.3">
      <c r="A524" s="59">
        <v>45280</v>
      </c>
      <c r="B524" s="32" t="s">
        <v>2696</v>
      </c>
      <c r="C524" s="32" t="s">
        <v>2697</v>
      </c>
      <c r="D524" s="32" t="s">
        <v>2698</v>
      </c>
      <c r="E524" s="44" t="s">
        <v>2699</v>
      </c>
      <c r="F524" s="44" t="s">
        <v>2700</v>
      </c>
      <c r="G524" s="44" t="s">
        <v>1919</v>
      </c>
      <c r="H524" s="29">
        <v>3</v>
      </c>
      <c r="I524" s="29" t="s">
        <v>2677</v>
      </c>
      <c r="J524" s="29" t="s">
        <v>539</v>
      </c>
      <c r="K524" s="29" t="s">
        <v>200</v>
      </c>
      <c r="L524" s="23">
        <f t="shared" si="20"/>
        <v>937.49999999999989</v>
      </c>
      <c r="M524" s="23">
        <f t="shared" si="21"/>
        <v>112.49999999999999</v>
      </c>
      <c r="N524" s="62">
        <v>1050</v>
      </c>
      <c r="O524" s="61" t="s">
        <v>2701</v>
      </c>
      <c r="P524" s="29" t="s">
        <v>548</v>
      </c>
      <c r="Q524" s="29" t="s">
        <v>2524</v>
      </c>
      <c r="R524" s="25">
        <v>0</v>
      </c>
    </row>
    <row r="525" spans="1:18" x14ac:dyDescent="0.3">
      <c r="A525" s="59">
        <v>45280</v>
      </c>
      <c r="B525" s="32" t="s">
        <v>2702</v>
      </c>
      <c r="C525" s="32" t="s">
        <v>2703</v>
      </c>
      <c r="D525" s="32" t="s">
        <v>2704</v>
      </c>
      <c r="E525" s="44" t="s">
        <v>2705</v>
      </c>
      <c r="F525" s="44" t="s">
        <v>2706</v>
      </c>
      <c r="G525" s="44" t="s">
        <v>1919</v>
      </c>
      <c r="H525" s="29">
        <v>4</v>
      </c>
      <c r="I525" s="29" t="s">
        <v>605</v>
      </c>
      <c r="J525" s="29" t="s">
        <v>539</v>
      </c>
      <c r="K525" s="29" t="s">
        <v>199</v>
      </c>
      <c r="L525" s="23">
        <f t="shared" si="20"/>
        <v>758.92857142857133</v>
      </c>
      <c r="M525" s="23">
        <f t="shared" si="21"/>
        <v>91.071428571428555</v>
      </c>
      <c r="N525" s="62">
        <v>850</v>
      </c>
      <c r="O525" s="61" t="s">
        <v>2707</v>
      </c>
      <c r="P525" s="29" t="s">
        <v>680</v>
      </c>
      <c r="Q525" s="29" t="s">
        <v>58</v>
      </c>
      <c r="R525" s="25">
        <v>0</v>
      </c>
    </row>
    <row r="526" spans="1:18" x14ac:dyDescent="0.3">
      <c r="A526" s="59">
        <v>45280</v>
      </c>
      <c r="B526" s="32" t="s">
        <v>2708</v>
      </c>
      <c r="C526" s="74" t="s">
        <v>2709</v>
      </c>
      <c r="D526" s="74" t="s">
        <v>2710</v>
      </c>
      <c r="E526" s="51" t="s">
        <v>2711</v>
      </c>
      <c r="F526" s="51" t="s">
        <v>2712</v>
      </c>
      <c r="G526" s="51" t="s">
        <v>1962</v>
      </c>
      <c r="H526" s="52">
        <v>10</v>
      </c>
      <c r="I526" s="52" t="s">
        <v>617</v>
      </c>
      <c r="J526" s="52" t="s">
        <v>539</v>
      </c>
      <c r="K526" s="52" t="s">
        <v>199</v>
      </c>
      <c r="L526" s="23">
        <f t="shared" si="20"/>
        <v>2276.7857142857142</v>
      </c>
      <c r="M526" s="23">
        <f t="shared" si="21"/>
        <v>273.21428571428572</v>
      </c>
      <c r="N526" s="67">
        <v>2550</v>
      </c>
      <c r="O526" s="75" t="s">
        <v>2713</v>
      </c>
      <c r="P526" s="52" t="s">
        <v>731</v>
      </c>
      <c r="Q526" s="52" t="s">
        <v>348</v>
      </c>
      <c r="R526" s="25">
        <v>0</v>
      </c>
    </row>
    <row r="527" spans="1:18" x14ac:dyDescent="0.3">
      <c r="A527" s="59">
        <v>45280</v>
      </c>
      <c r="B527" s="32" t="s">
        <v>2714</v>
      </c>
      <c r="C527" s="74" t="s">
        <v>2715</v>
      </c>
      <c r="D527" s="74" t="s">
        <v>2716</v>
      </c>
      <c r="E527" s="51" t="s">
        <v>2717</v>
      </c>
      <c r="F527" s="51" t="s">
        <v>2718</v>
      </c>
      <c r="G527" s="51"/>
      <c r="H527" s="52">
        <v>4</v>
      </c>
      <c r="I527" s="52"/>
      <c r="J527" s="52" t="s">
        <v>539</v>
      </c>
      <c r="K527" s="52" t="s">
        <v>200</v>
      </c>
      <c r="L527" s="23">
        <f t="shared" si="20"/>
        <v>1116.0714285714284</v>
      </c>
      <c r="M527" s="23">
        <f t="shared" si="21"/>
        <v>133.92857142857142</v>
      </c>
      <c r="N527" s="67">
        <f>SUM(387.23+862.77)</f>
        <v>1250</v>
      </c>
      <c r="O527" s="75" t="s">
        <v>2719</v>
      </c>
      <c r="P527" s="52" t="s">
        <v>680</v>
      </c>
      <c r="Q527" s="52" t="s">
        <v>2524</v>
      </c>
      <c r="R527" s="25">
        <v>0</v>
      </c>
    </row>
    <row r="528" spans="1:18" x14ac:dyDescent="0.3">
      <c r="A528" s="20">
        <v>45281</v>
      </c>
      <c r="B528" s="32" t="s">
        <v>2720</v>
      </c>
      <c r="C528" s="32" t="s">
        <v>2721</v>
      </c>
      <c r="D528" s="32" t="s">
        <v>2722</v>
      </c>
      <c r="E528" s="44" t="s">
        <v>2723</v>
      </c>
      <c r="F528" s="44" t="s">
        <v>2724</v>
      </c>
      <c r="G528" s="44" t="s">
        <v>1919</v>
      </c>
      <c r="H528" s="29">
        <v>16</v>
      </c>
      <c r="I528" s="71" t="s">
        <v>2725</v>
      </c>
      <c r="J528" s="29" t="s">
        <v>539</v>
      </c>
      <c r="K528" s="29" t="s">
        <v>327</v>
      </c>
      <c r="L528" s="23">
        <f t="shared" si="20"/>
        <v>6241.0714285714275</v>
      </c>
      <c r="M528" s="23">
        <f t="shared" si="21"/>
        <v>748.92857142857133</v>
      </c>
      <c r="N528" s="62">
        <v>6990</v>
      </c>
      <c r="O528" s="61" t="s">
        <v>2726</v>
      </c>
      <c r="P528" s="29" t="s">
        <v>548</v>
      </c>
      <c r="Q528" s="29" t="s">
        <v>2524</v>
      </c>
      <c r="R528" s="25">
        <v>0</v>
      </c>
    </row>
    <row r="529" spans="1:18" x14ac:dyDescent="0.3">
      <c r="A529" s="20">
        <v>45281</v>
      </c>
      <c r="B529" s="32" t="s">
        <v>2727</v>
      </c>
      <c r="C529" s="32" t="s">
        <v>2728</v>
      </c>
      <c r="D529" s="32" t="s">
        <v>2729</v>
      </c>
      <c r="E529" s="44" t="s">
        <v>2730</v>
      </c>
      <c r="F529" s="44" t="s">
        <v>2731</v>
      </c>
      <c r="G529" s="250" t="s">
        <v>2732</v>
      </c>
      <c r="H529" s="260"/>
      <c r="I529" s="260"/>
      <c r="J529" s="260"/>
      <c r="K529" s="251"/>
      <c r="L529" s="23">
        <f t="shared" si="20"/>
        <v>0</v>
      </c>
      <c r="M529" s="23">
        <f t="shared" si="21"/>
        <v>0</v>
      </c>
      <c r="N529" s="62"/>
      <c r="O529" s="61" t="s">
        <v>2733</v>
      </c>
      <c r="P529" s="29" t="s">
        <v>337</v>
      </c>
      <c r="Q529" s="29" t="s">
        <v>2022</v>
      </c>
      <c r="R529" s="25">
        <v>0</v>
      </c>
    </row>
    <row r="530" spans="1:18" x14ac:dyDescent="0.3">
      <c r="A530" s="20">
        <v>45281</v>
      </c>
      <c r="B530" s="32" t="s">
        <v>2734</v>
      </c>
      <c r="C530" s="32" t="s">
        <v>2735</v>
      </c>
      <c r="D530" s="32" t="s">
        <v>2736</v>
      </c>
      <c r="E530" s="44" t="s">
        <v>2737</v>
      </c>
      <c r="F530" s="44" t="s">
        <v>2738</v>
      </c>
      <c r="G530" s="44" t="s">
        <v>1919</v>
      </c>
      <c r="H530" s="29">
        <v>3</v>
      </c>
      <c r="I530" s="29" t="s">
        <v>617</v>
      </c>
      <c r="J530" s="29" t="s">
        <v>539</v>
      </c>
      <c r="K530" s="29" t="s">
        <v>200</v>
      </c>
      <c r="L530" s="23">
        <f t="shared" si="20"/>
        <v>937.49999999999989</v>
      </c>
      <c r="M530" s="23">
        <f t="shared" si="21"/>
        <v>112.49999999999999</v>
      </c>
      <c r="N530" s="62">
        <v>1050</v>
      </c>
      <c r="O530" s="61" t="s">
        <v>2739</v>
      </c>
      <c r="P530" s="29" t="s">
        <v>2140</v>
      </c>
      <c r="Q530" s="29" t="s">
        <v>2337</v>
      </c>
      <c r="R530" s="25">
        <v>0</v>
      </c>
    </row>
    <row r="531" spans="1:18" x14ac:dyDescent="0.3">
      <c r="A531" s="59">
        <v>45287</v>
      </c>
      <c r="B531" s="32" t="s">
        <v>2740</v>
      </c>
      <c r="C531" s="32" t="s">
        <v>2741</v>
      </c>
      <c r="D531" s="32" t="s">
        <v>2742</v>
      </c>
      <c r="E531" s="44" t="s">
        <v>2743</v>
      </c>
      <c r="F531" s="44" t="s">
        <v>2744</v>
      </c>
      <c r="G531" s="44" t="s">
        <v>1919</v>
      </c>
      <c r="H531" s="29">
        <v>3</v>
      </c>
      <c r="I531" s="29" t="s">
        <v>617</v>
      </c>
      <c r="J531" s="29" t="s">
        <v>539</v>
      </c>
      <c r="K531" s="29" t="s">
        <v>200</v>
      </c>
      <c r="L531" s="23">
        <f t="shared" si="20"/>
        <v>937.49999999999989</v>
      </c>
      <c r="M531" s="23">
        <f t="shared" si="21"/>
        <v>112.49999999999999</v>
      </c>
      <c r="N531" s="62">
        <v>1050</v>
      </c>
      <c r="O531" s="61" t="s">
        <v>2745</v>
      </c>
      <c r="P531" s="29" t="s">
        <v>335</v>
      </c>
      <c r="Q531" s="29" t="s">
        <v>2337</v>
      </c>
      <c r="R531" s="25">
        <v>0</v>
      </c>
    </row>
    <row r="532" spans="1:18" x14ac:dyDescent="0.3">
      <c r="A532" s="59">
        <v>45288</v>
      </c>
      <c r="B532" s="32" t="s">
        <v>2746</v>
      </c>
      <c r="C532" s="32" t="s">
        <v>2747</v>
      </c>
      <c r="D532" s="32" t="s">
        <v>2748</v>
      </c>
      <c r="E532" s="44" t="s">
        <v>2749</v>
      </c>
      <c r="F532" s="44" t="s">
        <v>2750</v>
      </c>
      <c r="G532" s="44" t="s">
        <v>1840</v>
      </c>
      <c r="H532" s="29">
        <v>3</v>
      </c>
      <c r="I532" s="29" t="s">
        <v>617</v>
      </c>
      <c r="J532" s="29" t="s">
        <v>539</v>
      </c>
      <c r="K532" s="29" t="s">
        <v>2597</v>
      </c>
      <c r="L532" s="23">
        <f t="shared" si="20"/>
        <v>1776.7857142857142</v>
      </c>
      <c r="M532" s="23">
        <f t="shared" si="21"/>
        <v>213.21428571428569</v>
      </c>
      <c r="N532" s="62">
        <v>1990</v>
      </c>
      <c r="O532" s="61" t="s">
        <v>2751</v>
      </c>
      <c r="P532" s="29" t="s">
        <v>337</v>
      </c>
      <c r="Q532" s="29" t="s">
        <v>65</v>
      </c>
      <c r="R532" s="25">
        <v>0</v>
      </c>
    </row>
    <row r="533" spans="1:18" x14ac:dyDescent="0.3">
      <c r="A533" s="59">
        <v>45289</v>
      </c>
      <c r="B533" s="32" t="s">
        <v>2752</v>
      </c>
      <c r="C533" s="32" t="s">
        <v>2753</v>
      </c>
      <c r="D533" s="32" t="s">
        <v>2754</v>
      </c>
      <c r="E533" s="44" t="s">
        <v>2755</v>
      </c>
      <c r="F533" s="44" t="s">
        <v>2756</v>
      </c>
      <c r="G533" s="44" t="s">
        <v>1919</v>
      </c>
      <c r="H533" s="29">
        <v>4</v>
      </c>
      <c r="I533" s="29" t="s">
        <v>605</v>
      </c>
      <c r="J533" s="29" t="s">
        <v>539</v>
      </c>
      <c r="K533" s="29" t="s">
        <v>199</v>
      </c>
      <c r="L533" s="23">
        <f t="shared" si="20"/>
        <v>1071.4285714285713</v>
      </c>
      <c r="M533" s="23">
        <f t="shared" si="21"/>
        <v>128.57142857142856</v>
      </c>
      <c r="N533" s="62">
        <v>1200</v>
      </c>
      <c r="O533" s="61" t="s">
        <v>2757</v>
      </c>
      <c r="P533" s="29" t="s">
        <v>2256</v>
      </c>
      <c r="Q533" s="29"/>
      <c r="R533" s="25">
        <v>0</v>
      </c>
    </row>
    <row r="534" spans="1:18" x14ac:dyDescent="0.3">
      <c r="A534" s="59">
        <v>45289</v>
      </c>
      <c r="B534" s="32" t="s">
        <v>2758</v>
      </c>
      <c r="C534" s="32" t="s">
        <v>2759</v>
      </c>
      <c r="D534" s="32" t="s">
        <v>2760</v>
      </c>
      <c r="E534" s="44" t="s">
        <v>2761</v>
      </c>
      <c r="F534" s="44" t="s">
        <v>2762</v>
      </c>
      <c r="G534" s="44" t="s">
        <v>2763</v>
      </c>
      <c r="H534" s="29">
        <v>2</v>
      </c>
      <c r="I534" s="29" t="s">
        <v>605</v>
      </c>
      <c r="J534" s="29" t="s">
        <v>539</v>
      </c>
      <c r="K534" s="29" t="s">
        <v>199</v>
      </c>
      <c r="L534" s="23">
        <f t="shared" si="20"/>
        <v>624.99999999999989</v>
      </c>
      <c r="M534" s="23">
        <f t="shared" si="21"/>
        <v>74.999999999999986</v>
      </c>
      <c r="N534" s="62">
        <v>700</v>
      </c>
      <c r="P534" s="29" t="s">
        <v>2140</v>
      </c>
      <c r="Q534" s="29" t="s">
        <v>2524</v>
      </c>
      <c r="R534" s="25">
        <v>0</v>
      </c>
    </row>
    <row r="535" spans="1:18" x14ac:dyDescent="0.3">
      <c r="A535" s="59">
        <v>45289</v>
      </c>
      <c r="B535" s="32" t="s">
        <v>2764</v>
      </c>
      <c r="C535" s="74" t="s">
        <v>2765</v>
      </c>
      <c r="D535" s="74" t="s">
        <v>2766</v>
      </c>
      <c r="E535" s="51" t="s">
        <v>2767</v>
      </c>
      <c r="F535" s="51" t="s">
        <v>2768</v>
      </c>
      <c r="G535" s="51" t="s">
        <v>1840</v>
      </c>
      <c r="H535" s="52">
        <v>4</v>
      </c>
      <c r="I535" s="52" t="s">
        <v>2677</v>
      </c>
      <c r="J535" s="52" t="s">
        <v>539</v>
      </c>
      <c r="K535" s="52" t="s">
        <v>199</v>
      </c>
      <c r="L535" s="23">
        <f t="shared" si="20"/>
        <v>1160.7142857142856</v>
      </c>
      <c r="M535" s="23">
        <f t="shared" si="21"/>
        <v>139.28571428571425</v>
      </c>
      <c r="N535" s="67">
        <v>1300</v>
      </c>
      <c r="O535" s="61" t="s">
        <v>2769</v>
      </c>
      <c r="P535" s="52" t="s">
        <v>62</v>
      </c>
      <c r="Q535" s="52" t="s">
        <v>2169</v>
      </c>
      <c r="R535" s="25">
        <v>0</v>
      </c>
    </row>
    <row r="536" spans="1:18" x14ac:dyDescent="0.3">
      <c r="A536" s="59">
        <v>45290</v>
      </c>
      <c r="B536" s="32" t="s">
        <v>2770</v>
      </c>
      <c r="C536" s="32" t="s">
        <v>2771</v>
      </c>
      <c r="D536" s="32" t="s">
        <v>2772</v>
      </c>
      <c r="E536" s="44" t="s">
        <v>2773</v>
      </c>
      <c r="F536" s="44" t="s">
        <v>2774</v>
      </c>
      <c r="G536" s="44" t="s">
        <v>1962</v>
      </c>
      <c r="H536" s="29">
        <v>10</v>
      </c>
      <c r="I536" s="29" t="s">
        <v>2677</v>
      </c>
      <c r="J536" s="29" t="s">
        <v>539</v>
      </c>
      <c r="K536" s="29" t="s">
        <v>199</v>
      </c>
      <c r="L536" s="23">
        <f t="shared" si="20"/>
        <v>2669.6428571428569</v>
      </c>
      <c r="M536" s="23">
        <f t="shared" si="21"/>
        <v>320.35714285714283</v>
      </c>
      <c r="N536" s="62">
        <v>2990</v>
      </c>
      <c r="O536" s="61" t="s">
        <v>2775</v>
      </c>
      <c r="P536" s="29" t="s">
        <v>58</v>
      </c>
      <c r="Q536" s="29" t="s">
        <v>65</v>
      </c>
      <c r="R536" s="25">
        <v>0</v>
      </c>
    </row>
    <row r="537" spans="1:18" x14ac:dyDescent="0.3">
      <c r="A537" s="59">
        <v>45290</v>
      </c>
      <c r="B537" s="32" t="s">
        <v>2776</v>
      </c>
      <c r="C537" s="32" t="s">
        <v>2777</v>
      </c>
      <c r="D537" s="32" t="s">
        <v>2778</v>
      </c>
      <c r="E537" s="44" t="s">
        <v>2779</v>
      </c>
      <c r="F537" s="44" t="s">
        <v>2780</v>
      </c>
      <c r="G537" s="44" t="s">
        <v>1919</v>
      </c>
      <c r="H537" s="29">
        <v>4</v>
      </c>
      <c r="I537" s="29" t="s">
        <v>605</v>
      </c>
      <c r="J537" s="29" t="s">
        <v>539</v>
      </c>
      <c r="K537" s="29" t="s">
        <v>200</v>
      </c>
      <c r="L537" s="23">
        <f t="shared" si="20"/>
        <v>1160.7142857142856</v>
      </c>
      <c r="M537" s="23">
        <f t="shared" si="21"/>
        <v>139.28571428571425</v>
      </c>
      <c r="N537" s="62">
        <v>1300</v>
      </c>
      <c r="O537" s="61" t="s">
        <v>2781</v>
      </c>
      <c r="P537" s="29" t="s">
        <v>2140</v>
      </c>
      <c r="Q537" s="29" t="s">
        <v>337</v>
      </c>
      <c r="R537" s="25">
        <v>0</v>
      </c>
    </row>
    <row r="538" spans="1:18" x14ac:dyDescent="0.3">
      <c r="A538" s="59">
        <v>45664</v>
      </c>
      <c r="B538" s="33" t="s">
        <v>2782</v>
      </c>
      <c r="C538" s="32" t="s">
        <v>2783</v>
      </c>
      <c r="D538" s="32" t="s">
        <v>2784</v>
      </c>
      <c r="E538" s="44" t="s">
        <v>2785</v>
      </c>
      <c r="F538" s="44" t="s">
        <v>2786</v>
      </c>
      <c r="G538" s="44" t="s">
        <v>1833</v>
      </c>
      <c r="H538" s="29">
        <v>3</v>
      </c>
      <c r="I538" s="29" t="s">
        <v>605</v>
      </c>
      <c r="J538" s="29" t="s">
        <v>2787</v>
      </c>
      <c r="K538" s="29" t="s">
        <v>2488</v>
      </c>
      <c r="L538" s="23">
        <f t="shared" si="20"/>
        <v>669.64285714285711</v>
      </c>
      <c r="M538" s="23">
        <f t="shared" si="21"/>
        <v>80.357142857142847</v>
      </c>
      <c r="N538" s="60">
        <v>750</v>
      </c>
      <c r="O538" s="61" t="s">
        <v>2788</v>
      </c>
      <c r="P538" s="29" t="s">
        <v>225</v>
      </c>
      <c r="Q538" s="29" t="s">
        <v>225</v>
      </c>
      <c r="R538" s="29" t="s">
        <v>2789</v>
      </c>
    </row>
    <row r="539" spans="1:18" x14ac:dyDescent="0.3">
      <c r="A539" s="59">
        <v>45664</v>
      </c>
      <c r="B539" s="33" t="s">
        <v>2790</v>
      </c>
      <c r="C539" s="32" t="s">
        <v>2791</v>
      </c>
      <c r="D539" s="32" t="s">
        <v>2792</v>
      </c>
      <c r="E539" s="44" t="s">
        <v>2793</v>
      </c>
      <c r="F539" s="44" t="s">
        <v>2794</v>
      </c>
      <c r="G539" s="44" t="s">
        <v>1833</v>
      </c>
      <c r="H539" s="29">
        <v>3</v>
      </c>
      <c r="I539" s="29" t="s">
        <v>605</v>
      </c>
      <c r="J539" s="250" t="s">
        <v>2795</v>
      </c>
      <c r="K539" s="251"/>
      <c r="L539" s="23">
        <f t="shared" si="20"/>
        <v>892.85714285714278</v>
      </c>
      <c r="M539" s="23">
        <f t="shared" si="21"/>
        <v>107.14285714285712</v>
      </c>
      <c r="N539" s="60">
        <v>1000</v>
      </c>
      <c r="O539" s="61" t="s">
        <v>2796</v>
      </c>
      <c r="P539" s="29" t="s">
        <v>1482</v>
      </c>
      <c r="Q539" s="29" t="s">
        <v>225</v>
      </c>
      <c r="R539" s="29" t="s">
        <v>2797</v>
      </c>
    </row>
    <row r="540" spans="1:18" x14ac:dyDescent="0.3">
      <c r="A540" s="59">
        <v>45664</v>
      </c>
      <c r="B540" s="33" t="s">
        <v>2798</v>
      </c>
      <c r="C540" s="33" t="s">
        <v>2799</v>
      </c>
      <c r="D540" s="32" t="s">
        <v>2800</v>
      </c>
      <c r="E540" s="44" t="s">
        <v>2801</v>
      </c>
      <c r="F540" s="44" t="s">
        <v>2802</v>
      </c>
      <c r="G540" s="44" t="s">
        <v>1833</v>
      </c>
      <c r="H540" s="29">
        <v>3</v>
      </c>
      <c r="I540" s="29" t="s">
        <v>605</v>
      </c>
      <c r="J540" s="29" t="s">
        <v>2787</v>
      </c>
      <c r="K540" s="29" t="s">
        <v>1586</v>
      </c>
      <c r="L540" s="23">
        <f t="shared" si="20"/>
        <v>714.28571428571422</v>
      </c>
      <c r="M540" s="23">
        <f t="shared" si="21"/>
        <v>85.714285714285708</v>
      </c>
      <c r="N540" s="60">
        <v>800</v>
      </c>
      <c r="O540" s="61" t="s">
        <v>2803</v>
      </c>
      <c r="P540" s="29" t="s">
        <v>2804</v>
      </c>
      <c r="Q540" s="29" t="s">
        <v>340</v>
      </c>
      <c r="R540" s="29" t="s">
        <v>2797</v>
      </c>
    </row>
    <row r="541" spans="1:18" x14ac:dyDescent="0.3">
      <c r="A541" s="59">
        <v>45664</v>
      </c>
      <c r="B541" s="33" t="s">
        <v>2805</v>
      </c>
      <c r="C541" s="32" t="s">
        <v>2806</v>
      </c>
      <c r="D541" s="32" t="s">
        <v>2807</v>
      </c>
      <c r="E541" s="44" t="s">
        <v>2808</v>
      </c>
      <c r="F541" s="44" t="s">
        <v>2809</v>
      </c>
      <c r="G541" s="44" t="s">
        <v>1833</v>
      </c>
      <c r="H541" s="29">
        <v>4</v>
      </c>
      <c r="I541" s="29" t="s">
        <v>605</v>
      </c>
      <c r="J541" s="29" t="s">
        <v>2787</v>
      </c>
      <c r="K541" s="29" t="s">
        <v>1586</v>
      </c>
      <c r="L541" s="23">
        <f t="shared" si="20"/>
        <v>624.99999999999989</v>
      </c>
      <c r="M541" s="23">
        <f t="shared" si="21"/>
        <v>74.999999999999986</v>
      </c>
      <c r="N541" s="60">
        <v>700</v>
      </c>
      <c r="O541" s="61" t="s">
        <v>2810</v>
      </c>
      <c r="P541" s="29" t="s">
        <v>2804</v>
      </c>
      <c r="Q541" s="29" t="s">
        <v>340</v>
      </c>
      <c r="R541" s="29" t="s">
        <v>2811</v>
      </c>
    </row>
    <row r="542" spans="1:18" x14ac:dyDescent="0.3">
      <c r="A542" s="59">
        <v>45665</v>
      </c>
      <c r="B542" s="33" t="s">
        <v>2812</v>
      </c>
      <c r="C542" s="32" t="s">
        <v>2813</v>
      </c>
      <c r="D542" s="32" t="s">
        <v>2814</v>
      </c>
      <c r="E542" s="44" t="s">
        <v>2815</v>
      </c>
      <c r="F542" s="44" t="s">
        <v>2816</v>
      </c>
      <c r="G542" s="44" t="s">
        <v>1833</v>
      </c>
      <c r="H542" s="29">
        <v>4</v>
      </c>
      <c r="I542" s="29" t="s">
        <v>605</v>
      </c>
      <c r="J542" s="250" t="s">
        <v>2817</v>
      </c>
      <c r="K542" s="251"/>
      <c r="L542" s="23">
        <f t="shared" si="20"/>
        <v>892.85714285714278</v>
      </c>
      <c r="M542" s="23">
        <f t="shared" si="21"/>
        <v>107.14285714285712</v>
      </c>
      <c r="N542" s="60">
        <v>1000</v>
      </c>
      <c r="O542" s="61" t="s">
        <v>2818</v>
      </c>
      <c r="P542" s="29" t="s">
        <v>1482</v>
      </c>
      <c r="Q542" s="29" t="s">
        <v>782</v>
      </c>
      <c r="R542" s="29" t="s">
        <v>2797</v>
      </c>
    </row>
    <row r="543" spans="1:18" x14ac:dyDescent="0.3">
      <c r="A543" s="59">
        <v>45665</v>
      </c>
      <c r="B543" s="33" t="s">
        <v>2819</v>
      </c>
      <c r="C543" s="32" t="s">
        <v>2820</v>
      </c>
      <c r="D543" s="32" t="s">
        <v>2821</v>
      </c>
      <c r="E543" s="44" t="s">
        <v>2822</v>
      </c>
      <c r="F543" s="44" t="s">
        <v>2823</v>
      </c>
      <c r="G543" s="44" t="s">
        <v>1833</v>
      </c>
      <c r="H543" s="29">
        <v>3</v>
      </c>
      <c r="I543" s="29" t="s">
        <v>605</v>
      </c>
      <c r="J543" s="250" t="s">
        <v>2824</v>
      </c>
      <c r="K543" s="251"/>
      <c r="L543" s="23">
        <f t="shared" si="20"/>
        <v>892.85714285714278</v>
      </c>
      <c r="M543" s="23">
        <f t="shared" si="21"/>
        <v>107.14285714285712</v>
      </c>
      <c r="N543" s="60">
        <v>1000</v>
      </c>
      <c r="O543" s="61" t="s">
        <v>2825</v>
      </c>
      <c r="P543" s="29" t="s">
        <v>782</v>
      </c>
      <c r="Q543" s="29" t="s">
        <v>225</v>
      </c>
      <c r="R543" s="29" t="s">
        <v>2797</v>
      </c>
    </row>
    <row r="544" spans="1:18" x14ac:dyDescent="0.3">
      <c r="A544" s="59">
        <v>45665</v>
      </c>
      <c r="B544" s="33" t="s">
        <v>2826</v>
      </c>
      <c r="C544" s="32" t="s">
        <v>2827</v>
      </c>
      <c r="D544" s="32" t="s">
        <v>2828</v>
      </c>
      <c r="E544" s="44" t="s">
        <v>2829</v>
      </c>
      <c r="F544" s="44" t="s">
        <v>2830</v>
      </c>
      <c r="G544" s="44" t="s">
        <v>1919</v>
      </c>
      <c r="H544" s="29">
        <v>3</v>
      </c>
      <c r="I544" s="29" t="s">
        <v>617</v>
      </c>
      <c r="J544" s="250" t="s">
        <v>2824</v>
      </c>
      <c r="K544" s="251"/>
      <c r="L544" s="23">
        <f t="shared" si="20"/>
        <v>937.49999999999989</v>
      </c>
      <c r="M544" s="23">
        <f t="shared" si="21"/>
        <v>112.49999999999999</v>
      </c>
      <c r="N544" s="60">
        <v>1050</v>
      </c>
      <c r="O544" s="61" t="s">
        <v>2831</v>
      </c>
      <c r="P544" s="29" t="s">
        <v>2832</v>
      </c>
      <c r="Q544" s="29" t="s">
        <v>225</v>
      </c>
      <c r="R544" s="29" t="s">
        <v>2797</v>
      </c>
    </row>
    <row r="545" spans="1:18" x14ac:dyDescent="0.3">
      <c r="A545" s="59">
        <v>45665</v>
      </c>
      <c r="B545" s="33" t="s">
        <v>2833</v>
      </c>
      <c r="C545" s="32" t="s">
        <v>2834</v>
      </c>
      <c r="D545" s="32" t="s">
        <v>2835</v>
      </c>
      <c r="E545" s="44" t="s">
        <v>2836</v>
      </c>
      <c r="F545" s="44" t="s">
        <v>2837</v>
      </c>
      <c r="G545" s="44" t="s">
        <v>1833</v>
      </c>
      <c r="H545" s="29">
        <v>2</v>
      </c>
      <c r="I545" s="29" t="s">
        <v>605</v>
      </c>
      <c r="J545" s="29" t="s">
        <v>2787</v>
      </c>
      <c r="K545" s="29" t="s">
        <v>1975</v>
      </c>
      <c r="L545" s="23">
        <f t="shared" si="20"/>
        <v>714.28571428571422</v>
      </c>
      <c r="M545" s="23">
        <f t="shared" si="21"/>
        <v>85.714285714285708</v>
      </c>
      <c r="N545" s="60">
        <v>800</v>
      </c>
      <c r="O545" s="61" t="s">
        <v>2838</v>
      </c>
      <c r="P545" s="29" t="s">
        <v>2832</v>
      </c>
      <c r="Q545" s="29" t="s">
        <v>782</v>
      </c>
      <c r="R545" s="29" t="s">
        <v>2811</v>
      </c>
    </row>
    <row r="546" spans="1:18" x14ac:dyDescent="0.3">
      <c r="A546" s="59">
        <v>45666</v>
      </c>
      <c r="B546" s="33" t="s">
        <v>2839</v>
      </c>
      <c r="C546" s="32" t="s">
        <v>2840</v>
      </c>
      <c r="D546" s="32" t="s">
        <v>2841</v>
      </c>
      <c r="E546" s="44" t="s">
        <v>2842</v>
      </c>
      <c r="F546" s="44" t="s">
        <v>2843</v>
      </c>
      <c r="G546" s="44" t="s">
        <v>1919</v>
      </c>
      <c r="H546" s="29">
        <v>6</v>
      </c>
      <c r="I546" s="29" t="s">
        <v>605</v>
      </c>
      <c r="J546" s="250" t="s">
        <v>2844</v>
      </c>
      <c r="K546" s="251"/>
      <c r="L546" s="23">
        <f t="shared" si="20"/>
        <v>0</v>
      </c>
      <c r="M546" s="23">
        <f t="shared" si="21"/>
        <v>0</v>
      </c>
      <c r="N546" s="60"/>
      <c r="O546" s="61" t="s">
        <v>2845</v>
      </c>
      <c r="P546" s="29" t="s">
        <v>225</v>
      </c>
      <c r="Q546" s="29" t="s">
        <v>225</v>
      </c>
      <c r="R546" s="29" t="s">
        <v>2811</v>
      </c>
    </row>
    <row r="547" spans="1:18" x14ac:dyDescent="0.3">
      <c r="A547" s="59">
        <v>45666</v>
      </c>
      <c r="B547" s="33" t="s">
        <v>2846</v>
      </c>
      <c r="C547" s="32" t="s">
        <v>2847</v>
      </c>
      <c r="D547" s="32" t="s">
        <v>2848</v>
      </c>
      <c r="E547" s="44" t="s">
        <v>2849</v>
      </c>
      <c r="F547" s="44" t="s">
        <v>2850</v>
      </c>
      <c r="G547" s="44" t="s">
        <v>1919</v>
      </c>
      <c r="H547" s="29">
        <v>5</v>
      </c>
      <c r="I547" s="29" t="s">
        <v>605</v>
      </c>
      <c r="J547" s="29"/>
      <c r="K547" s="29"/>
      <c r="L547" s="23">
        <f t="shared" si="20"/>
        <v>0</v>
      </c>
      <c r="M547" s="23">
        <f t="shared" si="21"/>
        <v>0</v>
      </c>
      <c r="N547" s="60"/>
      <c r="O547" s="61" t="s">
        <v>2851</v>
      </c>
      <c r="P547" s="29" t="s">
        <v>2804</v>
      </c>
      <c r="Q547" s="29" t="s">
        <v>65</v>
      </c>
      <c r="R547" s="29" t="s">
        <v>2811</v>
      </c>
    </row>
    <row r="548" spans="1:18" x14ac:dyDescent="0.3">
      <c r="A548" s="59">
        <v>45667</v>
      </c>
      <c r="B548" s="33" t="s">
        <v>2852</v>
      </c>
      <c r="C548" s="32" t="s">
        <v>2853</v>
      </c>
      <c r="D548" s="32" t="s">
        <v>2854</v>
      </c>
      <c r="E548" s="44" t="s">
        <v>2855</v>
      </c>
      <c r="F548" s="44" t="s">
        <v>2856</v>
      </c>
      <c r="G548" s="44" t="s">
        <v>1833</v>
      </c>
      <c r="H548" s="29">
        <v>5</v>
      </c>
      <c r="I548" s="29" t="s">
        <v>605</v>
      </c>
      <c r="J548" s="250" t="s">
        <v>2857</v>
      </c>
      <c r="K548" s="251"/>
      <c r="L548" s="23">
        <f t="shared" si="20"/>
        <v>1339.2857142857142</v>
      </c>
      <c r="M548" s="23">
        <f t="shared" si="21"/>
        <v>160.71428571428569</v>
      </c>
      <c r="N548" s="60">
        <v>1500</v>
      </c>
      <c r="O548" s="61" t="s">
        <v>2858</v>
      </c>
      <c r="P548" s="29" t="s">
        <v>2832</v>
      </c>
      <c r="Q548" s="29" t="s">
        <v>340</v>
      </c>
      <c r="R548" s="29" t="s">
        <v>2811</v>
      </c>
    </row>
    <row r="549" spans="1:18" x14ac:dyDescent="0.3">
      <c r="A549" s="59">
        <v>45667</v>
      </c>
      <c r="B549" s="33" t="s">
        <v>2859</v>
      </c>
      <c r="C549" s="32" t="s">
        <v>2860</v>
      </c>
      <c r="D549" s="32" t="s">
        <v>2861</v>
      </c>
      <c r="E549" s="44" t="s">
        <v>2862</v>
      </c>
      <c r="F549" s="44" t="s">
        <v>2863</v>
      </c>
      <c r="G549" s="44" t="s">
        <v>1919</v>
      </c>
      <c r="H549" s="29">
        <v>5</v>
      </c>
      <c r="I549" s="29" t="s">
        <v>605</v>
      </c>
      <c r="J549" s="250"/>
      <c r="K549" s="251"/>
      <c r="L549" s="23">
        <f t="shared" si="20"/>
        <v>0</v>
      </c>
      <c r="M549" s="23">
        <f t="shared" si="21"/>
        <v>0</v>
      </c>
      <c r="N549" s="60"/>
      <c r="O549" s="61" t="s">
        <v>2864</v>
      </c>
      <c r="P549" s="29" t="s">
        <v>2865</v>
      </c>
      <c r="Q549" s="29" t="s">
        <v>225</v>
      </c>
      <c r="R549" s="29" t="s">
        <v>2811</v>
      </c>
    </row>
    <row r="550" spans="1:18" x14ac:dyDescent="0.3">
      <c r="A550" s="59">
        <v>45668</v>
      </c>
      <c r="B550" s="33" t="s">
        <v>2866</v>
      </c>
      <c r="C550" s="32" t="s">
        <v>2867</v>
      </c>
      <c r="D550" s="32" t="s">
        <v>2868</v>
      </c>
      <c r="E550" s="44" t="s">
        <v>2869</v>
      </c>
      <c r="F550" s="44" t="s">
        <v>2870</v>
      </c>
      <c r="G550" s="44" t="s">
        <v>1919</v>
      </c>
      <c r="H550" s="29">
        <v>2</v>
      </c>
      <c r="I550" s="29" t="s">
        <v>605</v>
      </c>
      <c r="J550" s="29" t="s">
        <v>2787</v>
      </c>
      <c r="K550" s="29" t="s">
        <v>2488</v>
      </c>
      <c r="L550" s="23">
        <f t="shared" si="20"/>
        <v>624.99999999999989</v>
      </c>
      <c r="M550" s="23">
        <f t="shared" si="21"/>
        <v>74.999999999999986</v>
      </c>
      <c r="N550" s="60">
        <v>700</v>
      </c>
      <c r="O550" s="61" t="s">
        <v>2871</v>
      </c>
      <c r="P550" s="29" t="s">
        <v>2832</v>
      </c>
      <c r="Q550" s="29" t="s">
        <v>225</v>
      </c>
      <c r="R550" s="29" t="s">
        <v>2811</v>
      </c>
    </row>
    <row r="551" spans="1:18" x14ac:dyDescent="0.3">
      <c r="A551" s="59">
        <v>45671</v>
      </c>
      <c r="B551" s="33" t="s">
        <v>2872</v>
      </c>
      <c r="C551" s="32" t="s">
        <v>2873</v>
      </c>
      <c r="D551" s="32" t="s">
        <v>2874</v>
      </c>
      <c r="E551" s="44" t="s">
        <v>2875</v>
      </c>
      <c r="F551" s="44" t="s">
        <v>2876</v>
      </c>
      <c r="G551" s="44" t="s">
        <v>1833</v>
      </c>
      <c r="H551" s="29">
        <v>4</v>
      </c>
      <c r="I551" s="29" t="s">
        <v>605</v>
      </c>
      <c r="J551" s="250" t="s">
        <v>2857</v>
      </c>
      <c r="K551" s="251"/>
      <c r="L551" s="23">
        <f t="shared" si="20"/>
        <v>892.85714285714278</v>
      </c>
      <c r="M551" s="23">
        <f t="shared" si="21"/>
        <v>107.14285714285712</v>
      </c>
      <c r="N551" s="60">
        <v>1000</v>
      </c>
      <c r="O551" s="61" t="s">
        <v>2877</v>
      </c>
      <c r="P551" s="29" t="s">
        <v>2832</v>
      </c>
      <c r="Q551" s="29" t="s">
        <v>782</v>
      </c>
      <c r="R551" s="29" t="s">
        <v>2811</v>
      </c>
    </row>
    <row r="552" spans="1:18" x14ac:dyDescent="0.3">
      <c r="A552" s="59">
        <v>45674</v>
      </c>
      <c r="B552" s="33" t="s">
        <v>2878</v>
      </c>
      <c r="C552" s="32" t="s">
        <v>2879</v>
      </c>
      <c r="D552" s="32" t="s">
        <v>2880</v>
      </c>
      <c r="E552" s="44" t="s">
        <v>2881</v>
      </c>
      <c r="F552" s="44" t="s">
        <v>2882</v>
      </c>
      <c r="G552" s="44" t="s">
        <v>1826</v>
      </c>
      <c r="H552" s="29">
        <v>5</v>
      </c>
      <c r="I552" s="29" t="s">
        <v>617</v>
      </c>
      <c r="J552" s="250" t="s">
        <v>2883</v>
      </c>
      <c r="K552" s="251"/>
      <c r="L552" s="23">
        <f t="shared" si="20"/>
        <v>1776.7857142857142</v>
      </c>
      <c r="M552" s="23">
        <f t="shared" si="21"/>
        <v>213.21428571428569</v>
      </c>
      <c r="N552" s="60">
        <v>1990</v>
      </c>
      <c r="O552" s="61" t="s">
        <v>2884</v>
      </c>
      <c r="P552" s="29" t="s">
        <v>2804</v>
      </c>
      <c r="Q552" s="29" t="s">
        <v>340</v>
      </c>
      <c r="R552" s="29" t="s">
        <v>2811</v>
      </c>
    </row>
    <row r="553" spans="1:18" x14ac:dyDescent="0.3">
      <c r="A553" s="59">
        <v>45674</v>
      </c>
      <c r="B553" s="33" t="s">
        <v>2885</v>
      </c>
      <c r="C553" s="32" t="s">
        <v>2886</v>
      </c>
      <c r="D553" s="32" t="s">
        <v>2887</v>
      </c>
      <c r="E553" s="44" t="s">
        <v>2888</v>
      </c>
      <c r="F553" s="44" t="s">
        <v>2889</v>
      </c>
      <c r="G553" s="44" t="s">
        <v>1833</v>
      </c>
      <c r="H553" s="29">
        <v>4</v>
      </c>
      <c r="I553" s="29" t="s">
        <v>605</v>
      </c>
      <c r="J553" s="29"/>
      <c r="K553" s="29"/>
      <c r="L553" s="23">
        <f t="shared" si="20"/>
        <v>0</v>
      </c>
      <c r="M553" s="23">
        <f t="shared" si="21"/>
        <v>0</v>
      </c>
      <c r="N553" s="60"/>
      <c r="O553" s="61" t="s">
        <v>2890</v>
      </c>
      <c r="P553" s="29" t="s">
        <v>782</v>
      </c>
      <c r="Q553" s="29" t="s">
        <v>782</v>
      </c>
      <c r="R553" s="29" t="s">
        <v>2811</v>
      </c>
    </row>
    <row r="554" spans="1:18" x14ac:dyDescent="0.3">
      <c r="A554" s="59">
        <v>45674</v>
      </c>
      <c r="B554" s="33" t="s">
        <v>2891</v>
      </c>
      <c r="C554" s="32" t="s">
        <v>2892</v>
      </c>
      <c r="D554" s="32" t="s">
        <v>2893</v>
      </c>
      <c r="E554" s="44" t="s">
        <v>2894</v>
      </c>
      <c r="F554" s="44" t="s">
        <v>2895</v>
      </c>
      <c r="G554" s="44" t="s">
        <v>1826</v>
      </c>
      <c r="H554" s="29">
        <v>6</v>
      </c>
      <c r="I554" s="29" t="s">
        <v>617</v>
      </c>
      <c r="J554" s="29"/>
      <c r="K554" s="29"/>
      <c r="L554" s="23">
        <f t="shared" si="20"/>
        <v>0</v>
      </c>
      <c r="M554" s="23">
        <f t="shared" si="21"/>
        <v>0</v>
      </c>
      <c r="N554" s="60"/>
      <c r="O554" s="61" t="s">
        <v>2896</v>
      </c>
      <c r="P554" s="29" t="s">
        <v>2865</v>
      </c>
      <c r="Q554" s="29" t="s">
        <v>225</v>
      </c>
      <c r="R554" s="29" t="s">
        <v>2811</v>
      </c>
    </row>
    <row r="555" spans="1:18" x14ac:dyDescent="0.3">
      <c r="A555" s="59">
        <v>45675</v>
      </c>
      <c r="B555" s="33" t="s">
        <v>2897</v>
      </c>
      <c r="C555" s="32" t="s">
        <v>2898</v>
      </c>
      <c r="D555" s="32" t="s">
        <v>2899</v>
      </c>
      <c r="E555" s="44" t="s">
        <v>2900</v>
      </c>
      <c r="F555" s="44" t="s">
        <v>2901</v>
      </c>
      <c r="G555" s="44" t="s">
        <v>2763</v>
      </c>
      <c r="H555" s="29">
        <v>5</v>
      </c>
      <c r="I555" s="29" t="s">
        <v>617</v>
      </c>
      <c r="J555" s="250" t="s">
        <v>2902</v>
      </c>
      <c r="K555" s="251"/>
      <c r="L555" s="23">
        <f t="shared" si="20"/>
        <v>937.49999999999989</v>
      </c>
      <c r="M555" s="23">
        <f t="shared" si="21"/>
        <v>112.49999999999999</v>
      </c>
      <c r="N555" s="60">
        <v>1050</v>
      </c>
      <c r="O555" s="61" t="s">
        <v>2903</v>
      </c>
      <c r="P555" s="29" t="s">
        <v>335</v>
      </c>
      <c r="Q555" s="29" t="s">
        <v>335</v>
      </c>
      <c r="R555" s="29" t="s">
        <v>2811</v>
      </c>
    </row>
    <row r="556" spans="1:18" x14ac:dyDescent="0.3">
      <c r="A556" s="59">
        <v>45675</v>
      </c>
      <c r="B556" s="33" t="s">
        <v>2904</v>
      </c>
      <c r="C556" s="32" t="s">
        <v>2905</v>
      </c>
      <c r="D556" s="32" t="s">
        <v>2906</v>
      </c>
      <c r="E556" s="44" t="s">
        <v>2907</v>
      </c>
      <c r="F556" s="44" t="s">
        <v>2908</v>
      </c>
      <c r="G556" s="44" t="s">
        <v>1840</v>
      </c>
      <c r="H556" s="29">
        <v>7</v>
      </c>
      <c r="I556" s="29" t="s">
        <v>605</v>
      </c>
      <c r="J556" s="29" t="s">
        <v>2787</v>
      </c>
      <c r="K556" s="29" t="s">
        <v>1975</v>
      </c>
      <c r="L556" s="23">
        <f t="shared" si="20"/>
        <v>1776.7857142857142</v>
      </c>
      <c r="M556" s="23">
        <f t="shared" si="21"/>
        <v>213.21428571428569</v>
      </c>
      <c r="N556" s="60">
        <v>1990</v>
      </c>
      <c r="O556" s="61" t="s">
        <v>2909</v>
      </c>
      <c r="P556" s="29" t="s">
        <v>335</v>
      </c>
      <c r="Q556" s="29" t="s">
        <v>782</v>
      </c>
      <c r="R556" s="29" t="s">
        <v>2811</v>
      </c>
    </row>
    <row r="557" spans="1:18" x14ac:dyDescent="0.3">
      <c r="A557" s="59">
        <v>45675</v>
      </c>
      <c r="B557" s="33" t="s">
        <v>2910</v>
      </c>
      <c r="C557" s="32" t="s">
        <v>2911</v>
      </c>
      <c r="D557" s="32" t="s">
        <v>2912</v>
      </c>
      <c r="E557" s="44" t="s">
        <v>2913</v>
      </c>
      <c r="F557" s="44" t="s">
        <v>2914</v>
      </c>
      <c r="G557" s="44" t="s">
        <v>1833</v>
      </c>
      <c r="H557" s="29">
        <v>3</v>
      </c>
      <c r="I557" s="45" t="s">
        <v>605</v>
      </c>
      <c r="J557" s="29"/>
      <c r="K557" s="29"/>
      <c r="L557" s="23">
        <f t="shared" si="20"/>
        <v>0</v>
      </c>
      <c r="M557" s="23">
        <f t="shared" si="21"/>
        <v>0</v>
      </c>
      <c r="N557" s="60"/>
      <c r="O557" s="61" t="s">
        <v>2915</v>
      </c>
      <c r="P557" s="29" t="s">
        <v>65</v>
      </c>
      <c r="Q557" s="29" t="s">
        <v>225</v>
      </c>
      <c r="R557" s="29" t="s">
        <v>2797</v>
      </c>
    </row>
    <row r="558" spans="1:18" x14ac:dyDescent="0.3">
      <c r="A558" s="59">
        <v>45679</v>
      </c>
      <c r="B558" s="33" t="s">
        <v>2916</v>
      </c>
      <c r="C558" s="32" t="s">
        <v>385</v>
      </c>
      <c r="D558" s="32" t="s">
        <v>2917</v>
      </c>
      <c r="E558" s="44" t="s">
        <v>2918</v>
      </c>
      <c r="F558" s="44" t="s">
        <v>2919</v>
      </c>
      <c r="G558" s="44" t="s">
        <v>1919</v>
      </c>
      <c r="H558" s="29">
        <v>2</v>
      </c>
      <c r="I558" s="45" t="s">
        <v>605</v>
      </c>
      <c r="J558" s="258" t="s">
        <v>2920</v>
      </c>
      <c r="K558" s="259"/>
      <c r="L558" s="23">
        <f t="shared" si="20"/>
        <v>624.99999999999989</v>
      </c>
      <c r="M558" s="23">
        <f t="shared" si="21"/>
        <v>74.999999999999986</v>
      </c>
      <c r="N558" s="60">
        <v>700</v>
      </c>
      <c r="O558" s="61" t="s">
        <v>2921</v>
      </c>
      <c r="P558" s="29" t="s">
        <v>2832</v>
      </c>
      <c r="Q558" s="29" t="s">
        <v>225</v>
      </c>
      <c r="R558" s="29" t="s">
        <v>2811</v>
      </c>
    </row>
    <row r="559" spans="1:18" x14ac:dyDescent="0.3">
      <c r="A559" s="59">
        <v>45680</v>
      </c>
      <c r="B559" s="33" t="s">
        <v>2922</v>
      </c>
      <c r="C559" s="32" t="s">
        <v>2923</v>
      </c>
      <c r="D559" s="32" t="s">
        <v>2924</v>
      </c>
      <c r="E559" s="44" t="s">
        <v>2925</v>
      </c>
      <c r="F559" s="44" t="s">
        <v>2926</v>
      </c>
      <c r="G559" s="44" t="s">
        <v>1840</v>
      </c>
      <c r="H559" s="29">
        <v>5</v>
      </c>
      <c r="I559" s="29" t="s">
        <v>605</v>
      </c>
      <c r="J559" s="250" t="s">
        <v>2927</v>
      </c>
      <c r="K559" s="251"/>
      <c r="L559" s="23">
        <f t="shared" si="20"/>
        <v>1776.7857142857142</v>
      </c>
      <c r="M559" s="23">
        <f t="shared" si="21"/>
        <v>213.21428571428569</v>
      </c>
      <c r="N559" s="60">
        <v>1990</v>
      </c>
      <c r="O559" s="61" t="s">
        <v>2928</v>
      </c>
      <c r="P559" s="29" t="s">
        <v>2832</v>
      </c>
      <c r="Q559" s="29" t="s">
        <v>65</v>
      </c>
      <c r="R559" s="29" t="s">
        <v>2811</v>
      </c>
    </row>
    <row r="560" spans="1:18" x14ac:dyDescent="0.3">
      <c r="A560" s="59">
        <v>45680</v>
      </c>
      <c r="B560" s="33" t="s">
        <v>2929</v>
      </c>
      <c r="C560" s="32" t="s">
        <v>2930</v>
      </c>
      <c r="D560" s="32" t="s">
        <v>2931</v>
      </c>
      <c r="E560" s="44" t="s">
        <v>2932</v>
      </c>
      <c r="F560" s="44" t="s">
        <v>2933</v>
      </c>
      <c r="G560" s="44" t="s">
        <v>1826</v>
      </c>
      <c r="H560" s="29">
        <v>8</v>
      </c>
      <c r="I560" s="29" t="s">
        <v>617</v>
      </c>
      <c r="J560" s="250" t="s">
        <v>2927</v>
      </c>
      <c r="K560" s="251"/>
      <c r="L560" s="23">
        <f t="shared" si="20"/>
        <v>2669.6428571428569</v>
      </c>
      <c r="M560" s="23">
        <f t="shared" si="21"/>
        <v>320.35714285714283</v>
      </c>
      <c r="N560" s="60">
        <v>2990</v>
      </c>
      <c r="O560" s="61" t="s">
        <v>2934</v>
      </c>
      <c r="P560" s="29" t="s">
        <v>2865</v>
      </c>
      <c r="Q560" s="29" t="s">
        <v>225</v>
      </c>
      <c r="R560" s="29" t="s">
        <v>2811</v>
      </c>
    </row>
    <row r="561" spans="1:18" x14ac:dyDescent="0.3">
      <c r="A561" s="59">
        <v>45680</v>
      </c>
      <c r="B561" s="33" t="s">
        <v>2935</v>
      </c>
      <c r="C561" s="32" t="s">
        <v>2936</v>
      </c>
      <c r="D561" s="32" t="s">
        <v>2937</v>
      </c>
      <c r="E561" s="44" t="s">
        <v>2938</v>
      </c>
      <c r="F561" s="44" t="s">
        <v>2939</v>
      </c>
      <c r="G561" s="44" t="s">
        <v>1833</v>
      </c>
      <c r="H561" s="29">
        <v>2</v>
      </c>
      <c r="I561" s="29" t="s">
        <v>605</v>
      </c>
      <c r="J561" s="250" t="s">
        <v>2920</v>
      </c>
      <c r="K561" s="251"/>
      <c r="L561" s="23">
        <f>+N561/1.12</f>
        <v>624.99999999999989</v>
      </c>
      <c r="M561" s="23">
        <f>+L561*12%</f>
        <v>74.999999999999986</v>
      </c>
      <c r="N561" s="60">
        <v>700</v>
      </c>
      <c r="O561" s="61" t="s">
        <v>2940</v>
      </c>
      <c r="P561" s="29" t="s">
        <v>2865</v>
      </c>
      <c r="Q561" s="29" t="s">
        <v>2832</v>
      </c>
      <c r="R561" s="29" t="s">
        <v>2811</v>
      </c>
    </row>
    <row r="562" spans="1:18" x14ac:dyDescent="0.3">
      <c r="A562" s="59">
        <v>45680</v>
      </c>
      <c r="B562" s="33" t="s">
        <v>2941</v>
      </c>
      <c r="C562" s="32" t="s">
        <v>2942</v>
      </c>
      <c r="D562" s="32" t="s">
        <v>2943</v>
      </c>
      <c r="E562" s="44" t="s">
        <v>2944</v>
      </c>
      <c r="F562" s="44" t="s">
        <v>2945</v>
      </c>
      <c r="G562" s="44" t="s">
        <v>1833</v>
      </c>
      <c r="H562" s="29">
        <v>3</v>
      </c>
      <c r="I562" s="29" t="s">
        <v>605</v>
      </c>
      <c r="J562" s="250" t="s">
        <v>2883</v>
      </c>
      <c r="K562" s="251"/>
      <c r="L562" s="23">
        <f t="shared" ref="L562:L565" si="22">+N562/1.12</f>
        <v>892.85714285714278</v>
      </c>
      <c r="M562" s="23">
        <f t="shared" ref="M562:M565" si="23">+L562*12%</f>
        <v>107.14285714285712</v>
      </c>
      <c r="N562" s="60">
        <v>1000</v>
      </c>
      <c r="O562" s="61" t="s">
        <v>2946</v>
      </c>
      <c r="P562" s="29" t="s">
        <v>2804</v>
      </c>
      <c r="Q562" s="29" t="s">
        <v>2832</v>
      </c>
      <c r="R562" s="29" t="s">
        <v>2797</v>
      </c>
    </row>
    <row r="563" spans="1:18" x14ac:dyDescent="0.3">
      <c r="A563" s="59">
        <v>45681</v>
      </c>
      <c r="B563" s="33" t="s">
        <v>2947</v>
      </c>
      <c r="C563" s="32" t="s">
        <v>2415</v>
      </c>
      <c r="D563" s="32" t="s">
        <v>2948</v>
      </c>
      <c r="E563" s="44" t="s">
        <v>2949</v>
      </c>
      <c r="F563" s="44" t="s">
        <v>2950</v>
      </c>
      <c r="G563" s="44" t="s">
        <v>1840</v>
      </c>
      <c r="H563" s="29">
        <v>4</v>
      </c>
      <c r="I563" s="29" t="s">
        <v>617</v>
      </c>
      <c r="J563" s="250" t="s">
        <v>2951</v>
      </c>
      <c r="K563" s="251"/>
      <c r="L563" s="23">
        <f t="shared" si="22"/>
        <v>1026.7857142857142</v>
      </c>
      <c r="M563" s="23">
        <f t="shared" si="23"/>
        <v>123.21428571428571</v>
      </c>
      <c r="N563" s="60">
        <v>1150</v>
      </c>
      <c r="O563" s="61" t="s">
        <v>2952</v>
      </c>
      <c r="P563" s="29" t="s">
        <v>636</v>
      </c>
      <c r="Q563" s="29" t="s">
        <v>358</v>
      </c>
      <c r="R563" s="29" t="s">
        <v>2811</v>
      </c>
    </row>
    <row r="564" spans="1:18" x14ac:dyDescent="0.3">
      <c r="A564" s="59">
        <v>45681</v>
      </c>
      <c r="B564" s="33" t="s">
        <v>2953</v>
      </c>
      <c r="C564" s="32" t="s">
        <v>2954</v>
      </c>
      <c r="D564" s="32" t="s">
        <v>2955</v>
      </c>
      <c r="E564" s="44" t="s">
        <v>2956</v>
      </c>
      <c r="F564" s="44" t="s">
        <v>2957</v>
      </c>
      <c r="G564" s="44" t="s">
        <v>1840</v>
      </c>
      <c r="H564" s="29">
        <v>3</v>
      </c>
      <c r="I564" s="29" t="s">
        <v>605</v>
      </c>
      <c r="J564" s="250" t="s">
        <v>2920</v>
      </c>
      <c r="K564" s="251"/>
      <c r="L564" s="23">
        <f t="shared" si="22"/>
        <v>267.85714285714283</v>
      </c>
      <c r="M564" s="23">
        <f t="shared" si="23"/>
        <v>32.142857142857139</v>
      </c>
      <c r="N564" s="60">
        <v>300</v>
      </c>
      <c r="O564" s="61" t="s">
        <v>2958</v>
      </c>
      <c r="P564" s="29" t="s">
        <v>2804</v>
      </c>
      <c r="Q564" s="29" t="s">
        <v>65</v>
      </c>
      <c r="R564" s="29" t="s">
        <v>2959</v>
      </c>
    </row>
    <row r="565" spans="1:18" x14ac:dyDescent="0.3">
      <c r="A565" s="59">
        <v>45682</v>
      </c>
      <c r="B565" s="33" t="s">
        <v>2960</v>
      </c>
      <c r="C565" s="32" t="s">
        <v>183</v>
      </c>
      <c r="D565" s="32" t="s">
        <v>2961</v>
      </c>
      <c r="E565" s="44" t="s">
        <v>2962</v>
      </c>
      <c r="F565" s="44" t="s">
        <v>2963</v>
      </c>
      <c r="G565" s="44" t="s">
        <v>1833</v>
      </c>
      <c r="H565" s="29">
        <v>3</v>
      </c>
      <c r="I565" s="29" t="s">
        <v>605</v>
      </c>
      <c r="J565" s="250" t="s">
        <v>2883</v>
      </c>
      <c r="K565" s="251"/>
      <c r="L565" s="23">
        <f t="shared" si="22"/>
        <v>1071.4285714285713</v>
      </c>
      <c r="M565" s="23">
        <f t="shared" si="23"/>
        <v>128.57142857142856</v>
      </c>
      <c r="N565" s="60">
        <v>1200</v>
      </c>
      <c r="O565" s="61" t="s">
        <v>2964</v>
      </c>
      <c r="P565" s="29" t="s">
        <v>225</v>
      </c>
      <c r="Q565" s="29" t="s">
        <v>225</v>
      </c>
      <c r="R565" s="29" t="s">
        <v>2797</v>
      </c>
    </row>
    <row r="566" spans="1:18" x14ac:dyDescent="0.3">
      <c r="A566" s="59">
        <v>45692</v>
      </c>
      <c r="B566" s="33" t="s">
        <v>2965</v>
      </c>
      <c r="C566" s="32" t="s">
        <v>2966</v>
      </c>
      <c r="D566" s="32" t="s">
        <v>2967</v>
      </c>
      <c r="E566" s="44" t="s">
        <v>2968</v>
      </c>
      <c r="F566" s="44" t="s">
        <v>2969</v>
      </c>
      <c r="G566" s="76" t="s">
        <v>1840</v>
      </c>
      <c r="H566" s="76" t="s">
        <v>2763</v>
      </c>
      <c r="I566" s="76" t="s">
        <v>605</v>
      </c>
      <c r="J566" s="44" t="s">
        <v>2970</v>
      </c>
      <c r="K566" s="44" t="s">
        <v>200</v>
      </c>
      <c r="L566" s="23">
        <f>+N566/1.12</f>
        <v>624.99999999999989</v>
      </c>
      <c r="M566" s="23">
        <f>+L566*12%</f>
        <v>74.999999999999986</v>
      </c>
      <c r="N566" s="60">
        <v>700</v>
      </c>
      <c r="O566" s="61" t="s">
        <v>2971</v>
      </c>
      <c r="P566" s="29" t="s">
        <v>65</v>
      </c>
      <c r="Q566" s="29" t="s">
        <v>65</v>
      </c>
      <c r="R566" s="29" t="s">
        <v>2811</v>
      </c>
    </row>
    <row r="567" spans="1:18" x14ac:dyDescent="0.3">
      <c r="A567" s="59">
        <v>45693</v>
      </c>
      <c r="B567" s="33" t="s">
        <v>2972</v>
      </c>
      <c r="C567" s="32" t="s">
        <v>2973</v>
      </c>
      <c r="D567" s="32" t="s">
        <v>2974</v>
      </c>
      <c r="E567" s="44" t="s">
        <v>2975</v>
      </c>
      <c r="F567" s="44" t="s">
        <v>2976</v>
      </c>
      <c r="G567" s="44" t="s">
        <v>1840</v>
      </c>
      <c r="H567" s="29">
        <v>5</v>
      </c>
      <c r="I567" s="29" t="s">
        <v>605</v>
      </c>
      <c r="J567" s="29" t="s">
        <v>2970</v>
      </c>
      <c r="K567" s="29" t="s">
        <v>199</v>
      </c>
      <c r="L567" s="23">
        <f t="shared" ref="L567:L591" si="24">+N567/1.12</f>
        <v>892.85714285714278</v>
      </c>
      <c r="M567" s="23">
        <f t="shared" ref="M567:M591" si="25">+L567*12%</f>
        <v>107.14285714285712</v>
      </c>
      <c r="N567" s="60">
        <v>1000</v>
      </c>
      <c r="O567" s="61" t="s">
        <v>2977</v>
      </c>
      <c r="P567" s="29" t="s">
        <v>2832</v>
      </c>
      <c r="Q567" s="29" t="s">
        <v>65</v>
      </c>
      <c r="R567" s="29" t="s">
        <v>2978</v>
      </c>
    </row>
    <row r="568" spans="1:18" x14ac:dyDescent="0.3">
      <c r="A568" s="59">
        <v>45693</v>
      </c>
      <c r="B568" s="33" t="s">
        <v>2979</v>
      </c>
      <c r="C568" s="32" t="s">
        <v>2980</v>
      </c>
      <c r="D568" s="33" t="s">
        <v>2981</v>
      </c>
      <c r="E568" s="44" t="s">
        <v>2982</v>
      </c>
      <c r="F568" s="44" t="s">
        <v>2983</v>
      </c>
      <c r="G568" s="44" t="s">
        <v>1833</v>
      </c>
      <c r="H568" s="29">
        <v>3</v>
      </c>
      <c r="I568" s="29" t="s">
        <v>605</v>
      </c>
      <c r="J568" s="29" t="s">
        <v>2970</v>
      </c>
      <c r="K568" s="29" t="s">
        <v>199</v>
      </c>
      <c r="L568" s="23">
        <f t="shared" si="24"/>
        <v>624.99999999999989</v>
      </c>
      <c r="M568" s="23">
        <f t="shared" si="25"/>
        <v>74.999999999999986</v>
      </c>
      <c r="N568" s="60">
        <v>700</v>
      </c>
      <c r="O568" s="61" t="s">
        <v>2984</v>
      </c>
      <c r="P568" s="29" t="s">
        <v>2832</v>
      </c>
      <c r="Q568" s="29" t="s">
        <v>225</v>
      </c>
      <c r="R568" s="29" t="s">
        <v>2985</v>
      </c>
    </row>
    <row r="569" spans="1:18" x14ac:dyDescent="0.3">
      <c r="A569" s="59">
        <v>45693</v>
      </c>
      <c r="B569" s="33" t="s">
        <v>2986</v>
      </c>
      <c r="C569" s="32" t="s">
        <v>2987</v>
      </c>
      <c r="D569" s="32" t="s">
        <v>2988</v>
      </c>
      <c r="E569" s="44" t="s">
        <v>2989</v>
      </c>
      <c r="F569" s="44" t="s">
        <v>2990</v>
      </c>
      <c r="G569" s="44" t="s">
        <v>1833</v>
      </c>
      <c r="H569" s="29">
        <v>3</v>
      </c>
      <c r="I569" s="29" t="s">
        <v>605</v>
      </c>
      <c r="J569" s="29" t="s">
        <v>2970</v>
      </c>
      <c r="K569" s="29" t="s">
        <v>199</v>
      </c>
      <c r="L569" s="23">
        <f t="shared" si="24"/>
        <v>982.142857142857</v>
      </c>
      <c r="M569" s="23">
        <f t="shared" si="25"/>
        <v>117.85714285714283</v>
      </c>
      <c r="N569" s="60">
        <v>1100</v>
      </c>
      <c r="O569" s="61" t="s">
        <v>2991</v>
      </c>
      <c r="P569" s="29" t="s">
        <v>2804</v>
      </c>
      <c r="Q569" s="29" t="s">
        <v>2832</v>
      </c>
      <c r="R569" s="29" t="s">
        <v>2797</v>
      </c>
    </row>
    <row r="570" spans="1:18" x14ac:dyDescent="0.3">
      <c r="A570" s="59">
        <v>45693</v>
      </c>
      <c r="B570" s="33" t="s">
        <v>2992</v>
      </c>
      <c r="C570" s="32" t="s">
        <v>2993</v>
      </c>
      <c r="D570" s="32" t="s">
        <v>2994</v>
      </c>
      <c r="E570" s="44" t="s">
        <v>2995</v>
      </c>
      <c r="F570" s="44" t="s">
        <v>2996</v>
      </c>
      <c r="G570" s="44" t="s">
        <v>1833</v>
      </c>
      <c r="H570" s="29">
        <v>2</v>
      </c>
      <c r="I570" s="29" t="s">
        <v>605</v>
      </c>
      <c r="J570" s="29" t="s">
        <v>2970</v>
      </c>
      <c r="K570" s="29" t="s">
        <v>200</v>
      </c>
      <c r="L570" s="23">
        <f t="shared" si="24"/>
        <v>624.99999999999989</v>
      </c>
      <c r="M570" s="23">
        <f t="shared" si="25"/>
        <v>74.999999999999986</v>
      </c>
      <c r="N570" s="60">
        <v>700</v>
      </c>
      <c r="O570" s="61" t="s">
        <v>2997</v>
      </c>
      <c r="P570" s="29" t="s">
        <v>2804</v>
      </c>
      <c r="Q570" s="29" t="s">
        <v>225</v>
      </c>
      <c r="R570" s="29" t="s">
        <v>2811</v>
      </c>
    </row>
    <row r="571" spans="1:18" x14ac:dyDescent="0.3">
      <c r="A571" s="59">
        <v>45695</v>
      </c>
      <c r="B571" s="33" t="s">
        <v>2998</v>
      </c>
      <c r="C571" s="32" t="s">
        <v>2999</v>
      </c>
      <c r="D571" s="32" t="s">
        <v>3000</v>
      </c>
      <c r="E571" s="44" t="s">
        <v>3001</v>
      </c>
      <c r="F571" s="44" t="s">
        <v>3002</v>
      </c>
      <c r="G571" s="44" t="s">
        <v>1840</v>
      </c>
      <c r="H571" s="29">
        <v>5</v>
      </c>
      <c r="I571" s="29" t="s">
        <v>3003</v>
      </c>
      <c r="J571" s="29" t="s">
        <v>2970</v>
      </c>
      <c r="K571" s="29" t="s">
        <v>199</v>
      </c>
      <c r="L571" s="23">
        <f t="shared" si="24"/>
        <v>1776.7857142857142</v>
      </c>
      <c r="M571" s="23">
        <f t="shared" si="25"/>
        <v>213.21428571428569</v>
      </c>
      <c r="N571" s="60">
        <v>1990</v>
      </c>
      <c r="O571" s="61" t="s">
        <v>3004</v>
      </c>
      <c r="P571" s="29" t="s">
        <v>1482</v>
      </c>
      <c r="Q571" s="29" t="s">
        <v>65</v>
      </c>
      <c r="R571" s="29" t="s">
        <v>2797</v>
      </c>
    </row>
    <row r="572" spans="1:18" x14ac:dyDescent="0.3">
      <c r="A572" s="59">
        <v>45695</v>
      </c>
      <c r="B572" s="33" t="s">
        <v>3005</v>
      </c>
      <c r="C572" s="32" t="s">
        <v>3006</v>
      </c>
      <c r="D572" s="32" t="s">
        <v>3007</v>
      </c>
      <c r="E572" s="44" t="s">
        <v>3008</v>
      </c>
      <c r="F572" s="44" t="s">
        <v>3009</v>
      </c>
      <c r="G572" s="44" t="s">
        <v>1840</v>
      </c>
      <c r="H572" s="29">
        <v>3</v>
      </c>
      <c r="I572" s="29" t="s">
        <v>605</v>
      </c>
      <c r="J572" s="29" t="s">
        <v>2970</v>
      </c>
      <c r="K572" s="29" t="s">
        <v>199</v>
      </c>
      <c r="L572" s="23">
        <f t="shared" si="24"/>
        <v>758.92857142857133</v>
      </c>
      <c r="M572" s="23">
        <f t="shared" si="25"/>
        <v>91.071428571428555</v>
      </c>
      <c r="N572" s="60">
        <v>850</v>
      </c>
      <c r="O572" s="61" t="s">
        <v>3010</v>
      </c>
      <c r="P572" s="29" t="s">
        <v>1482</v>
      </c>
      <c r="Q572" s="29" t="s">
        <v>3011</v>
      </c>
      <c r="R572" s="29" t="s">
        <v>3012</v>
      </c>
    </row>
    <row r="573" spans="1:18" x14ac:dyDescent="0.3">
      <c r="A573" s="77">
        <v>45696</v>
      </c>
      <c r="B573" s="78" t="s">
        <v>3013</v>
      </c>
      <c r="C573" s="79" t="s">
        <v>3014</v>
      </c>
      <c r="D573" s="79" t="s">
        <v>3015</v>
      </c>
      <c r="E573" s="80" t="s">
        <v>3016</v>
      </c>
      <c r="F573" s="80" t="s">
        <v>3017</v>
      </c>
      <c r="G573" s="80" t="s">
        <v>1833</v>
      </c>
      <c r="H573" s="81">
        <v>3</v>
      </c>
      <c r="I573" s="81" t="s">
        <v>605</v>
      </c>
      <c r="J573" s="263" t="s">
        <v>2857</v>
      </c>
      <c r="K573" s="264"/>
      <c r="L573" s="82">
        <f t="shared" si="24"/>
        <v>446.42857142857139</v>
      </c>
      <c r="M573" s="82">
        <f t="shared" si="25"/>
        <v>53.571428571428562</v>
      </c>
      <c r="N573" s="83">
        <v>500</v>
      </c>
      <c r="O573" s="84" t="s">
        <v>3018</v>
      </c>
      <c r="P573" s="81" t="s">
        <v>1482</v>
      </c>
      <c r="Q573" s="81" t="s">
        <v>340</v>
      </c>
      <c r="R573" s="81" t="s">
        <v>3019</v>
      </c>
    </row>
    <row r="574" spans="1:18" x14ac:dyDescent="0.3">
      <c r="A574" s="77">
        <v>45700</v>
      </c>
      <c r="B574" s="78" t="s">
        <v>3020</v>
      </c>
      <c r="C574" s="79" t="s">
        <v>3021</v>
      </c>
      <c r="D574" s="79" t="s">
        <v>3022</v>
      </c>
      <c r="E574" s="80" t="s">
        <v>3023</v>
      </c>
      <c r="F574" s="80" t="s">
        <v>3024</v>
      </c>
      <c r="G574" s="80" t="s">
        <v>1962</v>
      </c>
      <c r="H574" s="81">
        <v>10</v>
      </c>
      <c r="I574" s="81" t="s">
        <v>605</v>
      </c>
      <c r="J574" s="263" t="s">
        <v>2857</v>
      </c>
      <c r="K574" s="264"/>
      <c r="L574" s="82">
        <f t="shared" si="24"/>
        <v>2677.6785714285711</v>
      </c>
      <c r="M574" s="82">
        <f t="shared" si="25"/>
        <v>321.3214285714285</v>
      </c>
      <c r="N574" s="83">
        <v>2999</v>
      </c>
      <c r="O574" s="84" t="s">
        <v>3025</v>
      </c>
      <c r="P574" s="81" t="s">
        <v>1482</v>
      </c>
      <c r="Q574" s="81" t="s">
        <v>3026</v>
      </c>
      <c r="R574" s="81" t="s">
        <v>2811</v>
      </c>
    </row>
    <row r="575" spans="1:18" x14ac:dyDescent="0.3">
      <c r="A575" s="59">
        <v>45700</v>
      </c>
      <c r="B575" s="33" t="s">
        <v>3027</v>
      </c>
      <c r="C575" s="32" t="s">
        <v>3028</v>
      </c>
      <c r="D575" s="32" t="s">
        <v>3029</v>
      </c>
      <c r="E575" s="44" t="s">
        <v>3030</v>
      </c>
      <c r="F575" s="44" t="s">
        <v>3031</v>
      </c>
      <c r="G575" s="44" t="s">
        <v>2153</v>
      </c>
      <c r="H575" s="29">
        <v>15</v>
      </c>
      <c r="I575" s="29" t="s">
        <v>605</v>
      </c>
      <c r="J575" s="29"/>
      <c r="K575" s="29"/>
      <c r="L575" s="23">
        <f t="shared" si="24"/>
        <v>0</v>
      </c>
      <c r="M575" s="23">
        <f t="shared" si="25"/>
        <v>0</v>
      </c>
      <c r="N575" s="62"/>
      <c r="O575" s="61" t="s">
        <v>3032</v>
      </c>
      <c r="P575" s="29" t="s">
        <v>1482</v>
      </c>
      <c r="Q575" s="29" t="s">
        <v>2832</v>
      </c>
      <c r="R575" s="29" t="s">
        <v>3033</v>
      </c>
    </row>
    <row r="576" spans="1:18" x14ac:dyDescent="0.3">
      <c r="A576" s="59">
        <v>45701</v>
      </c>
      <c r="B576" s="33" t="s">
        <v>3034</v>
      </c>
      <c r="C576" s="32" t="s">
        <v>1698</v>
      </c>
      <c r="D576" s="32" t="s">
        <v>3035</v>
      </c>
      <c r="E576" s="44" t="s">
        <v>3036</v>
      </c>
      <c r="F576" s="44" t="s">
        <v>3037</v>
      </c>
      <c r="G576" s="44" t="s">
        <v>1919</v>
      </c>
      <c r="H576" s="29">
        <v>2</v>
      </c>
      <c r="I576" s="29" t="s">
        <v>605</v>
      </c>
      <c r="J576" s="29" t="s">
        <v>3038</v>
      </c>
      <c r="K576" s="29" t="s">
        <v>200</v>
      </c>
      <c r="L576" s="23">
        <f t="shared" si="24"/>
        <v>624.99999999999989</v>
      </c>
      <c r="M576" s="23">
        <f t="shared" si="25"/>
        <v>74.999999999999986</v>
      </c>
      <c r="N576" s="62">
        <v>700</v>
      </c>
      <c r="O576" s="61" t="s">
        <v>3039</v>
      </c>
      <c r="P576" s="29" t="s">
        <v>1482</v>
      </c>
      <c r="Q576" s="29" t="s">
        <v>3026</v>
      </c>
      <c r="R576" s="29" t="s">
        <v>2811</v>
      </c>
    </row>
    <row r="577" spans="1:18" x14ac:dyDescent="0.3">
      <c r="A577" s="59">
        <v>45701</v>
      </c>
      <c r="B577" s="33" t="s">
        <v>3040</v>
      </c>
      <c r="C577" s="32" t="s">
        <v>3041</v>
      </c>
      <c r="D577" s="32" t="s">
        <v>3042</v>
      </c>
      <c r="E577" s="44" t="s">
        <v>3043</v>
      </c>
      <c r="F577" s="44" t="s">
        <v>3044</v>
      </c>
      <c r="G577" s="44" t="s">
        <v>1962</v>
      </c>
      <c r="H577" s="29">
        <v>1</v>
      </c>
      <c r="I577" s="29" t="s">
        <v>605</v>
      </c>
      <c r="J577" s="29" t="s">
        <v>3038</v>
      </c>
      <c r="K577" s="29" t="s">
        <v>200</v>
      </c>
      <c r="L577" s="23">
        <f t="shared" si="24"/>
        <v>892.85714285714278</v>
      </c>
      <c r="M577" s="23">
        <f t="shared" si="25"/>
        <v>107.14285714285712</v>
      </c>
      <c r="N577" s="60">
        <v>1000</v>
      </c>
      <c r="O577" s="61" t="s">
        <v>3045</v>
      </c>
      <c r="P577" s="29" t="s">
        <v>371</v>
      </c>
      <c r="Q577" s="29" t="s">
        <v>65</v>
      </c>
      <c r="R577" s="29" t="s">
        <v>3046</v>
      </c>
    </row>
    <row r="578" spans="1:18" x14ac:dyDescent="0.3">
      <c r="A578" s="59">
        <v>45701</v>
      </c>
      <c r="B578" s="33" t="s">
        <v>3047</v>
      </c>
      <c r="C578" s="32" t="s">
        <v>3048</v>
      </c>
      <c r="D578" s="32" t="s">
        <v>3049</v>
      </c>
      <c r="E578" s="44" t="s">
        <v>3050</v>
      </c>
      <c r="F578" s="44" t="s">
        <v>3051</v>
      </c>
      <c r="G578" s="44" t="s">
        <v>1919</v>
      </c>
      <c r="H578" s="29">
        <v>2</v>
      </c>
      <c r="I578" s="29" t="s">
        <v>605</v>
      </c>
      <c r="J578" s="29" t="s">
        <v>3038</v>
      </c>
      <c r="K578" s="29" t="s">
        <v>200</v>
      </c>
      <c r="L578" s="23">
        <f t="shared" si="24"/>
        <v>624.99999999999989</v>
      </c>
      <c r="M578" s="23">
        <f t="shared" si="25"/>
        <v>74.999999999999986</v>
      </c>
      <c r="N578" s="60">
        <v>700</v>
      </c>
      <c r="O578" s="61" t="s">
        <v>3052</v>
      </c>
      <c r="P578" s="29" t="s">
        <v>1482</v>
      </c>
      <c r="Q578" s="29" t="s">
        <v>3026</v>
      </c>
      <c r="R578" s="29" t="s">
        <v>2797</v>
      </c>
    </row>
    <row r="579" spans="1:18" x14ac:dyDescent="0.3">
      <c r="A579" s="59">
        <v>45701</v>
      </c>
      <c r="B579" s="33" t="s">
        <v>3053</v>
      </c>
      <c r="C579" s="32" t="s">
        <v>3054</v>
      </c>
      <c r="D579" s="32" t="s">
        <v>3055</v>
      </c>
      <c r="E579" s="44" t="s">
        <v>3056</v>
      </c>
      <c r="F579" s="44" t="s">
        <v>3057</v>
      </c>
      <c r="G579" s="44" t="s">
        <v>1919</v>
      </c>
      <c r="H579" s="29">
        <v>5</v>
      </c>
      <c r="I579" s="29" t="s">
        <v>605</v>
      </c>
      <c r="J579" s="29" t="s">
        <v>3038</v>
      </c>
      <c r="K579" s="29" t="s">
        <v>199</v>
      </c>
      <c r="L579" s="23">
        <f t="shared" si="24"/>
        <v>1339.2857142857142</v>
      </c>
      <c r="M579" s="23">
        <f t="shared" si="25"/>
        <v>160.71428571428569</v>
      </c>
      <c r="N579" s="60">
        <v>1500</v>
      </c>
      <c r="O579" s="61" t="s">
        <v>3058</v>
      </c>
      <c r="P579" s="29" t="s">
        <v>2832</v>
      </c>
      <c r="Q579" s="29" t="s">
        <v>358</v>
      </c>
      <c r="R579" s="29" t="s">
        <v>2811</v>
      </c>
    </row>
    <row r="580" spans="1:18" x14ac:dyDescent="0.3">
      <c r="A580" s="85">
        <v>45701</v>
      </c>
      <c r="B580" s="86" t="s">
        <v>3059</v>
      </c>
      <c r="C580" s="87" t="s">
        <v>3060</v>
      </c>
      <c r="D580" s="87" t="s">
        <v>3061</v>
      </c>
      <c r="E580" s="88" t="s">
        <v>3062</v>
      </c>
      <c r="F580" s="88" t="s">
        <v>3063</v>
      </c>
      <c r="G580" s="88" t="s">
        <v>1919</v>
      </c>
      <c r="H580" s="89">
        <v>3</v>
      </c>
      <c r="I580" s="89" t="s">
        <v>605</v>
      </c>
      <c r="J580" s="265" t="s">
        <v>2857</v>
      </c>
      <c r="K580" s="266"/>
      <c r="L580" s="90">
        <f t="shared" si="24"/>
        <v>624.99999999999989</v>
      </c>
      <c r="M580" s="90">
        <f t="shared" si="25"/>
        <v>74.999999999999986</v>
      </c>
      <c r="N580" s="91">
        <v>700</v>
      </c>
      <c r="O580" s="92" t="s">
        <v>3064</v>
      </c>
      <c r="P580" s="89" t="s">
        <v>2865</v>
      </c>
      <c r="Q580" s="89" t="s">
        <v>65</v>
      </c>
      <c r="R580" s="89" t="s">
        <v>3065</v>
      </c>
    </row>
    <row r="581" spans="1:18" x14ac:dyDescent="0.3">
      <c r="A581" s="59">
        <v>45703</v>
      </c>
      <c r="B581" s="33" t="s">
        <v>3066</v>
      </c>
      <c r="C581" s="32" t="s">
        <v>3067</v>
      </c>
      <c r="D581" s="32" t="s">
        <v>3068</v>
      </c>
      <c r="E581" s="44" t="s">
        <v>3069</v>
      </c>
      <c r="F581" s="44" t="s">
        <v>3070</v>
      </c>
      <c r="G581" s="44" t="s">
        <v>1840</v>
      </c>
      <c r="H581" s="29">
        <v>2</v>
      </c>
      <c r="I581" s="29" t="s">
        <v>605</v>
      </c>
      <c r="J581" s="29" t="s">
        <v>3038</v>
      </c>
      <c r="K581" s="29" t="s">
        <v>199</v>
      </c>
      <c r="L581" s="23">
        <f t="shared" si="24"/>
        <v>624.99999999999989</v>
      </c>
      <c r="M581" s="23">
        <f t="shared" si="25"/>
        <v>74.999999999999986</v>
      </c>
      <c r="N581" s="60">
        <v>700</v>
      </c>
      <c r="O581" s="61" t="s">
        <v>3071</v>
      </c>
      <c r="P581" s="29" t="s">
        <v>2865</v>
      </c>
      <c r="Q581" s="29" t="s">
        <v>3026</v>
      </c>
      <c r="R581" s="29" t="s">
        <v>2811</v>
      </c>
    </row>
    <row r="582" spans="1:18" x14ac:dyDescent="0.3">
      <c r="A582" s="59">
        <v>45707</v>
      </c>
      <c r="B582" s="33" t="s">
        <v>3072</v>
      </c>
      <c r="C582" s="32" t="s">
        <v>3073</v>
      </c>
      <c r="D582" s="32" t="s">
        <v>3074</v>
      </c>
      <c r="E582" s="44" t="s">
        <v>3075</v>
      </c>
      <c r="F582" s="44" t="s">
        <v>3076</v>
      </c>
      <c r="G582" s="44" t="s">
        <v>1833</v>
      </c>
      <c r="H582" s="29">
        <v>3</v>
      </c>
      <c r="I582" s="29" t="s">
        <v>605</v>
      </c>
      <c r="J582" s="29" t="s">
        <v>3038</v>
      </c>
      <c r="K582" s="29" t="s">
        <v>332</v>
      </c>
      <c r="L582" s="23">
        <f t="shared" si="24"/>
        <v>892.85714285714278</v>
      </c>
      <c r="M582" s="23">
        <f t="shared" si="25"/>
        <v>107.14285714285712</v>
      </c>
      <c r="N582" s="60">
        <v>1000</v>
      </c>
      <c r="O582" s="61" t="s">
        <v>3077</v>
      </c>
      <c r="P582" s="29" t="s">
        <v>371</v>
      </c>
      <c r="Q582" s="29" t="s">
        <v>340</v>
      </c>
      <c r="R582" s="29" t="s">
        <v>2797</v>
      </c>
    </row>
    <row r="583" spans="1:18" x14ac:dyDescent="0.3">
      <c r="A583" s="59">
        <v>45707</v>
      </c>
      <c r="B583" s="33" t="s">
        <v>3078</v>
      </c>
      <c r="C583" s="32" t="s">
        <v>3079</v>
      </c>
      <c r="D583" s="32" t="s">
        <v>3080</v>
      </c>
      <c r="E583" s="44" t="s">
        <v>3081</v>
      </c>
      <c r="F583" s="44" t="s">
        <v>3082</v>
      </c>
      <c r="G583" s="44" t="s">
        <v>1962</v>
      </c>
      <c r="H583" s="29">
        <v>5</v>
      </c>
      <c r="I583" s="29" t="s">
        <v>605</v>
      </c>
      <c r="J583" s="29" t="s">
        <v>3038</v>
      </c>
      <c r="K583" s="29" t="s">
        <v>200</v>
      </c>
      <c r="L583" s="23">
        <f t="shared" si="24"/>
        <v>2669.6428571428569</v>
      </c>
      <c r="M583" s="23">
        <f t="shared" si="25"/>
        <v>320.35714285714283</v>
      </c>
      <c r="N583" s="60">
        <v>2990</v>
      </c>
      <c r="O583" s="61" t="s">
        <v>3083</v>
      </c>
      <c r="P583" s="29" t="s">
        <v>65</v>
      </c>
      <c r="Q583" s="29" t="s">
        <v>358</v>
      </c>
      <c r="R583" s="29" t="s">
        <v>2797</v>
      </c>
    </row>
    <row r="584" spans="1:18" x14ac:dyDescent="0.3">
      <c r="A584" s="93">
        <v>45708</v>
      </c>
      <c r="B584" s="94" t="s">
        <v>3084</v>
      </c>
      <c r="C584" s="95" t="s">
        <v>3085</v>
      </c>
      <c r="D584" s="95" t="s">
        <v>998</v>
      </c>
      <c r="E584" s="96" t="s">
        <v>3086</v>
      </c>
      <c r="F584" s="96" t="s">
        <v>3087</v>
      </c>
      <c r="G584" s="96" t="s">
        <v>3088</v>
      </c>
      <c r="H584" s="97">
        <v>3</v>
      </c>
      <c r="I584" s="97" t="s">
        <v>605</v>
      </c>
      <c r="J584" s="97" t="s">
        <v>225</v>
      </c>
      <c r="K584" s="97" t="s">
        <v>200</v>
      </c>
      <c r="L584" s="98">
        <f t="shared" si="24"/>
        <v>714.28571428571422</v>
      </c>
      <c r="M584" s="98">
        <f t="shared" si="25"/>
        <v>85.714285714285708</v>
      </c>
      <c r="N584" s="99">
        <v>800</v>
      </c>
      <c r="O584" s="100" t="s">
        <v>3089</v>
      </c>
      <c r="P584" s="97" t="s">
        <v>2804</v>
      </c>
      <c r="Q584" s="97" t="s">
        <v>2832</v>
      </c>
      <c r="R584" s="97" t="s">
        <v>2797</v>
      </c>
    </row>
    <row r="585" spans="1:18" x14ac:dyDescent="0.3">
      <c r="A585" s="93">
        <v>45709</v>
      </c>
      <c r="B585" s="94" t="s">
        <v>3090</v>
      </c>
      <c r="C585" s="95" t="s">
        <v>3091</v>
      </c>
      <c r="D585" s="95" t="s">
        <v>3092</v>
      </c>
      <c r="E585" s="96" t="s">
        <v>3093</v>
      </c>
      <c r="F585" s="96" t="s">
        <v>3094</v>
      </c>
      <c r="G585" s="96" t="s">
        <v>1919</v>
      </c>
      <c r="H585" s="97">
        <v>2</v>
      </c>
      <c r="I585" s="101" t="s">
        <v>605</v>
      </c>
      <c r="J585" s="97" t="s">
        <v>225</v>
      </c>
      <c r="K585" s="97" t="s">
        <v>199</v>
      </c>
      <c r="L585" s="102">
        <f t="shared" si="24"/>
        <v>714.28571428571422</v>
      </c>
      <c r="M585" s="98">
        <f t="shared" si="25"/>
        <v>85.714285714285708</v>
      </c>
      <c r="N585" s="99">
        <v>800</v>
      </c>
      <c r="O585" s="100" t="s">
        <v>3095</v>
      </c>
      <c r="P585" s="97" t="s">
        <v>335</v>
      </c>
      <c r="Q585" s="97" t="s">
        <v>3096</v>
      </c>
      <c r="R585" s="97" t="s">
        <v>2797</v>
      </c>
    </row>
    <row r="586" spans="1:18" x14ac:dyDescent="0.3">
      <c r="A586" s="93">
        <v>45709</v>
      </c>
      <c r="B586" s="94" t="s">
        <v>3097</v>
      </c>
      <c r="C586" s="95" t="s">
        <v>3098</v>
      </c>
      <c r="D586" s="95" t="s">
        <v>3099</v>
      </c>
      <c r="E586" s="96" t="s">
        <v>3100</v>
      </c>
      <c r="F586" s="96" t="s">
        <v>3101</v>
      </c>
      <c r="G586" s="96" t="s">
        <v>1826</v>
      </c>
      <c r="H586" s="97">
        <v>6</v>
      </c>
      <c r="I586" s="101" t="s">
        <v>605</v>
      </c>
      <c r="J586" s="103" t="s">
        <v>225</v>
      </c>
      <c r="K586" s="103" t="s">
        <v>199</v>
      </c>
      <c r="L586" s="102">
        <f t="shared" si="24"/>
        <v>2232.1428571428569</v>
      </c>
      <c r="M586" s="98">
        <f t="shared" si="25"/>
        <v>267.85714285714283</v>
      </c>
      <c r="N586" s="99">
        <v>2500</v>
      </c>
      <c r="O586" s="100" t="s">
        <v>3102</v>
      </c>
      <c r="P586" s="97" t="s">
        <v>1482</v>
      </c>
      <c r="Q586" s="97" t="s">
        <v>337</v>
      </c>
      <c r="R586" s="97" t="s">
        <v>2811</v>
      </c>
    </row>
    <row r="587" spans="1:18" x14ac:dyDescent="0.3">
      <c r="A587" s="59">
        <v>45713</v>
      </c>
      <c r="B587" s="33" t="s">
        <v>3103</v>
      </c>
      <c r="C587" s="32" t="s">
        <v>3104</v>
      </c>
      <c r="D587" s="32" t="s">
        <v>3105</v>
      </c>
      <c r="E587" s="44" t="s">
        <v>3106</v>
      </c>
      <c r="F587" s="44" t="s">
        <v>3107</v>
      </c>
      <c r="G587" s="44" t="s">
        <v>1826</v>
      </c>
      <c r="H587" s="29">
        <v>8</v>
      </c>
      <c r="I587" s="29" t="s">
        <v>611</v>
      </c>
      <c r="J587" s="104" t="s">
        <v>3108</v>
      </c>
      <c r="K587" s="104" t="s">
        <v>200</v>
      </c>
      <c r="L587" s="23">
        <f t="shared" si="24"/>
        <v>2669.6428571428569</v>
      </c>
      <c r="M587" s="23">
        <f t="shared" si="25"/>
        <v>320.35714285714283</v>
      </c>
      <c r="N587" s="60">
        <v>2990</v>
      </c>
      <c r="O587" s="61" t="s">
        <v>3109</v>
      </c>
      <c r="P587" s="29" t="s">
        <v>1482</v>
      </c>
      <c r="Q587" s="29" t="s">
        <v>225</v>
      </c>
      <c r="R587" s="29" t="s">
        <v>2811</v>
      </c>
    </row>
    <row r="588" spans="1:18" x14ac:dyDescent="0.3">
      <c r="A588" s="59">
        <v>45713</v>
      </c>
      <c r="B588" s="33" t="s">
        <v>3110</v>
      </c>
      <c r="C588" s="32" t="s">
        <v>3111</v>
      </c>
      <c r="D588" s="32" t="s">
        <v>3112</v>
      </c>
      <c r="E588" s="44" t="s">
        <v>3113</v>
      </c>
      <c r="F588" s="44" t="s">
        <v>3114</v>
      </c>
      <c r="G588" s="44" t="s">
        <v>1919</v>
      </c>
      <c r="H588" s="29">
        <v>7</v>
      </c>
      <c r="I588" s="29" t="s">
        <v>3115</v>
      </c>
      <c r="J588" s="29" t="s">
        <v>3108</v>
      </c>
      <c r="K588" s="29" t="s">
        <v>200</v>
      </c>
      <c r="L588" s="23">
        <f t="shared" si="24"/>
        <v>1339.2857142857142</v>
      </c>
      <c r="M588" s="23">
        <f t="shared" si="25"/>
        <v>160.71428571428569</v>
      </c>
      <c r="N588" s="60">
        <v>1500</v>
      </c>
      <c r="O588" s="61" t="s">
        <v>3116</v>
      </c>
      <c r="P588" s="29" t="s">
        <v>3117</v>
      </c>
      <c r="Q588" s="29" t="s">
        <v>3026</v>
      </c>
      <c r="R588" s="29" t="s">
        <v>2811</v>
      </c>
    </row>
    <row r="589" spans="1:18" x14ac:dyDescent="0.3">
      <c r="A589" s="59">
        <v>45713</v>
      </c>
      <c r="B589" s="33" t="s">
        <v>3118</v>
      </c>
      <c r="C589" s="32" t="s">
        <v>2142</v>
      </c>
      <c r="D589" s="32" t="s">
        <v>3119</v>
      </c>
      <c r="E589" s="44" t="s">
        <v>3120</v>
      </c>
      <c r="F589" s="44" t="s">
        <v>3121</v>
      </c>
      <c r="G589" s="44" t="s">
        <v>1840</v>
      </c>
      <c r="H589" s="29">
        <v>8</v>
      </c>
      <c r="I589" s="29" t="s">
        <v>3122</v>
      </c>
      <c r="J589" s="29" t="s">
        <v>3108</v>
      </c>
      <c r="K589" s="29" t="s">
        <v>200</v>
      </c>
      <c r="L589" s="23">
        <f t="shared" si="24"/>
        <v>1339.2857142857142</v>
      </c>
      <c r="M589" s="23">
        <f t="shared" si="25"/>
        <v>160.71428571428569</v>
      </c>
      <c r="N589" s="60">
        <v>1500</v>
      </c>
      <c r="O589" s="61" t="s">
        <v>3123</v>
      </c>
      <c r="P589" s="29" t="s">
        <v>335</v>
      </c>
      <c r="Q589" s="29" t="s">
        <v>3124</v>
      </c>
      <c r="R589" s="29" t="s">
        <v>2811</v>
      </c>
    </row>
    <row r="590" spans="1:18" x14ac:dyDescent="0.3">
      <c r="A590" s="59">
        <v>45713</v>
      </c>
      <c r="B590" s="33" t="s">
        <v>3125</v>
      </c>
      <c r="C590" s="32" t="s">
        <v>3126</v>
      </c>
      <c r="D590" s="32" t="s">
        <v>3127</v>
      </c>
      <c r="E590" s="44" t="s">
        <v>3128</v>
      </c>
      <c r="F590" s="44" t="s">
        <v>3129</v>
      </c>
      <c r="G590" s="44" t="s">
        <v>1840</v>
      </c>
      <c r="H590" s="29">
        <v>3</v>
      </c>
      <c r="I590" s="29" t="s">
        <v>611</v>
      </c>
      <c r="J590" s="29" t="s">
        <v>3108</v>
      </c>
      <c r="K590" s="29" t="s">
        <v>199</v>
      </c>
      <c r="L590" s="23">
        <f t="shared" si="24"/>
        <v>937.49999999999989</v>
      </c>
      <c r="M590" s="23">
        <f t="shared" si="25"/>
        <v>112.49999999999999</v>
      </c>
      <c r="N590" s="60">
        <v>1050</v>
      </c>
      <c r="O590" s="61" t="s">
        <v>3130</v>
      </c>
      <c r="P590" s="29" t="s">
        <v>2804</v>
      </c>
      <c r="Q590" s="29" t="s">
        <v>65</v>
      </c>
      <c r="R590" s="29" t="s">
        <v>2797</v>
      </c>
    </row>
    <row r="591" spans="1:18" x14ac:dyDescent="0.3">
      <c r="A591" s="59">
        <v>45714</v>
      </c>
      <c r="B591" s="33" t="s">
        <v>3131</v>
      </c>
      <c r="C591" s="32" t="s">
        <v>410</v>
      </c>
      <c r="D591" s="32" t="s">
        <v>3132</v>
      </c>
      <c r="E591" s="44" t="s">
        <v>3133</v>
      </c>
      <c r="F591" s="44" t="s">
        <v>3134</v>
      </c>
      <c r="G591" s="44" t="s">
        <v>1840</v>
      </c>
      <c r="H591" s="29">
        <v>4</v>
      </c>
      <c r="I591" s="29" t="s">
        <v>605</v>
      </c>
      <c r="J591" s="250" t="s">
        <v>3135</v>
      </c>
      <c r="K591" s="251"/>
      <c r="L591" s="23">
        <f t="shared" si="24"/>
        <v>982.142857142857</v>
      </c>
      <c r="M591" s="23">
        <f t="shared" si="25"/>
        <v>117.85714285714283</v>
      </c>
      <c r="N591" s="60">
        <v>1100</v>
      </c>
      <c r="O591" s="105" t="s">
        <v>3136</v>
      </c>
      <c r="P591" s="29" t="s">
        <v>335</v>
      </c>
      <c r="Q591" s="29" t="s">
        <v>3026</v>
      </c>
      <c r="R591" s="29" t="s">
        <v>3137</v>
      </c>
    </row>
    <row r="592" spans="1:18" x14ac:dyDescent="0.3">
      <c r="A592" s="59">
        <v>45714</v>
      </c>
      <c r="B592" s="33" t="s">
        <v>3138</v>
      </c>
      <c r="C592" s="32" t="s">
        <v>3139</v>
      </c>
      <c r="D592" s="32" t="s">
        <v>3140</v>
      </c>
      <c r="E592" s="44" t="s">
        <v>3141</v>
      </c>
      <c r="F592" s="44" t="s">
        <v>3142</v>
      </c>
      <c r="G592" s="44" t="s">
        <v>1840</v>
      </c>
      <c r="H592" s="29">
        <v>2</v>
      </c>
      <c r="I592" s="29" t="s">
        <v>605</v>
      </c>
      <c r="J592" s="29" t="s">
        <v>3143</v>
      </c>
      <c r="K592" s="29" t="s">
        <v>3144</v>
      </c>
      <c r="L592" s="23">
        <f>+N592/1.12</f>
        <v>624.99999999999989</v>
      </c>
      <c r="M592" s="23">
        <f>+L592*12%</f>
        <v>74.999999999999986</v>
      </c>
      <c r="N592" s="60">
        <v>700</v>
      </c>
      <c r="O592" s="61" t="s">
        <v>3145</v>
      </c>
      <c r="P592" s="29" t="s">
        <v>371</v>
      </c>
      <c r="Q592" s="29" t="s">
        <v>3026</v>
      </c>
      <c r="R592" s="29" t="s">
        <v>2797</v>
      </c>
    </row>
    <row r="593" spans="1:18" x14ac:dyDescent="0.3">
      <c r="A593" s="59">
        <v>45716</v>
      </c>
      <c r="B593" s="33" t="s">
        <v>3146</v>
      </c>
      <c r="C593" s="32" t="s">
        <v>3147</v>
      </c>
      <c r="D593" s="32" t="s">
        <v>3148</v>
      </c>
      <c r="E593" s="44" t="s">
        <v>3149</v>
      </c>
      <c r="F593" s="44" t="s">
        <v>3150</v>
      </c>
      <c r="G593" s="44" t="s">
        <v>1840</v>
      </c>
      <c r="H593" s="29">
        <v>5</v>
      </c>
      <c r="I593" s="29" t="s">
        <v>605</v>
      </c>
      <c r="J593" s="29" t="s">
        <v>3143</v>
      </c>
      <c r="K593" s="29" t="s">
        <v>3144</v>
      </c>
      <c r="L593" s="23">
        <f>+N593/1.12</f>
        <v>1066.0714285714284</v>
      </c>
      <c r="M593" s="23">
        <f>+L593*12%</f>
        <v>127.9285714285714</v>
      </c>
      <c r="N593" s="60">
        <v>1194</v>
      </c>
      <c r="O593" s="61" t="s">
        <v>3151</v>
      </c>
      <c r="P593" s="29" t="s">
        <v>3117</v>
      </c>
      <c r="Q593" s="29" t="s">
        <v>2832</v>
      </c>
      <c r="R593" s="29" t="s">
        <v>3152</v>
      </c>
    </row>
    <row r="594" spans="1:18" x14ac:dyDescent="0.3">
      <c r="A594" s="59">
        <v>45715</v>
      </c>
      <c r="B594" s="33" t="s">
        <v>3153</v>
      </c>
      <c r="C594" s="32" t="s">
        <v>3154</v>
      </c>
      <c r="D594" s="32" t="s">
        <v>3155</v>
      </c>
      <c r="E594" s="44" t="s">
        <v>3156</v>
      </c>
      <c r="F594" s="44" t="s">
        <v>3157</v>
      </c>
      <c r="G594" s="44" t="s">
        <v>1840</v>
      </c>
      <c r="H594" s="29">
        <v>5</v>
      </c>
      <c r="I594" s="29" t="s">
        <v>605</v>
      </c>
      <c r="J594" s="29"/>
      <c r="K594" s="29"/>
      <c r="L594" s="23"/>
      <c r="M594" s="23"/>
      <c r="N594" s="60"/>
      <c r="O594" s="61" t="s">
        <v>3158</v>
      </c>
      <c r="P594" s="29" t="s">
        <v>2804</v>
      </c>
      <c r="Q594" s="29" t="s">
        <v>2832</v>
      </c>
      <c r="R594" s="29" t="s">
        <v>3159</v>
      </c>
    </row>
    <row r="595" spans="1:18" x14ac:dyDescent="0.3">
      <c r="A595" s="59">
        <v>45715</v>
      </c>
      <c r="B595" s="33" t="s">
        <v>3160</v>
      </c>
      <c r="C595" s="32" t="s">
        <v>3161</v>
      </c>
      <c r="D595" s="32" t="s">
        <v>3162</v>
      </c>
      <c r="E595" s="44" t="s">
        <v>3163</v>
      </c>
      <c r="F595" s="44" t="s">
        <v>3164</v>
      </c>
      <c r="G595" s="44" t="s">
        <v>1840</v>
      </c>
      <c r="H595" s="29">
        <v>6</v>
      </c>
      <c r="I595" s="29" t="s">
        <v>605</v>
      </c>
      <c r="J595" s="29"/>
      <c r="K595" s="29"/>
      <c r="L595" s="23"/>
      <c r="M595" s="23"/>
      <c r="N595" s="60"/>
      <c r="O595" s="61" t="s">
        <v>3165</v>
      </c>
      <c r="P595" s="29" t="s">
        <v>3166</v>
      </c>
      <c r="Q595" s="29" t="s">
        <v>358</v>
      </c>
    </row>
    <row r="596" spans="1:18" x14ac:dyDescent="0.3">
      <c r="A596" s="59">
        <v>45722</v>
      </c>
      <c r="B596" s="33" t="s">
        <v>3167</v>
      </c>
      <c r="C596" s="32" t="s">
        <v>3168</v>
      </c>
      <c r="D596" s="32" t="s">
        <v>3169</v>
      </c>
      <c r="E596" s="44" t="s">
        <v>3170</v>
      </c>
      <c r="F596" s="44" t="s">
        <v>3171</v>
      </c>
      <c r="G596" s="44" t="s">
        <v>1919</v>
      </c>
      <c r="H596" s="29">
        <v>5</v>
      </c>
      <c r="I596" s="29" t="s">
        <v>605</v>
      </c>
      <c r="J596" s="250" t="s">
        <v>3172</v>
      </c>
      <c r="K596" s="251"/>
      <c r="L596" s="23">
        <f>+N596/1.12</f>
        <v>669.64285714285711</v>
      </c>
      <c r="M596" s="23">
        <f>+L596*12%</f>
        <v>80.357142857142847</v>
      </c>
      <c r="N596" s="60">
        <v>750</v>
      </c>
      <c r="O596" s="61" t="s">
        <v>3173</v>
      </c>
      <c r="P596" s="106" t="s">
        <v>1482</v>
      </c>
      <c r="Q596" s="106" t="s">
        <v>2832</v>
      </c>
      <c r="R596" s="107" t="s">
        <v>3174</v>
      </c>
    </row>
    <row r="597" spans="1:18" x14ac:dyDescent="0.3">
      <c r="A597" s="59">
        <v>45723</v>
      </c>
      <c r="B597" s="33" t="s">
        <v>3175</v>
      </c>
      <c r="C597" s="74" t="s">
        <v>3176</v>
      </c>
      <c r="D597" s="74" t="s">
        <v>3177</v>
      </c>
      <c r="E597" s="51" t="s">
        <v>3178</v>
      </c>
      <c r="F597" s="51" t="s">
        <v>3179</v>
      </c>
      <c r="G597" s="52">
        <v>5</v>
      </c>
      <c r="H597" s="52">
        <v>3</v>
      </c>
      <c r="I597" s="29" t="s">
        <v>3003</v>
      </c>
      <c r="J597" s="261" t="s">
        <v>3144</v>
      </c>
      <c r="K597" s="262"/>
      <c r="L597" s="23">
        <f t="shared" ref="L597:L628" si="26">+N597/1.12</f>
        <v>1070.5357142857142</v>
      </c>
      <c r="M597" s="23">
        <f t="shared" ref="M597:M628" si="27">+L597*12%</f>
        <v>128.46428571428569</v>
      </c>
      <c r="N597" s="60">
        <v>1199</v>
      </c>
      <c r="O597" s="108" t="s">
        <v>3180</v>
      </c>
      <c r="P597" s="52" t="s">
        <v>335</v>
      </c>
      <c r="Q597" s="52" t="s">
        <v>65</v>
      </c>
      <c r="R597" s="29" t="s">
        <v>2811</v>
      </c>
    </row>
    <row r="598" spans="1:18" x14ac:dyDescent="0.3">
      <c r="A598" s="59">
        <v>45724</v>
      </c>
      <c r="B598" s="33" t="s">
        <v>3181</v>
      </c>
      <c r="C598" s="43" t="s">
        <v>3182</v>
      </c>
      <c r="D598" s="43" t="s">
        <v>3183</v>
      </c>
      <c r="E598" s="51" t="s">
        <v>3184</v>
      </c>
      <c r="F598" s="109" t="s">
        <v>3185</v>
      </c>
      <c r="G598" s="52">
        <v>5</v>
      </c>
      <c r="H598" s="52">
        <v>3</v>
      </c>
      <c r="I598" s="52" t="s">
        <v>3003</v>
      </c>
      <c r="J598" s="261" t="s">
        <v>2857</v>
      </c>
      <c r="K598" s="262"/>
      <c r="L598" s="23">
        <f t="shared" si="26"/>
        <v>758.92857142857133</v>
      </c>
      <c r="M598" s="23">
        <f t="shared" si="27"/>
        <v>91.071428571428555</v>
      </c>
      <c r="N598" s="60">
        <v>850</v>
      </c>
      <c r="O598" s="110" t="s">
        <v>3186</v>
      </c>
      <c r="P598" s="52" t="s">
        <v>335</v>
      </c>
      <c r="Q598" s="52" t="s">
        <v>65</v>
      </c>
      <c r="R598" s="29" t="s">
        <v>3187</v>
      </c>
    </row>
    <row r="599" spans="1:18" x14ac:dyDescent="0.3">
      <c r="A599" s="59">
        <v>45724</v>
      </c>
      <c r="B599" s="33" t="s">
        <v>3188</v>
      </c>
      <c r="C599" s="43" t="s">
        <v>1946</v>
      </c>
      <c r="D599" s="43" t="s">
        <v>3189</v>
      </c>
      <c r="E599" s="51" t="s">
        <v>3190</v>
      </c>
      <c r="F599" s="109" t="s">
        <v>3191</v>
      </c>
      <c r="G599" s="52">
        <v>5</v>
      </c>
      <c r="H599" s="52">
        <v>2</v>
      </c>
      <c r="I599" s="52" t="s">
        <v>605</v>
      </c>
      <c r="J599" s="261" t="s">
        <v>2857</v>
      </c>
      <c r="K599" s="262"/>
      <c r="L599" s="23">
        <f t="shared" si="26"/>
        <v>714.28571428571422</v>
      </c>
      <c r="M599" s="23">
        <f t="shared" si="27"/>
        <v>85.714285714285708</v>
      </c>
      <c r="N599" s="60">
        <v>800</v>
      </c>
      <c r="O599" s="110" t="s">
        <v>3192</v>
      </c>
      <c r="P599" s="52" t="s">
        <v>335</v>
      </c>
      <c r="Q599" s="52" t="s">
        <v>65</v>
      </c>
      <c r="R599" s="29" t="s">
        <v>2811</v>
      </c>
    </row>
    <row r="600" spans="1:18" x14ac:dyDescent="0.3">
      <c r="A600" s="59">
        <v>45724</v>
      </c>
      <c r="B600" s="33" t="s">
        <v>3193</v>
      </c>
      <c r="C600" s="43" t="s">
        <v>3194</v>
      </c>
      <c r="D600" s="43" t="s">
        <v>3195</v>
      </c>
      <c r="E600" s="51" t="s">
        <v>3196</v>
      </c>
      <c r="F600" s="109" t="s">
        <v>3197</v>
      </c>
      <c r="G600" s="52">
        <v>7</v>
      </c>
      <c r="H600" s="52">
        <v>7</v>
      </c>
      <c r="I600" s="52" t="s">
        <v>605</v>
      </c>
      <c r="J600" s="250" t="s">
        <v>3198</v>
      </c>
      <c r="K600" s="251"/>
      <c r="L600" s="23">
        <f t="shared" si="26"/>
        <v>2232.1428571428569</v>
      </c>
      <c r="M600" s="23">
        <f t="shared" si="27"/>
        <v>267.85714285714283</v>
      </c>
      <c r="N600" s="60">
        <v>2500</v>
      </c>
      <c r="O600" s="110" t="s">
        <v>3199</v>
      </c>
      <c r="P600" s="52" t="s">
        <v>335</v>
      </c>
      <c r="Q600" s="52" t="s">
        <v>3200</v>
      </c>
      <c r="R600" s="29" t="s">
        <v>2811</v>
      </c>
    </row>
    <row r="601" spans="1:18" x14ac:dyDescent="0.3">
      <c r="A601" s="111">
        <v>45727</v>
      </c>
      <c r="B601" s="112" t="s">
        <v>3201</v>
      </c>
      <c r="C601" s="43" t="s">
        <v>3202</v>
      </c>
      <c r="D601" s="43" t="s">
        <v>3203</v>
      </c>
      <c r="E601" s="51" t="s">
        <v>3204</v>
      </c>
      <c r="F601" s="109" t="s">
        <v>3205</v>
      </c>
      <c r="G601" s="52">
        <v>5</v>
      </c>
      <c r="H601" s="52">
        <v>2</v>
      </c>
      <c r="I601" s="52" t="s">
        <v>605</v>
      </c>
      <c r="J601" s="261" t="s">
        <v>1090</v>
      </c>
      <c r="K601" s="262"/>
      <c r="L601" s="23">
        <f>+N601/1.12</f>
        <v>446.42857142857139</v>
      </c>
      <c r="M601" s="23">
        <f>+L601*12%</f>
        <v>53.571428571428562</v>
      </c>
      <c r="N601" s="60">
        <v>500</v>
      </c>
      <c r="O601" s="110" t="s">
        <v>3206</v>
      </c>
      <c r="P601" s="52" t="s">
        <v>371</v>
      </c>
      <c r="Q601" s="52" t="s">
        <v>65</v>
      </c>
      <c r="R601" s="52" t="s">
        <v>3207</v>
      </c>
    </row>
    <row r="602" spans="1:18" x14ac:dyDescent="0.3">
      <c r="A602" s="59">
        <v>45724</v>
      </c>
      <c r="B602" s="33" t="s">
        <v>3208</v>
      </c>
      <c r="C602" s="43" t="s">
        <v>3209</v>
      </c>
      <c r="D602" s="43" t="s">
        <v>3210</v>
      </c>
      <c r="E602" s="51" t="s">
        <v>3211</v>
      </c>
      <c r="F602" s="109" t="s">
        <v>3212</v>
      </c>
      <c r="G602" s="52">
        <v>10</v>
      </c>
      <c r="H602" s="52">
        <v>7</v>
      </c>
      <c r="I602" s="52" t="s">
        <v>3213</v>
      </c>
      <c r="J602" s="113"/>
      <c r="K602" s="114"/>
      <c r="L602" s="23">
        <f t="shared" si="26"/>
        <v>0</v>
      </c>
      <c r="M602" s="23">
        <f t="shared" si="27"/>
        <v>0</v>
      </c>
      <c r="N602" s="60"/>
      <c r="O602" s="110" t="s">
        <v>3214</v>
      </c>
      <c r="P602" s="52" t="s">
        <v>1482</v>
      </c>
      <c r="Q602" s="52" t="s">
        <v>3382</v>
      </c>
      <c r="R602" s="29" t="s">
        <v>2811</v>
      </c>
    </row>
    <row r="603" spans="1:18" x14ac:dyDescent="0.3">
      <c r="A603" s="50">
        <v>45727</v>
      </c>
      <c r="B603" s="33" t="s">
        <v>3215</v>
      </c>
      <c r="C603" s="43" t="s">
        <v>3216</v>
      </c>
      <c r="D603" s="43" t="s">
        <v>3217</v>
      </c>
      <c r="E603" s="51" t="s">
        <v>3218</v>
      </c>
      <c r="F603" s="109" t="s">
        <v>3219</v>
      </c>
      <c r="G603" s="52">
        <v>7</v>
      </c>
      <c r="H603" s="52">
        <v>5</v>
      </c>
      <c r="I603" s="52" t="s">
        <v>3003</v>
      </c>
      <c r="J603" s="113" t="s">
        <v>3108</v>
      </c>
      <c r="K603" s="114" t="s">
        <v>199</v>
      </c>
      <c r="L603" s="23">
        <f t="shared" si="26"/>
        <v>1294.6428571428571</v>
      </c>
      <c r="M603" s="23">
        <f t="shared" si="27"/>
        <v>155.35714285714286</v>
      </c>
      <c r="N603" s="60">
        <v>1450</v>
      </c>
      <c r="O603" s="110" t="s">
        <v>3220</v>
      </c>
      <c r="P603" s="52" t="s">
        <v>335</v>
      </c>
      <c r="Q603" s="52" t="s">
        <v>2832</v>
      </c>
      <c r="R603" s="29" t="s">
        <v>2811</v>
      </c>
    </row>
    <row r="604" spans="1:18" x14ac:dyDescent="0.3">
      <c r="A604" s="50">
        <v>45727</v>
      </c>
      <c r="B604" s="33" t="s">
        <v>3221</v>
      </c>
      <c r="C604" s="43" t="s">
        <v>1595</v>
      </c>
      <c r="D604" s="43" t="s">
        <v>3222</v>
      </c>
      <c r="E604" s="51" t="s">
        <v>3223</v>
      </c>
      <c r="F604" s="109" t="s">
        <v>3224</v>
      </c>
      <c r="G604" s="52">
        <v>5</v>
      </c>
      <c r="H604" s="52">
        <v>5</v>
      </c>
      <c r="I604" s="52" t="s">
        <v>3003</v>
      </c>
      <c r="J604" s="113" t="s">
        <v>3108</v>
      </c>
      <c r="K604" s="114" t="s">
        <v>200</v>
      </c>
      <c r="L604" s="23">
        <f t="shared" si="26"/>
        <v>2035.7142857142856</v>
      </c>
      <c r="M604" s="23">
        <f t="shared" si="27"/>
        <v>244.28571428571425</v>
      </c>
      <c r="N604" s="60">
        <v>2280</v>
      </c>
      <c r="O604" s="110" t="s">
        <v>3225</v>
      </c>
      <c r="P604" s="52" t="s">
        <v>1482</v>
      </c>
      <c r="Q604" s="52" t="s">
        <v>65</v>
      </c>
      <c r="R604" s="29" t="s">
        <v>2811</v>
      </c>
    </row>
    <row r="605" spans="1:18" x14ac:dyDescent="0.3">
      <c r="A605" s="50">
        <v>45729</v>
      </c>
      <c r="B605" s="33" t="s">
        <v>3226</v>
      </c>
      <c r="C605" s="43" t="s">
        <v>3227</v>
      </c>
      <c r="D605" s="43" t="s">
        <v>3228</v>
      </c>
      <c r="E605" s="51" t="s">
        <v>3229</v>
      </c>
      <c r="F605" s="109" t="s">
        <v>3230</v>
      </c>
      <c r="G605" s="52">
        <v>10</v>
      </c>
      <c r="H605" s="52">
        <v>10</v>
      </c>
      <c r="I605" s="52" t="s">
        <v>605</v>
      </c>
      <c r="J605" s="261" t="s">
        <v>3231</v>
      </c>
      <c r="K605" s="262"/>
      <c r="L605" s="23">
        <f t="shared" si="26"/>
        <v>714.28571428571422</v>
      </c>
      <c r="M605" s="23">
        <f t="shared" si="27"/>
        <v>85.714285714285708</v>
      </c>
      <c r="N605" s="60">
        <v>800</v>
      </c>
      <c r="O605" s="110" t="s">
        <v>3232</v>
      </c>
      <c r="P605" s="52" t="s">
        <v>1482</v>
      </c>
      <c r="Q605" s="52" t="s">
        <v>3200</v>
      </c>
      <c r="R605" s="29" t="s">
        <v>3233</v>
      </c>
    </row>
    <row r="606" spans="1:18" x14ac:dyDescent="0.3">
      <c r="A606" s="50">
        <v>45729</v>
      </c>
      <c r="B606" s="33" t="s">
        <v>3234</v>
      </c>
      <c r="C606" s="43" t="s">
        <v>3235</v>
      </c>
      <c r="D606" s="43" t="s">
        <v>3236</v>
      </c>
      <c r="E606" s="51" t="s">
        <v>3237</v>
      </c>
      <c r="F606" s="109" t="s">
        <v>3238</v>
      </c>
      <c r="G606" s="52">
        <v>8</v>
      </c>
      <c r="H606" s="52">
        <v>5</v>
      </c>
      <c r="I606" s="52" t="s">
        <v>3003</v>
      </c>
      <c r="J606" s="261" t="s">
        <v>3144</v>
      </c>
      <c r="K606" s="262"/>
      <c r="L606" s="23">
        <f t="shared" si="26"/>
        <v>2142.8571428571427</v>
      </c>
      <c r="M606" s="23">
        <f t="shared" si="27"/>
        <v>257.14285714285711</v>
      </c>
      <c r="N606" s="60">
        <v>2400</v>
      </c>
      <c r="O606" s="110" t="s">
        <v>3239</v>
      </c>
      <c r="P606" s="52" t="s">
        <v>3117</v>
      </c>
      <c r="Q606" s="52" t="s">
        <v>65</v>
      </c>
      <c r="R606" s="29" t="s">
        <v>2811</v>
      </c>
    </row>
    <row r="607" spans="1:18" x14ac:dyDescent="0.3">
      <c r="A607" s="50">
        <v>45731</v>
      </c>
      <c r="B607" s="33" t="s">
        <v>3240</v>
      </c>
      <c r="C607" s="43" t="s">
        <v>3241</v>
      </c>
      <c r="D607" s="43" t="s">
        <v>3242</v>
      </c>
      <c r="E607" s="51" t="s">
        <v>3243</v>
      </c>
      <c r="F607" s="109" t="s">
        <v>3244</v>
      </c>
      <c r="G607" s="52">
        <v>6</v>
      </c>
      <c r="H607" s="52">
        <v>4</v>
      </c>
      <c r="I607" s="52" t="s">
        <v>605</v>
      </c>
      <c r="J607" s="113" t="s">
        <v>539</v>
      </c>
      <c r="K607" s="115" t="s">
        <v>199</v>
      </c>
      <c r="L607" s="23">
        <f t="shared" si="26"/>
        <v>624.99999999999989</v>
      </c>
      <c r="M607" s="23">
        <f t="shared" si="27"/>
        <v>74.999999999999986</v>
      </c>
      <c r="N607" s="60">
        <v>700</v>
      </c>
      <c r="O607" s="110" t="s">
        <v>3245</v>
      </c>
      <c r="P607" s="52" t="s">
        <v>371</v>
      </c>
      <c r="Q607" s="52" t="s">
        <v>2832</v>
      </c>
      <c r="R607" s="29" t="s">
        <v>3246</v>
      </c>
    </row>
    <row r="608" spans="1:18" x14ac:dyDescent="0.3">
      <c r="A608" s="50">
        <v>45731</v>
      </c>
      <c r="B608" s="33" t="s">
        <v>3247</v>
      </c>
      <c r="C608" s="43" t="s">
        <v>3248</v>
      </c>
      <c r="D608" s="43" t="s">
        <v>3249</v>
      </c>
      <c r="E608" s="51" t="s">
        <v>3250</v>
      </c>
      <c r="F608" s="109" t="s">
        <v>3251</v>
      </c>
      <c r="G608" s="52">
        <v>5</v>
      </c>
      <c r="H608" s="52">
        <v>3</v>
      </c>
      <c r="I608" s="52" t="s">
        <v>3003</v>
      </c>
      <c r="J608" s="113" t="s">
        <v>539</v>
      </c>
      <c r="K608" s="115" t="s">
        <v>200</v>
      </c>
      <c r="L608" s="23">
        <f t="shared" si="26"/>
        <v>803.57142857142844</v>
      </c>
      <c r="M608" s="23">
        <f t="shared" si="27"/>
        <v>96.428571428571416</v>
      </c>
      <c r="N608" s="60">
        <v>900</v>
      </c>
      <c r="O608" s="110" t="s">
        <v>3252</v>
      </c>
      <c r="P608" s="52" t="s">
        <v>3117</v>
      </c>
      <c r="Q608" s="52" t="s">
        <v>65</v>
      </c>
      <c r="R608" s="29" t="s">
        <v>3253</v>
      </c>
    </row>
    <row r="609" spans="1:18" x14ac:dyDescent="0.3">
      <c r="A609" s="20">
        <v>45734</v>
      </c>
      <c r="B609" s="33" t="s">
        <v>3254</v>
      </c>
      <c r="C609" s="25" t="s">
        <v>3255</v>
      </c>
      <c r="D609" s="25" t="s">
        <v>3256</v>
      </c>
      <c r="E609" s="44" t="s">
        <v>3257</v>
      </c>
      <c r="F609" s="28" t="s">
        <v>3258</v>
      </c>
      <c r="G609" s="29">
        <v>12</v>
      </c>
      <c r="H609" s="29">
        <v>10</v>
      </c>
      <c r="I609" s="29" t="s">
        <v>617</v>
      </c>
      <c r="J609" s="116" t="s">
        <v>539</v>
      </c>
      <c r="K609" s="117" t="s">
        <v>327</v>
      </c>
      <c r="L609" s="118">
        <f t="shared" si="26"/>
        <v>3562.4999999999995</v>
      </c>
      <c r="M609" s="118">
        <f t="shared" si="27"/>
        <v>427.49999999999994</v>
      </c>
      <c r="N609" s="119">
        <v>3990</v>
      </c>
      <c r="O609" s="120" t="s">
        <v>3259</v>
      </c>
      <c r="P609" s="29" t="s">
        <v>3260</v>
      </c>
      <c r="Q609" s="29" t="s">
        <v>65</v>
      </c>
      <c r="R609" s="29" t="s">
        <v>2811</v>
      </c>
    </row>
    <row r="610" spans="1:18" x14ac:dyDescent="0.3">
      <c r="A610" s="50">
        <v>45735</v>
      </c>
      <c r="B610" s="33" t="s">
        <v>3261</v>
      </c>
      <c r="C610" s="43" t="s">
        <v>3262</v>
      </c>
      <c r="D610" s="43" t="s">
        <v>3263</v>
      </c>
      <c r="E610" s="51" t="s">
        <v>3264</v>
      </c>
      <c r="F610" s="109" t="s">
        <v>3265</v>
      </c>
      <c r="G610" s="52">
        <v>10</v>
      </c>
      <c r="H610" s="52">
        <v>10</v>
      </c>
      <c r="I610" s="52" t="s">
        <v>611</v>
      </c>
      <c r="J610" s="113" t="s">
        <v>3266</v>
      </c>
      <c r="K610" s="115" t="s">
        <v>3267</v>
      </c>
      <c r="L610" s="23">
        <f t="shared" si="26"/>
        <v>2669.6428571428569</v>
      </c>
      <c r="M610" s="23">
        <f t="shared" si="27"/>
        <v>320.35714285714283</v>
      </c>
      <c r="N610" s="60">
        <v>2990</v>
      </c>
      <c r="O610" s="110" t="s">
        <v>3268</v>
      </c>
      <c r="P610" s="52" t="s">
        <v>3260</v>
      </c>
      <c r="Q610" s="52" t="s">
        <v>65</v>
      </c>
      <c r="R610" s="29" t="s">
        <v>3269</v>
      </c>
    </row>
    <row r="611" spans="1:18" x14ac:dyDescent="0.3">
      <c r="A611" s="50">
        <v>45736</v>
      </c>
      <c r="B611" s="33" t="s">
        <v>3270</v>
      </c>
      <c r="C611" s="43" t="s">
        <v>3271</v>
      </c>
      <c r="D611" s="43" t="s">
        <v>3272</v>
      </c>
      <c r="E611" s="51" t="s">
        <v>3273</v>
      </c>
      <c r="F611" s="109" t="s">
        <v>3274</v>
      </c>
      <c r="G611" s="52">
        <v>7</v>
      </c>
      <c r="H611" s="52">
        <v>5</v>
      </c>
      <c r="I611" s="121" t="s">
        <v>3003</v>
      </c>
      <c r="J611" s="261" t="s">
        <v>211</v>
      </c>
      <c r="K611" s="262"/>
      <c r="L611" s="23">
        <f t="shared" si="26"/>
        <v>1339.2857142857142</v>
      </c>
      <c r="M611" s="23">
        <f t="shared" si="27"/>
        <v>160.71428571428569</v>
      </c>
      <c r="N611" s="60">
        <v>1500</v>
      </c>
      <c r="O611" s="110" t="s">
        <v>3275</v>
      </c>
      <c r="P611" s="52" t="s">
        <v>3117</v>
      </c>
      <c r="Q611" s="52" t="s">
        <v>65</v>
      </c>
      <c r="R611" s="29" t="s">
        <v>3276</v>
      </c>
    </row>
    <row r="612" spans="1:18" x14ac:dyDescent="0.3">
      <c r="A612" s="122">
        <v>45736</v>
      </c>
      <c r="B612" s="123" t="s">
        <v>3277</v>
      </c>
      <c r="C612" s="124" t="s">
        <v>3278</v>
      </c>
      <c r="D612" s="124" t="s">
        <v>3279</v>
      </c>
      <c r="E612" s="125" t="s">
        <v>3280</v>
      </c>
      <c r="F612" s="126" t="s">
        <v>3281</v>
      </c>
      <c r="G612" s="127">
        <v>5</v>
      </c>
      <c r="H612" s="127">
        <v>4</v>
      </c>
      <c r="I612" s="127" t="s">
        <v>605</v>
      </c>
      <c r="J612" s="271" t="s">
        <v>1214</v>
      </c>
      <c r="K612" s="272"/>
      <c r="L612" s="128">
        <f t="shared" si="26"/>
        <v>0</v>
      </c>
      <c r="M612" s="128">
        <f t="shared" si="27"/>
        <v>0</v>
      </c>
      <c r="N612" s="129"/>
      <c r="O612" s="130" t="s">
        <v>3282</v>
      </c>
      <c r="P612" s="127" t="s">
        <v>3117</v>
      </c>
      <c r="Q612" s="127" t="s">
        <v>3200</v>
      </c>
      <c r="R612" s="127"/>
    </row>
    <row r="613" spans="1:18" x14ac:dyDescent="0.3">
      <c r="A613" s="50">
        <v>45737</v>
      </c>
      <c r="B613" s="33" t="s">
        <v>3283</v>
      </c>
      <c r="C613" s="43" t="s">
        <v>3284</v>
      </c>
      <c r="D613" s="43" t="s">
        <v>3285</v>
      </c>
      <c r="E613" s="51" t="s">
        <v>3286</v>
      </c>
      <c r="F613" s="109" t="s">
        <v>3287</v>
      </c>
      <c r="G613" s="52">
        <v>5</v>
      </c>
      <c r="H613" s="52">
        <v>4</v>
      </c>
      <c r="I613" s="52" t="s">
        <v>605</v>
      </c>
      <c r="J613" s="113" t="s">
        <v>3108</v>
      </c>
      <c r="K613" s="115" t="s">
        <v>200</v>
      </c>
      <c r="L613" s="23">
        <f t="shared" si="26"/>
        <v>89.285714285714278</v>
      </c>
      <c r="M613" s="23">
        <f t="shared" si="27"/>
        <v>10.714285714285714</v>
      </c>
      <c r="N613" s="60">
        <v>100</v>
      </c>
      <c r="O613" s="110" t="s">
        <v>3288</v>
      </c>
      <c r="P613" s="52" t="s">
        <v>335</v>
      </c>
      <c r="Q613" s="52" t="s">
        <v>3200</v>
      </c>
      <c r="R613" s="29" t="s">
        <v>3289</v>
      </c>
    </row>
    <row r="614" spans="1:18" x14ac:dyDescent="0.3">
      <c r="A614" s="50">
        <v>45738</v>
      </c>
      <c r="B614" s="33" t="s">
        <v>3290</v>
      </c>
      <c r="C614" s="43" t="s">
        <v>3291</v>
      </c>
      <c r="D614" s="43" t="s">
        <v>3292</v>
      </c>
      <c r="E614" s="51" t="s">
        <v>3293</v>
      </c>
      <c r="F614" s="109" t="s">
        <v>3294</v>
      </c>
      <c r="G614" s="52">
        <v>6</v>
      </c>
      <c r="H614" s="52">
        <v>5</v>
      </c>
      <c r="I614" s="52" t="s">
        <v>605</v>
      </c>
      <c r="J614" s="113" t="s">
        <v>539</v>
      </c>
      <c r="K614" s="115" t="s">
        <v>200</v>
      </c>
      <c r="L614" s="23">
        <f t="shared" si="26"/>
        <v>446.42857142857139</v>
      </c>
      <c r="M614" s="23">
        <f t="shared" si="27"/>
        <v>53.571428571428562</v>
      </c>
      <c r="N614" s="60">
        <v>500</v>
      </c>
      <c r="O614" s="131" t="s">
        <v>3295</v>
      </c>
      <c r="P614" s="52" t="s">
        <v>371</v>
      </c>
      <c r="Q614" s="52" t="s">
        <v>3200</v>
      </c>
      <c r="R614" s="29" t="s">
        <v>3296</v>
      </c>
    </row>
    <row r="615" spans="1:18" x14ac:dyDescent="0.3">
      <c r="A615" s="50">
        <v>45738</v>
      </c>
      <c r="B615" s="33" t="s">
        <v>3297</v>
      </c>
      <c r="C615" s="43" t="s">
        <v>3298</v>
      </c>
      <c r="D615" s="43" t="s">
        <v>3299</v>
      </c>
      <c r="E615" s="51" t="s">
        <v>3300</v>
      </c>
      <c r="F615" s="109" t="s">
        <v>3301</v>
      </c>
      <c r="G615" s="52">
        <v>7</v>
      </c>
      <c r="H615" s="52">
        <v>7</v>
      </c>
      <c r="I615" s="132" t="s">
        <v>605</v>
      </c>
      <c r="J615" s="113" t="s">
        <v>539</v>
      </c>
      <c r="K615" s="115" t="s">
        <v>199</v>
      </c>
      <c r="L615" s="23">
        <f t="shared" si="26"/>
        <v>535.71428571428567</v>
      </c>
      <c r="M615" s="23">
        <f t="shared" si="27"/>
        <v>64.285714285714278</v>
      </c>
      <c r="N615" s="60">
        <v>600</v>
      </c>
      <c r="O615" s="110"/>
      <c r="P615" s="52" t="s">
        <v>335</v>
      </c>
      <c r="Q615" s="52" t="s">
        <v>3260</v>
      </c>
      <c r="R615" s="29" t="s">
        <v>3302</v>
      </c>
    </row>
    <row r="616" spans="1:18" x14ac:dyDescent="0.3">
      <c r="A616" s="50">
        <v>45742</v>
      </c>
      <c r="B616" s="112" t="s">
        <v>3303</v>
      </c>
      <c r="C616" s="43" t="s">
        <v>410</v>
      </c>
      <c r="D616" s="43" t="s">
        <v>3304</v>
      </c>
      <c r="E616" s="51" t="s">
        <v>3305</v>
      </c>
      <c r="F616" s="109" t="s">
        <v>3306</v>
      </c>
      <c r="G616" s="52">
        <v>5</v>
      </c>
      <c r="H616" s="52">
        <v>3</v>
      </c>
      <c r="I616" s="52" t="s">
        <v>605</v>
      </c>
      <c r="J616" s="113" t="s">
        <v>539</v>
      </c>
      <c r="K616" s="115" t="s">
        <v>3307</v>
      </c>
      <c r="L616" s="23">
        <f t="shared" si="26"/>
        <v>624.99999999999989</v>
      </c>
      <c r="M616" s="23">
        <f t="shared" si="27"/>
        <v>74.999999999999986</v>
      </c>
      <c r="N616" s="133">
        <v>700</v>
      </c>
      <c r="O616" s="110" t="s">
        <v>3308</v>
      </c>
      <c r="P616" s="52" t="s">
        <v>2832</v>
      </c>
      <c r="Q616" s="52" t="s">
        <v>3382</v>
      </c>
      <c r="R616" s="52" t="s">
        <v>2811</v>
      </c>
    </row>
    <row r="617" spans="1:18" x14ac:dyDescent="0.3">
      <c r="A617" s="50">
        <v>45742</v>
      </c>
      <c r="B617" s="33" t="s">
        <v>3309</v>
      </c>
      <c r="C617" s="43" t="s">
        <v>3310</v>
      </c>
      <c r="D617" s="43" t="s">
        <v>3311</v>
      </c>
      <c r="E617" s="51" t="s">
        <v>3312</v>
      </c>
      <c r="F617" s="109" t="s">
        <v>3313</v>
      </c>
      <c r="G617" s="52">
        <v>5</v>
      </c>
      <c r="H617" s="52">
        <v>3</v>
      </c>
      <c r="I617" s="52" t="s">
        <v>3003</v>
      </c>
      <c r="J617" s="113" t="s">
        <v>3144</v>
      </c>
      <c r="K617" s="115" t="s">
        <v>200</v>
      </c>
      <c r="L617" s="23">
        <f t="shared" si="26"/>
        <v>892.85714285714278</v>
      </c>
      <c r="M617" s="23">
        <f t="shared" si="27"/>
        <v>107.14285714285712</v>
      </c>
      <c r="N617" s="133">
        <v>1000</v>
      </c>
      <c r="O617" s="110" t="s">
        <v>3314</v>
      </c>
      <c r="P617" s="52" t="s">
        <v>636</v>
      </c>
      <c r="Q617" s="52" t="s">
        <v>65</v>
      </c>
      <c r="R617" s="29" t="s">
        <v>2811</v>
      </c>
    </row>
    <row r="618" spans="1:18" x14ac:dyDescent="0.3">
      <c r="A618" s="50">
        <v>45742</v>
      </c>
      <c r="B618" s="33" t="s">
        <v>3315</v>
      </c>
      <c r="C618" s="43" t="s">
        <v>3316</v>
      </c>
      <c r="D618" s="43" t="s">
        <v>3317</v>
      </c>
      <c r="E618" s="51" t="s">
        <v>3318</v>
      </c>
      <c r="F618" s="109" t="s">
        <v>3319</v>
      </c>
      <c r="G618" s="52">
        <v>5</v>
      </c>
      <c r="H618" s="52">
        <v>6</v>
      </c>
      <c r="I618" s="52" t="s">
        <v>611</v>
      </c>
      <c r="J618" s="113" t="s">
        <v>539</v>
      </c>
      <c r="K618" s="115" t="s">
        <v>200</v>
      </c>
      <c r="L618" s="23">
        <f t="shared" si="26"/>
        <v>1339.2857142857142</v>
      </c>
      <c r="M618" s="23">
        <f t="shared" si="27"/>
        <v>160.71428571428569</v>
      </c>
      <c r="N618" s="133">
        <v>1500</v>
      </c>
      <c r="O618" s="110" t="s">
        <v>3320</v>
      </c>
      <c r="P618" s="52" t="s">
        <v>3117</v>
      </c>
      <c r="Q618" s="52" t="s">
        <v>3117</v>
      </c>
      <c r="R618" s="29" t="s">
        <v>2811</v>
      </c>
    </row>
    <row r="619" spans="1:18" x14ac:dyDescent="0.3">
      <c r="A619" s="50">
        <v>45743</v>
      </c>
      <c r="B619" s="33" t="s">
        <v>3321</v>
      </c>
      <c r="C619" s="43" t="s">
        <v>2142</v>
      </c>
      <c r="D619" s="43" t="s">
        <v>3322</v>
      </c>
      <c r="E619" s="51" t="s">
        <v>3323</v>
      </c>
      <c r="F619" s="109" t="s">
        <v>3324</v>
      </c>
      <c r="G619" s="52">
        <v>7</v>
      </c>
      <c r="H619" s="52">
        <v>5</v>
      </c>
      <c r="I619" s="52" t="s">
        <v>605</v>
      </c>
      <c r="J619" s="113" t="s">
        <v>539</v>
      </c>
      <c r="K619" s="115" t="s">
        <v>200</v>
      </c>
      <c r="L619" s="23">
        <f t="shared" si="26"/>
        <v>1339.2857142857142</v>
      </c>
      <c r="M619" s="23">
        <f t="shared" si="27"/>
        <v>160.71428571428569</v>
      </c>
      <c r="N619" s="133">
        <v>1500</v>
      </c>
      <c r="O619" s="110" t="s">
        <v>3325</v>
      </c>
      <c r="P619" s="52" t="s">
        <v>335</v>
      </c>
      <c r="Q619" s="52" t="s">
        <v>3260</v>
      </c>
      <c r="R619" s="29" t="s">
        <v>2811</v>
      </c>
    </row>
    <row r="620" spans="1:18" x14ac:dyDescent="0.3">
      <c r="A620" s="50">
        <v>45743</v>
      </c>
      <c r="B620" s="33" t="s">
        <v>3326</v>
      </c>
      <c r="C620" s="43" t="s">
        <v>1595</v>
      </c>
      <c r="D620" s="43" t="s">
        <v>3327</v>
      </c>
      <c r="E620" s="51" t="s">
        <v>3328</v>
      </c>
      <c r="F620" s="109" t="s">
        <v>3329</v>
      </c>
      <c r="G620" s="52">
        <v>10</v>
      </c>
      <c r="H620" s="52">
        <v>7</v>
      </c>
      <c r="I620" s="52" t="s">
        <v>605</v>
      </c>
      <c r="J620" s="113" t="s">
        <v>3108</v>
      </c>
      <c r="K620" s="115" t="s">
        <v>200</v>
      </c>
      <c r="L620" s="23">
        <f t="shared" si="26"/>
        <v>1249.9999999999998</v>
      </c>
      <c r="M620" s="23">
        <f t="shared" si="27"/>
        <v>149.99999999999997</v>
      </c>
      <c r="N620" s="133">
        <v>1400</v>
      </c>
      <c r="O620" s="110" t="s">
        <v>3330</v>
      </c>
      <c r="P620" s="52" t="s">
        <v>3117</v>
      </c>
      <c r="Q620" s="52" t="s">
        <v>358</v>
      </c>
      <c r="R620" s="29" t="s">
        <v>3331</v>
      </c>
    </row>
    <row r="621" spans="1:18" x14ac:dyDescent="0.3">
      <c r="A621" s="50">
        <v>45743</v>
      </c>
      <c r="B621" s="33" t="s">
        <v>3332</v>
      </c>
      <c r="C621" s="43" t="s">
        <v>3333</v>
      </c>
      <c r="D621" s="43" t="s">
        <v>3334</v>
      </c>
      <c r="E621" s="51" t="s">
        <v>3335</v>
      </c>
      <c r="F621" s="109" t="s">
        <v>3336</v>
      </c>
      <c r="G621" s="52">
        <v>8</v>
      </c>
      <c r="H621" s="52">
        <v>3</v>
      </c>
      <c r="I621" s="52" t="s">
        <v>605</v>
      </c>
      <c r="J621" s="113" t="s">
        <v>539</v>
      </c>
      <c r="K621" s="115" t="s">
        <v>199</v>
      </c>
      <c r="L621" s="23">
        <f t="shared" si="26"/>
        <v>624.99999999999989</v>
      </c>
      <c r="M621" s="23">
        <f t="shared" si="27"/>
        <v>74.999999999999986</v>
      </c>
      <c r="N621" s="133">
        <v>700</v>
      </c>
      <c r="O621" s="110" t="s">
        <v>3337</v>
      </c>
      <c r="P621" s="52" t="s">
        <v>1482</v>
      </c>
      <c r="Q621" s="52" t="s">
        <v>3383</v>
      </c>
      <c r="R621" s="29" t="s">
        <v>2811</v>
      </c>
    </row>
    <row r="622" spans="1:18" x14ac:dyDescent="0.3">
      <c r="A622" s="50">
        <v>45743</v>
      </c>
      <c r="B622" s="33" t="s">
        <v>3338</v>
      </c>
      <c r="C622" s="43" t="s">
        <v>3339</v>
      </c>
      <c r="D622" s="43" t="s">
        <v>3340</v>
      </c>
      <c r="E622" s="51" t="s">
        <v>3341</v>
      </c>
      <c r="F622" s="109" t="s">
        <v>3342</v>
      </c>
      <c r="G622" s="52">
        <v>6</v>
      </c>
      <c r="H622" s="52">
        <v>4</v>
      </c>
      <c r="I622" s="52" t="s">
        <v>605</v>
      </c>
      <c r="J622" s="113" t="s">
        <v>539</v>
      </c>
      <c r="K622" s="115" t="s">
        <v>200</v>
      </c>
      <c r="L622" s="23">
        <f t="shared" si="26"/>
        <v>624.99999999999989</v>
      </c>
      <c r="M622" s="23">
        <f t="shared" si="27"/>
        <v>74.999999999999986</v>
      </c>
      <c r="N622" s="133">
        <v>700</v>
      </c>
      <c r="O622" s="110" t="s">
        <v>3343</v>
      </c>
      <c r="P622" s="52" t="s">
        <v>335</v>
      </c>
      <c r="Q622" s="52" t="s">
        <v>3260</v>
      </c>
      <c r="R622" s="29" t="s">
        <v>2811</v>
      </c>
    </row>
    <row r="623" spans="1:18" x14ac:dyDescent="0.3">
      <c r="A623" s="50">
        <v>45744</v>
      </c>
      <c r="B623" s="33" t="s">
        <v>3344</v>
      </c>
      <c r="C623" s="43" t="s">
        <v>3345</v>
      </c>
      <c r="D623" s="43" t="s">
        <v>3346</v>
      </c>
      <c r="E623" s="51" t="s">
        <v>3347</v>
      </c>
      <c r="F623" s="109" t="s">
        <v>3348</v>
      </c>
      <c r="G623" s="52">
        <v>10</v>
      </c>
      <c r="H623" s="52">
        <v>5</v>
      </c>
      <c r="I623" s="52" t="s">
        <v>611</v>
      </c>
      <c r="J623" s="113"/>
      <c r="K623" s="115"/>
      <c r="L623" s="23">
        <f t="shared" si="26"/>
        <v>0</v>
      </c>
      <c r="M623" s="23">
        <f t="shared" si="27"/>
        <v>0</v>
      </c>
      <c r="N623" s="133"/>
      <c r="O623" s="110" t="s">
        <v>3349</v>
      </c>
      <c r="P623" s="52" t="s">
        <v>2832</v>
      </c>
      <c r="Q623" s="52" t="s">
        <v>358</v>
      </c>
      <c r="R623" s="29" t="s">
        <v>3350</v>
      </c>
    </row>
    <row r="624" spans="1:18" x14ac:dyDescent="0.3">
      <c r="A624" s="50">
        <v>45744</v>
      </c>
      <c r="B624" s="33" t="s">
        <v>3351</v>
      </c>
      <c r="C624" s="43" t="s">
        <v>3352</v>
      </c>
      <c r="D624" s="43" t="s">
        <v>3353</v>
      </c>
      <c r="E624" s="51" t="s">
        <v>3354</v>
      </c>
      <c r="F624" s="109" t="s">
        <v>3355</v>
      </c>
      <c r="G624" s="52">
        <v>8</v>
      </c>
      <c r="H624" s="52">
        <v>8</v>
      </c>
      <c r="I624" s="52" t="s">
        <v>611</v>
      </c>
      <c r="J624" s="113" t="s">
        <v>3108</v>
      </c>
      <c r="K624" s="115" t="s">
        <v>200</v>
      </c>
      <c r="L624" s="23">
        <f t="shared" si="26"/>
        <v>2589.2857142857142</v>
      </c>
      <c r="M624" s="23">
        <f t="shared" si="27"/>
        <v>310.71428571428572</v>
      </c>
      <c r="N624" s="133">
        <v>2900</v>
      </c>
      <c r="O624" s="110" t="s">
        <v>3356</v>
      </c>
      <c r="P624" s="52" t="s">
        <v>335</v>
      </c>
      <c r="Q624" s="52" t="s">
        <v>3200</v>
      </c>
      <c r="R624" s="29" t="s">
        <v>2811</v>
      </c>
    </row>
    <row r="625" spans="1:18" x14ac:dyDescent="0.3">
      <c r="A625" s="50">
        <v>45744</v>
      </c>
      <c r="B625" s="33" t="s">
        <v>3357</v>
      </c>
      <c r="C625" s="43" t="s">
        <v>1402</v>
      </c>
      <c r="D625" s="43" t="s">
        <v>3358</v>
      </c>
      <c r="E625" s="51" t="s">
        <v>1404</v>
      </c>
      <c r="F625" s="109" t="s">
        <v>3359</v>
      </c>
      <c r="G625" s="52"/>
      <c r="H625" s="52">
        <v>5</v>
      </c>
      <c r="I625" s="52" t="s">
        <v>611</v>
      </c>
      <c r="J625" s="261" t="s">
        <v>3360</v>
      </c>
      <c r="K625" s="262"/>
      <c r="L625" s="23">
        <f>+N625/1.12</f>
        <v>1517.8571428571427</v>
      </c>
      <c r="M625" s="23">
        <f>+L625*12%</f>
        <v>182.14285714285711</v>
      </c>
      <c r="N625" s="133">
        <v>1700</v>
      </c>
      <c r="O625" s="110" t="s">
        <v>1405</v>
      </c>
      <c r="P625" s="52" t="s">
        <v>3117</v>
      </c>
      <c r="Q625" s="52" t="s">
        <v>65</v>
      </c>
      <c r="R625" s="29" t="s">
        <v>3384</v>
      </c>
    </row>
    <row r="626" spans="1:18" x14ac:dyDescent="0.3">
      <c r="A626" s="50">
        <v>45745</v>
      </c>
      <c r="B626" s="33" t="s">
        <v>3361</v>
      </c>
      <c r="C626" s="25" t="s">
        <v>3362</v>
      </c>
      <c r="D626" s="25" t="s">
        <v>3363</v>
      </c>
      <c r="E626" s="44" t="s">
        <v>3364</v>
      </c>
      <c r="F626" s="28" t="s">
        <v>3365</v>
      </c>
      <c r="G626" s="29">
        <v>12</v>
      </c>
      <c r="H626" s="29">
        <v>10</v>
      </c>
      <c r="I626" s="29" t="s">
        <v>611</v>
      </c>
      <c r="J626" s="29" t="s">
        <v>539</v>
      </c>
      <c r="K626" s="29" t="s">
        <v>3307</v>
      </c>
      <c r="L626" s="23">
        <f>+N626/1.12</f>
        <v>1339.2857142857142</v>
      </c>
      <c r="M626" s="23">
        <f>+L626*12%</f>
        <v>160.71428571428569</v>
      </c>
      <c r="N626" s="133">
        <v>1500</v>
      </c>
      <c r="O626" s="61" t="s">
        <v>3366</v>
      </c>
      <c r="P626" s="29" t="s">
        <v>371</v>
      </c>
      <c r="Q626" s="29" t="s">
        <v>3200</v>
      </c>
      <c r="R626" s="29" t="s">
        <v>3367</v>
      </c>
    </row>
    <row r="627" spans="1:18" x14ac:dyDescent="0.3">
      <c r="A627" s="50">
        <v>45745</v>
      </c>
      <c r="B627" s="33" t="s">
        <v>3368</v>
      </c>
      <c r="C627" s="43" t="s">
        <v>3369</v>
      </c>
      <c r="D627" s="43" t="s">
        <v>3370</v>
      </c>
      <c r="E627" s="51" t="s">
        <v>3371</v>
      </c>
      <c r="F627" s="109" t="s">
        <v>3372</v>
      </c>
      <c r="G627" s="52">
        <v>10</v>
      </c>
      <c r="H627" s="52">
        <v>5</v>
      </c>
      <c r="I627" s="52" t="s">
        <v>3373</v>
      </c>
      <c r="J627" s="113" t="s">
        <v>539</v>
      </c>
      <c r="K627" s="115" t="s">
        <v>199</v>
      </c>
      <c r="L627" s="23">
        <f t="shared" si="26"/>
        <v>1339.2857142857142</v>
      </c>
      <c r="M627" s="23">
        <f t="shared" si="27"/>
        <v>160.71428571428569</v>
      </c>
      <c r="N627" s="133">
        <v>1500</v>
      </c>
      <c r="O627" s="110" t="s">
        <v>3374</v>
      </c>
      <c r="P627" s="52" t="s">
        <v>3117</v>
      </c>
      <c r="Q627" s="52" t="s">
        <v>3260</v>
      </c>
      <c r="R627" s="29" t="s">
        <v>2811</v>
      </c>
    </row>
    <row r="628" spans="1:18" x14ac:dyDescent="0.3">
      <c r="A628" s="50">
        <v>45745</v>
      </c>
      <c r="B628" s="33" t="s">
        <v>3375</v>
      </c>
      <c r="C628" s="43" t="s">
        <v>3376</v>
      </c>
      <c r="D628" s="43" t="s">
        <v>3377</v>
      </c>
      <c r="E628" s="51" t="s">
        <v>3378</v>
      </c>
      <c r="F628" s="109" t="s">
        <v>3379</v>
      </c>
      <c r="G628" s="52">
        <v>7</v>
      </c>
      <c r="H628" s="52">
        <v>3</v>
      </c>
      <c r="I628" s="52" t="s">
        <v>605</v>
      </c>
      <c r="J628" s="134" t="s">
        <v>539</v>
      </c>
      <c r="K628" s="134" t="s">
        <v>199</v>
      </c>
      <c r="L628" s="23">
        <f t="shared" si="26"/>
        <v>89.285714285714278</v>
      </c>
      <c r="M628" s="23">
        <f t="shared" si="27"/>
        <v>10.714285714285714</v>
      </c>
      <c r="N628" s="133">
        <v>100</v>
      </c>
      <c r="O628" s="110" t="s">
        <v>3380</v>
      </c>
      <c r="P628" s="52" t="s">
        <v>636</v>
      </c>
      <c r="Q628" s="52" t="s">
        <v>2832</v>
      </c>
      <c r="R628" s="29" t="s">
        <v>3381</v>
      </c>
    </row>
    <row r="629" spans="1:18" x14ac:dyDescent="0.3">
      <c r="A629" s="50">
        <v>45749</v>
      </c>
      <c r="B629" s="33" t="s">
        <v>3385</v>
      </c>
      <c r="C629" s="43" t="s">
        <v>3386</v>
      </c>
      <c r="D629" s="43" t="s">
        <v>3387</v>
      </c>
      <c r="E629" s="51" t="s">
        <v>3388</v>
      </c>
      <c r="F629" s="109" t="s">
        <v>3389</v>
      </c>
      <c r="G629" s="52">
        <v>10</v>
      </c>
      <c r="H629" s="52">
        <v>5</v>
      </c>
      <c r="I629" s="52" t="s">
        <v>611</v>
      </c>
      <c r="J629" s="134" t="s">
        <v>539</v>
      </c>
      <c r="K629" s="134" t="s">
        <v>200</v>
      </c>
      <c r="L629" s="23">
        <f>+N629/1.12</f>
        <v>892.85714285714278</v>
      </c>
      <c r="M629" s="23">
        <f>+L629*12%</f>
        <v>107.14285714285712</v>
      </c>
      <c r="N629" s="60">
        <v>1000</v>
      </c>
      <c r="O629" s="110" t="s">
        <v>3390</v>
      </c>
      <c r="P629" s="52" t="s">
        <v>2832</v>
      </c>
      <c r="Q629" s="52" t="s">
        <v>3260</v>
      </c>
      <c r="R629" s="52"/>
    </row>
    <row r="630" spans="1:18" x14ac:dyDescent="0.3">
      <c r="A630" s="50">
        <v>45749</v>
      </c>
      <c r="B630" s="33" t="s">
        <v>3391</v>
      </c>
      <c r="C630" s="25" t="s">
        <v>3392</v>
      </c>
      <c r="D630" s="25" t="s">
        <v>3393</v>
      </c>
      <c r="E630" s="135" t="s">
        <v>3394</v>
      </c>
      <c r="F630" s="135" t="s">
        <v>3395</v>
      </c>
      <c r="G630" s="26">
        <v>5</v>
      </c>
      <c r="H630" s="26">
        <v>3</v>
      </c>
      <c r="I630" s="26" t="s">
        <v>605</v>
      </c>
      <c r="J630" s="26" t="s">
        <v>539</v>
      </c>
      <c r="K630" s="26" t="s">
        <v>3396</v>
      </c>
      <c r="L630" s="23">
        <f>+N630/1.12</f>
        <v>714.28571428571422</v>
      </c>
      <c r="M630" s="23">
        <f>+L630*12%</f>
        <v>85.714285714285708</v>
      </c>
      <c r="N630" s="60">
        <v>800</v>
      </c>
      <c r="O630" s="27" t="s">
        <v>3397</v>
      </c>
      <c r="P630" s="25" t="s">
        <v>371</v>
      </c>
      <c r="Q630" s="25" t="s">
        <v>3200</v>
      </c>
      <c r="R630" s="26"/>
    </row>
    <row r="631" spans="1:18" x14ac:dyDescent="0.3">
      <c r="A631" s="50">
        <v>45750</v>
      </c>
      <c r="B631" s="33" t="s">
        <v>3398</v>
      </c>
      <c r="C631" s="25" t="s">
        <v>3399</v>
      </c>
      <c r="D631" s="25" t="s">
        <v>3400</v>
      </c>
      <c r="E631" s="135" t="s">
        <v>3401</v>
      </c>
      <c r="F631" s="135" t="s">
        <v>3402</v>
      </c>
      <c r="G631" s="26">
        <v>8</v>
      </c>
      <c r="H631" s="26">
        <v>5</v>
      </c>
      <c r="I631" s="26" t="s">
        <v>3403</v>
      </c>
      <c r="J631" s="26" t="s">
        <v>539</v>
      </c>
      <c r="K631" s="26" t="s">
        <v>200</v>
      </c>
      <c r="L631" s="23">
        <f>+N631/1.12</f>
        <v>1776.7857142857142</v>
      </c>
      <c r="M631" s="23">
        <f>+L631*12%</f>
        <v>213.21428571428569</v>
      </c>
      <c r="N631" s="60">
        <v>1990</v>
      </c>
      <c r="O631" s="27" t="s">
        <v>3404</v>
      </c>
      <c r="P631" s="25" t="s">
        <v>335</v>
      </c>
      <c r="Q631" s="25" t="s">
        <v>3200</v>
      </c>
      <c r="R631" s="26"/>
    </row>
    <row r="632" spans="1:18" x14ac:dyDescent="0.3">
      <c r="A632" s="50">
        <v>45751</v>
      </c>
      <c r="B632" s="33" t="s">
        <v>3405</v>
      </c>
      <c r="C632" s="25" t="s">
        <v>3406</v>
      </c>
      <c r="D632" s="25" t="s">
        <v>3407</v>
      </c>
      <c r="E632" s="135" t="s">
        <v>3408</v>
      </c>
      <c r="F632" s="135" t="s">
        <v>3409</v>
      </c>
      <c r="G632" s="26">
        <v>6</v>
      </c>
      <c r="H632" s="26">
        <v>6</v>
      </c>
      <c r="I632" s="26" t="s">
        <v>3410</v>
      </c>
      <c r="J632" s="26" t="s">
        <v>539</v>
      </c>
      <c r="K632" s="26" t="s">
        <v>1162</v>
      </c>
      <c r="L632" s="23">
        <f t="shared" ref="L632:L658" si="28">+N632/1.12</f>
        <v>892.85714285714278</v>
      </c>
      <c r="M632" s="23">
        <f t="shared" ref="M632:M658" si="29">+L632*12%</f>
        <v>107.14285714285712</v>
      </c>
      <c r="N632" s="60">
        <v>1000</v>
      </c>
      <c r="O632" s="27" t="s">
        <v>605</v>
      </c>
      <c r="P632" s="25" t="s">
        <v>3117</v>
      </c>
      <c r="Q632" s="25" t="s">
        <v>3200</v>
      </c>
      <c r="R632" s="26" t="s">
        <v>3260</v>
      </c>
    </row>
    <row r="633" spans="1:18" x14ac:dyDescent="0.3">
      <c r="A633" s="50">
        <v>45752</v>
      </c>
      <c r="B633" s="33" t="s">
        <v>3411</v>
      </c>
      <c r="C633" s="25" t="s">
        <v>3412</v>
      </c>
      <c r="D633" s="25" t="s">
        <v>3413</v>
      </c>
      <c r="E633" s="135" t="s">
        <v>3414</v>
      </c>
      <c r="F633" s="135" t="s">
        <v>3415</v>
      </c>
      <c r="G633" s="26">
        <v>8</v>
      </c>
      <c r="H633" s="26">
        <v>6</v>
      </c>
      <c r="I633" s="26" t="s">
        <v>3416</v>
      </c>
      <c r="J633" s="26" t="s">
        <v>539</v>
      </c>
      <c r="K633" s="26" t="s">
        <v>3307</v>
      </c>
      <c r="L633" s="23">
        <f t="shared" si="28"/>
        <v>1776.7857142857142</v>
      </c>
      <c r="M633" s="23">
        <f t="shared" si="29"/>
        <v>213.21428571428569</v>
      </c>
      <c r="N633" s="60">
        <v>1990</v>
      </c>
      <c r="O633" s="27" t="s">
        <v>3417</v>
      </c>
      <c r="P633" s="25" t="s">
        <v>3117</v>
      </c>
      <c r="Q633" s="25" t="s">
        <v>3260</v>
      </c>
      <c r="R633" s="26"/>
    </row>
    <row r="634" spans="1:18" x14ac:dyDescent="0.3">
      <c r="A634" s="50">
        <v>45752</v>
      </c>
      <c r="B634" s="33" t="s">
        <v>3418</v>
      </c>
      <c r="C634" s="25" t="s">
        <v>2080</v>
      </c>
      <c r="D634" s="25" t="s">
        <v>3419</v>
      </c>
      <c r="E634" s="135" t="s">
        <v>3420</v>
      </c>
      <c r="F634" s="135" t="s">
        <v>3421</v>
      </c>
      <c r="G634" s="26">
        <v>8</v>
      </c>
      <c r="H634" s="26">
        <v>7</v>
      </c>
      <c r="I634" s="26" t="s">
        <v>3422</v>
      </c>
      <c r="J634" s="26" t="s">
        <v>3108</v>
      </c>
      <c r="K634" s="26" t="s">
        <v>199</v>
      </c>
      <c r="L634" s="23">
        <f t="shared" si="28"/>
        <v>1339.2857142857142</v>
      </c>
      <c r="M634" s="23">
        <f t="shared" si="29"/>
        <v>160.71428571428569</v>
      </c>
      <c r="N634" s="60">
        <v>1500</v>
      </c>
      <c r="O634" s="27" t="s">
        <v>3423</v>
      </c>
      <c r="P634" s="25" t="s">
        <v>335</v>
      </c>
      <c r="Q634" s="25" t="s">
        <v>65</v>
      </c>
      <c r="R634" s="26"/>
    </row>
    <row r="635" spans="1:18" x14ac:dyDescent="0.3">
      <c r="A635" s="20">
        <v>45756</v>
      </c>
      <c r="B635" s="33" t="s">
        <v>3424</v>
      </c>
      <c r="C635" s="25" t="s">
        <v>3425</v>
      </c>
      <c r="D635" s="25" t="s">
        <v>3426</v>
      </c>
      <c r="E635" s="135" t="s">
        <v>3427</v>
      </c>
      <c r="F635" s="135" t="s">
        <v>3428</v>
      </c>
      <c r="G635" s="26">
        <v>7</v>
      </c>
      <c r="H635" s="26">
        <v>4</v>
      </c>
      <c r="I635" s="26" t="s">
        <v>605</v>
      </c>
      <c r="J635" s="26" t="s">
        <v>539</v>
      </c>
      <c r="K635" s="26" t="s">
        <v>199</v>
      </c>
      <c r="L635" s="23">
        <f t="shared" si="28"/>
        <v>446.42857142857139</v>
      </c>
      <c r="M635" s="23">
        <f t="shared" si="29"/>
        <v>53.571428571428562</v>
      </c>
      <c r="N635" s="136">
        <v>500</v>
      </c>
      <c r="O635" s="27" t="s">
        <v>3429</v>
      </c>
      <c r="P635" s="25" t="s">
        <v>335</v>
      </c>
      <c r="Q635" s="25" t="s">
        <v>2832</v>
      </c>
      <c r="R635" s="26"/>
    </row>
    <row r="636" spans="1:18" x14ac:dyDescent="0.3">
      <c r="A636" s="20">
        <v>45756</v>
      </c>
      <c r="B636" s="33" t="s">
        <v>3430</v>
      </c>
      <c r="C636" s="25" t="s">
        <v>3431</v>
      </c>
      <c r="D636" s="25" t="s">
        <v>3432</v>
      </c>
      <c r="E636" s="135" t="s">
        <v>3433</v>
      </c>
      <c r="F636" s="137" t="s">
        <v>3434</v>
      </c>
      <c r="G636" s="26">
        <v>6</v>
      </c>
      <c r="H636" s="26">
        <v>2</v>
      </c>
      <c r="I636" s="26" t="s">
        <v>605</v>
      </c>
      <c r="J636" s="26" t="s">
        <v>539</v>
      </c>
      <c r="K636" s="26" t="s">
        <v>3435</v>
      </c>
      <c r="L636" s="23">
        <f t="shared" si="28"/>
        <v>22.321428571428569</v>
      </c>
      <c r="M636" s="23">
        <f t="shared" si="29"/>
        <v>2.6785714285714284</v>
      </c>
      <c r="N636" s="136">
        <v>25</v>
      </c>
      <c r="O636" s="27" t="s">
        <v>3436</v>
      </c>
      <c r="P636" s="25" t="s">
        <v>371</v>
      </c>
      <c r="Q636" s="25" t="s">
        <v>2832</v>
      </c>
      <c r="R636" s="26"/>
    </row>
    <row r="637" spans="1:18" x14ac:dyDescent="0.3">
      <c r="A637" s="20">
        <v>45756</v>
      </c>
      <c r="B637" s="33" t="s">
        <v>3437</v>
      </c>
      <c r="C637" s="25" t="s">
        <v>3438</v>
      </c>
      <c r="D637" s="25" t="s">
        <v>3439</v>
      </c>
      <c r="E637" s="135" t="s">
        <v>3440</v>
      </c>
      <c r="F637" s="137" t="s">
        <v>3441</v>
      </c>
      <c r="G637" s="26">
        <v>8</v>
      </c>
      <c r="H637" s="26">
        <v>6</v>
      </c>
      <c r="I637" s="26" t="s">
        <v>3003</v>
      </c>
      <c r="J637" s="26" t="s">
        <v>539</v>
      </c>
      <c r="K637" s="26" t="s">
        <v>1162</v>
      </c>
      <c r="L637" s="23">
        <f t="shared" si="28"/>
        <v>1776.7857142857142</v>
      </c>
      <c r="M637" s="23">
        <f t="shared" si="29"/>
        <v>213.21428571428569</v>
      </c>
      <c r="N637" s="136">
        <v>1990</v>
      </c>
      <c r="O637" s="27" t="s">
        <v>3442</v>
      </c>
      <c r="P637" s="25" t="s">
        <v>1482</v>
      </c>
      <c r="Q637" s="25" t="s">
        <v>3200</v>
      </c>
      <c r="R637" s="26" t="s">
        <v>3260</v>
      </c>
    </row>
    <row r="638" spans="1:18" x14ac:dyDescent="0.3">
      <c r="A638" s="20">
        <v>45757</v>
      </c>
      <c r="B638" s="33" t="s">
        <v>3443</v>
      </c>
      <c r="C638" s="25" t="s">
        <v>3444</v>
      </c>
      <c r="D638" s="25" t="s">
        <v>3445</v>
      </c>
      <c r="E638" s="135" t="s">
        <v>3446</v>
      </c>
      <c r="F638" s="137" t="s">
        <v>3447</v>
      </c>
      <c r="G638" s="26">
        <v>12</v>
      </c>
      <c r="H638" s="26">
        <v>10</v>
      </c>
      <c r="I638" s="26" t="s">
        <v>3448</v>
      </c>
      <c r="J638" s="26" t="s">
        <v>539</v>
      </c>
      <c r="K638" s="26" t="s">
        <v>199</v>
      </c>
      <c r="L638" s="23">
        <f t="shared" si="28"/>
        <v>2669.6428571428569</v>
      </c>
      <c r="M638" s="23">
        <f t="shared" si="29"/>
        <v>320.35714285714283</v>
      </c>
      <c r="N638" s="136">
        <v>2990</v>
      </c>
      <c r="O638" s="27" t="s">
        <v>3449</v>
      </c>
      <c r="P638" s="25" t="s">
        <v>2832</v>
      </c>
      <c r="Q638" s="25" t="s">
        <v>3260</v>
      </c>
      <c r="R638" s="26"/>
    </row>
    <row r="639" spans="1:18" x14ac:dyDescent="0.3">
      <c r="A639" s="20">
        <v>45757</v>
      </c>
      <c r="B639" s="33" t="s">
        <v>3450</v>
      </c>
      <c r="C639" s="25" t="s">
        <v>3248</v>
      </c>
      <c r="D639" s="25" t="s">
        <v>3451</v>
      </c>
      <c r="E639" s="135" t="s">
        <v>3452</v>
      </c>
      <c r="F639" s="137" t="s">
        <v>3453</v>
      </c>
      <c r="G639" s="26">
        <v>8</v>
      </c>
      <c r="H639" s="26">
        <v>6</v>
      </c>
      <c r="I639" s="26" t="s">
        <v>617</v>
      </c>
      <c r="J639" s="26" t="s">
        <v>539</v>
      </c>
      <c r="K639" s="26" t="s">
        <v>199</v>
      </c>
      <c r="L639" s="23">
        <f t="shared" si="28"/>
        <v>1776.7857142857142</v>
      </c>
      <c r="M639" s="23">
        <f t="shared" si="29"/>
        <v>213.21428571428569</v>
      </c>
      <c r="N639" s="136">
        <v>1990</v>
      </c>
      <c r="O639" s="27" t="s">
        <v>3454</v>
      </c>
      <c r="P639" s="25" t="s">
        <v>335</v>
      </c>
      <c r="Q639" s="25" t="s">
        <v>2832</v>
      </c>
      <c r="R639" s="26" t="s">
        <v>3260</v>
      </c>
    </row>
    <row r="640" spans="1:18" x14ac:dyDescent="0.3">
      <c r="A640" s="20">
        <v>45758</v>
      </c>
      <c r="B640" s="33" t="s">
        <v>3455</v>
      </c>
      <c r="C640" s="25" t="s">
        <v>3456</v>
      </c>
      <c r="D640" s="25" t="s">
        <v>3457</v>
      </c>
      <c r="E640" s="135" t="s">
        <v>3458</v>
      </c>
      <c r="F640" s="137" t="s">
        <v>3459</v>
      </c>
      <c r="G640" s="26">
        <v>10</v>
      </c>
      <c r="H640" s="26">
        <v>7</v>
      </c>
      <c r="I640" s="26" t="s">
        <v>605</v>
      </c>
      <c r="J640" s="26" t="s">
        <v>3108</v>
      </c>
      <c r="K640" s="26" t="s">
        <v>200</v>
      </c>
      <c r="L640" s="23">
        <f t="shared" si="28"/>
        <v>223.21428571428569</v>
      </c>
      <c r="M640" s="23">
        <f t="shared" si="29"/>
        <v>26.785714285714281</v>
      </c>
      <c r="N640" s="136">
        <v>250</v>
      </c>
      <c r="O640" s="27" t="s">
        <v>3460</v>
      </c>
      <c r="P640" s="25" t="s">
        <v>371</v>
      </c>
      <c r="Q640" s="25" t="s">
        <v>58</v>
      </c>
      <c r="R640" s="26"/>
    </row>
    <row r="641" spans="1:18" x14ac:dyDescent="0.3">
      <c r="A641" s="138">
        <v>45759</v>
      </c>
      <c r="B641" s="139" t="s">
        <v>3461</v>
      </c>
      <c r="C641" s="140" t="s">
        <v>3462</v>
      </c>
      <c r="D641" s="140" t="s">
        <v>3463</v>
      </c>
      <c r="E641" s="141" t="s">
        <v>3464</v>
      </c>
      <c r="F641" s="141" t="s">
        <v>3465</v>
      </c>
      <c r="G641" s="142">
        <v>5</v>
      </c>
      <c r="H641" s="142">
        <v>5</v>
      </c>
      <c r="I641" s="143" t="s">
        <v>605</v>
      </c>
      <c r="J641" s="143" t="s">
        <v>539</v>
      </c>
      <c r="K641" s="143" t="s">
        <v>200</v>
      </c>
      <c r="L641" s="144">
        <f t="shared" si="28"/>
        <v>446.42857142857139</v>
      </c>
      <c r="M641" s="144">
        <f t="shared" si="29"/>
        <v>53.571428571428562</v>
      </c>
      <c r="N641" s="145">
        <v>500</v>
      </c>
      <c r="O641" s="146" t="s">
        <v>3466</v>
      </c>
      <c r="P641" s="140" t="s">
        <v>335</v>
      </c>
      <c r="Q641" s="140" t="s">
        <v>3200</v>
      </c>
      <c r="R641" s="26" t="s">
        <v>3467</v>
      </c>
    </row>
    <row r="642" spans="1:18" x14ac:dyDescent="0.3">
      <c r="A642" s="20">
        <v>45762</v>
      </c>
      <c r="B642" s="33" t="s">
        <v>3468</v>
      </c>
      <c r="C642" s="25" t="s">
        <v>3469</v>
      </c>
      <c r="D642" s="25" t="s">
        <v>3470</v>
      </c>
      <c r="E642" s="135" t="s">
        <v>3471</v>
      </c>
      <c r="F642" s="137" t="s">
        <v>3472</v>
      </c>
      <c r="G642" s="26">
        <v>12</v>
      </c>
      <c r="H642" s="26">
        <v>7</v>
      </c>
      <c r="I642" s="26" t="s">
        <v>617</v>
      </c>
      <c r="J642" s="26" t="s">
        <v>539</v>
      </c>
      <c r="K642" s="26" t="s">
        <v>200</v>
      </c>
      <c r="L642" s="23">
        <f t="shared" si="28"/>
        <v>1776.7857142857142</v>
      </c>
      <c r="M642" s="23">
        <f t="shared" si="29"/>
        <v>213.21428571428569</v>
      </c>
      <c r="N642" s="118">
        <v>1990</v>
      </c>
      <c r="O642" s="27" t="s">
        <v>3473</v>
      </c>
      <c r="P642" s="25" t="s">
        <v>2832</v>
      </c>
      <c r="Q642" s="25" t="s">
        <v>3260</v>
      </c>
      <c r="R642" s="26"/>
    </row>
    <row r="643" spans="1:18" x14ac:dyDescent="0.3">
      <c r="A643" s="50">
        <v>45769</v>
      </c>
      <c r="B643" s="112" t="s">
        <v>3474</v>
      </c>
      <c r="C643" s="43" t="s">
        <v>3475</v>
      </c>
      <c r="D643" s="43" t="s">
        <v>3476</v>
      </c>
      <c r="E643" s="137" t="s">
        <v>3477</v>
      </c>
      <c r="F643" s="137" t="s">
        <v>3478</v>
      </c>
      <c r="G643" s="147">
        <v>8</v>
      </c>
      <c r="H643" s="147">
        <v>4</v>
      </c>
      <c r="I643" s="147" t="s">
        <v>605</v>
      </c>
      <c r="J643" s="147" t="s">
        <v>539</v>
      </c>
      <c r="K643" s="147" t="s">
        <v>1162</v>
      </c>
      <c r="L643" s="23">
        <f t="shared" si="28"/>
        <v>803.57142857142844</v>
      </c>
      <c r="M643" s="23">
        <f t="shared" si="29"/>
        <v>96.428571428571416</v>
      </c>
      <c r="N643" s="144">
        <v>900</v>
      </c>
      <c r="O643" s="27" t="s">
        <v>3479</v>
      </c>
      <c r="P643" s="25" t="s">
        <v>335</v>
      </c>
      <c r="Q643" s="25" t="s">
        <v>3260</v>
      </c>
      <c r="R643" s="26"/>
    </row>
    <row r="644" spans="1:18" x14ac:dyDescent="0.3">
      <c r="A644" s="50">
        <v>45769</v>
      </c>
      <c r="B644" s="112" t="s">
        <v>3480</v>
      </c>
      <c r="C644" s="43" t="s">
        <v>3481</v>
      </c>
      <c r="D644" s="43" t="s">
        <v>998</v>
      </c>
      <c r="E644" s="137" t="s">
        <v>3482</v>
      </c>
      <c r="F644" s="137" t="s">
        <v>3483</v>
      </c>
      <c r="G644" s="147">
        <v>10</v>
      </c>
      <c r="H644" s="147">
        <v>7</v>
      </c>
      <c r="I644" s="147" t="s">
        <v>605</v>
      </c>
      <c r="J644" s="147" t="s">
        <v>539</v>
      </c>
      <c r="K644" s="147" t="s">
        <v>200</v>
      </c>
      <c r="L644" s="23">
        <f t="shared" si="28"/>
        <v>2669.6428571428569</v>
      </c>
      <c r="M644" s="23">
        <f t="shared" si="29"/>
        <v>320.35714285714283</v>
      </c>
      <c r="N644" s="144">
        <v>2990</v>
      </c>
      <c r="O644" s="27" t="s">
        <v>3484</v>
      </c>
      <c r="P644" s="25" t="s">
        <v>371</v>
      </c>
      <c r="Q644" s="25" t="s">
        <v>3200</v>
      </c>
      <c r="R644" s="26"/>
    </row>
    <row r="645" spans="1:18" x14ac:dyDescent="0.3">
      <c r="A645" s="50">
        <v>45771</v>
      </c>
      <c r="B645" s="112" t="s">
        <v>3485</v>
      </c>
      <c r="C645" s="43" t="s">
        <v>3486</v>
      </c>
      <c r="D645" s="43" t="s">
        <v>3487</v>
      </c>
      <c r="E645" s="137" t="s">
        <v>3488</v>
      </c>
      <c r="F645" s="137" t="s">
        <v>3489</v>
      </c>
      <c r="G645" s="147">
        <v>10</v>
      </c>
      <c r="H645" s="147">
        <v>8</v>
      </c>
      <c r="I645" s="147" t="s">
        <v>605</v>
      </c>
      <c r="J645" s="147" t="s">
        <v>539</v>
      </c>
      <c r="K645" s="147" t="s">
        <v>200</v>
      </c>
      <c r="L645" s="23">
        <f t="shared" si="28"/>
        <v>535.71428571428567</v>
      </c>
      <c r="M645" s="23">
        <f t="shared" si="29"/>
        <v>64.285714285714278</v>
      </c>
      <c r="N645" s="144">
        <v>600</v>
      </c>
      <c r="O645" s="27" t="s">
        <v>3490</v>
      </c>
      <c r="P645" s="25" t="s">
        <v>3491</v>
      </c>
      <c r="Q645" s="25" t="s">
        <v>3491</v>
      </c>
      <c r="R645" s="26"/>
    </row>
    <row r="646" spans="1:18" x14ac:dyDescent="0.3">
      <c r="A646" s="50">
        <v>45771</v>
      </c>
      <c r="B646" s="112" t="s">
        <v>3492</v>
      </c>
      <c r="C646" s="43" t="s">
        <v>3493</v>
      </c>
      <c r="D646" s="43" t="s">
        <v>3494</v>
      </c>
      <c r="E646" s="137" t="s">
        <v>3495</v>
      </c>
      <c r="F646" s="137" t="s">
        <v>3496</v>
      </c>
      <c r="G646" s="147">
        <v>7</v>
      </c>
      <c r="H646" s="147">
        <v>5</v>
      </c>
      <c r="I646" s="147"/>
      <c r="J646" s="147"/>
      <c r="K646" s="147"/>
      <c r="L646" s="23">
        <f t="shared" si="28"/>
        <v>0</v>
      </c>
      <c r="M646" s="23">
        <f t="shared" si="29"/>
        <v>0</v>
      </c>
      <c r="N646" s="23">
        <v>0</v>
      </c>
      <c r="O646" s="27" t="s">
        <v>3497</v>
      </c>
      <c r="P646" s="25" t="s">
        <v>3117</v>
      </c>
      <c r="Q646" s="25" t="s">
        <v>3200</v>
      </c>
      <c r="R646" s="26"/>
    </row>
    <row r="647" spans="1:18" x14ac:dyDescent="0.3">
      <c r="A647" s="50">
        <v>45774</v>
      </c>
      <c r="B647" s="112" t="s">
        <v>3498</v>
      </c>
      <c r="C647" s="43" t="s">
        <v>3499</v>
      </c>
      <c r="D647" s="43" t="s">
        <v>3500</v>
      </c>
      <c r="E647" s="137" t="s">
        <v>3501</v>
      </c>
      <c r="F647" s="137" t="s">
        <v>3502</v>
      </c>
      <c r="G647" s="147">
        <v>10</v>
      </c>
      <c r="H647" s="147">
        <v>12</v>
      </c>
      <c r="I647" s="147" t="s">
        <v>605</v>
      </c>
      <c r="J647" s="147" t="s">
        <v>539</v>
      </c>
      <c r="K647" s="147" t="s">
        <v>3307</v>
      </c>
      <c r="L647" s="23">
        <f t="shared" si="28"/>
        <v>2669.6428571428569</v>
      </c>
      <c r="M647" s="23">
        <f t="shared" si="29"/>
        <v>320.35714285714283</v>
      </c>
      <c r="N647" s="148">
        <v>2990</v>
      </c>
      <c r="O647" s="27" t="s">
        <v>3503</v>
      </c>
      <c r="P647" s="25" t="s">
        <v>371</v>
      </c>
      <c r="Q647" s="25" t="s">
        <v>3200</v>
      </c>
      <c r="R647" s="26"/>
    </row>
    <row r="648" spans="1:18" x14ac:dyDescent="0.3">
      <c r="A648" s="50">
        <v>45775</v>
      </c>
      <c r="B648" s="112" t="s">
        <v>3504</v>
      </c>
      <c r="C648" s="43" t="s">
        <v>3505</v>
      </c>
      <c r="D648" s="43" t="s">
        <v>3506</v>
      </c>
      <c r="E648" s="137" t="s">
        <v>3507</v>
      </c>
      <c r="F648" s="137" t="s">
        <v>3508</v>
      </c>
      <c r="G648" s="147">
        <v>8</v>
      </c>
      <c r="H648" s="147">
        <v>4</v>
      </c>
      <c r="I648" s="147" t="s">
        <v>605</v>
      </c>
      <c r="J648" s="267" t="s">
        <v>3509</v>
      </c>
      <c r="K648" s="268"/>
      <c r="L648" s="23">
        <f t="shared" si="28"/>
        <v>535.71428571428567</v>
      </c>
      <c r="M648" s="23">
        <f t="shared" si="29"/>
        <v>64.285714285714278</v>
      </c>
      <c r="N648" s="144">
        <v>600</v>
      </c>
      <c r="O648" s="27" t="s">
        <v>3510</v>
      </c>
      <c r="P648" s="25" t="s">
        <v>371</v>
      </c>
      <c r="Q648" s="25" t="s">
        <v>3260</v>
      </c>
      <c r="R648" s="26" t="s">
        <v>3200</v>
      </c>
    </row>
    <row r="649" spans="1:18" x14ac:dyDescent="0.3">
      <c r="A649" s="50">
        <v>45773</v>
      </c>
      <c r="B649" s="112" t="s">
        <v>3511</v>
      </c>
      <c r="C649" s="43" t="s">
        <v>3512</v>
      </c>
      <c r="D649" s="43" t="s">
        <v>3513</v>
      </c>
      <c r="E649" s="137" t="s">
        <v>3514</v>
      </c>
      <c r="F649" s="137" t="s">
        <v>3515</v>
      </c>
      <c r="G649" s="147">
        <v>8</v>
      </c>
      <c r="H649" s="147">
        <v>10</v>
      </c>
      <c r="I649" s="147" t="s">
        <v>617</v>
      </c>
      <c r="J649" s="147" t="s">
        <v>539</v>
      </c>
      <c r="K649" s="147" t="s">
        <v>1162</v>
      </c>
      <c r="L649" s="23">
        <f t="shared" si="28"/>
        <v>2857.1428571428569</v>
      </c>
      <c r="M649" s="23">
        <f t="shared" si="29"/>
        <v>342.85714285714283</v>
      </c>
      <c r="N649" s="148">
        <v>3200</v>
      </c>
      <c r="O649" s="27" t="s">
        <v>3516</v>
      </c>
      <c r="P649" s="25" t="s">
        <v>2865</v>
      </c>
      <c r="Q649" s="25" t="s">
        <v>225</v>
      </c>
      <c r="R649" s="26"/>
    </row>
    <row r="650" spans="1:18" x14ac:dyDescent="0.3">
      <c r="A650" s="50">
        <v>45773</v>
      </c>
      <c r="B650" s="112" t="s">
        <v>3517</v>
      </c>
      <c r="C650" s="43" t="s">
        <v>3518</v>
      </c>
      <c r="D650" s="43" t="s">
        <v>3519</v>
      </c>
      <c r="E650" s="137" t="s">
        <v>3520</v>
      </c>
      <c r="F650" s="137" t="s">
        <v>3521</v>
      </c>
      <c r="G650" s="147">
        <v>10</v>
      </c>
      <c r="H650" s="147">
        <v>5</v>
      </c>
      <c r="I650" s="147" t="s">
        <v>617</v>
      </c>
      <c r="J650" s="147" t="s">
        <v>539</v>
      </c>
      <c r="K650" s="147" t="s">
        <v>200</v>
      </c>
      <c r="L650" s="23">
        <f t="shared" si="28"/>
        <v>1607.1428571428569</v>
      </c>
      <c r="M650" s="23">
        <f t="shared" si="29"/>
        <v>192.85714285714283</v>
      </c>
      <c r="N650" s="144">
        <v>1800</v>
      </c>
      <c r="O650" s="27" t="s">
        <v>3522</v>
      </c>
      <c r="P650" s="25" t="s">
        <v>3491</v>
      </c>
      <c r="Q650" s="25" t="s">
        <v>3491</v>
      </c>
      <c r="R650" s="26"/>
    </row>
    <row r="651" spans="1:18" x14ac:dyDescent="0.3">
      <c r="A651" s="50">
        <v>45773</v>
      </c>
      <c r="B651" s="112" t="s">
        <v>3523</v>
      </c>
      <c r="C651" s="43" t="s">
        <v>3524</v>
      </c>
      <c r="D651" s="43" t="s">
        <v>3525</v>
      </c>
      <c r="E651" s="137" t="s">
        <v>3526</v>
      </c>
      <c r="F651" s="137" t="s">
        <v>3527</v>
      </c>
      <c r="G651" s="147">
        <v>5</v>
      </c>
      <c r="H651" s="147">
        <v>3</v>
      </c>
      <c r="I651" s="147" t="s">
        <v>605</v>
      </c>
      <c r="J651" s="267" t="s">
        <v>3528</v>
      </c>
      <c r="K651" s="268"/>
      <c r="L651" s="23">
        <f t="shared" si="28"/>
        <v>624.99999999999989</v>
      </c>
      <c r="M651" s="23">
        <f t="shared" si="29"/>
        <v>74.999999999999986</v>
      </c>
      <c r="N651" s="23">
        <v>700</v>
      </c>
      <c r="O651" s="27" t="s">
        <v>3529</v>
      </c>
      <c r="P651" s="25" t="s">
        <v>335</v>
      </c>
      <c r="Q651" s="25" t="s">
        <v>3200</v>
      </c>
      <c r="R651" s="26" t="s">
        <v>65</v>
      </c>
    </row>
    <row r="652" spans="1:18" x14ac:dyDescent="0.3">
      <c r="A652" s="50">
        <v>45775</v>
      </c>
      <c r="B652" s="112" t="s">
        <v>3530</v>
      </c>
      <c r="C652" s="43" t="s">
        <v>3531</v>
      </c>
      <c r="D652" s="43" t="s">
        <v>3532</v>
      </c>
      <c r="E652" s="137" t="s">
        <v>3533</v>
      </c>
      <c r="F652" s="137" t="s">
        <v>3534</v>
      </c>
      <c r="G652" s="147">
        <v>5</v>
      </c>
      <c r="H652" s="147">
        <v>3</v>
      </c>
      <c r="I652" s="147" t="s">
        <v>605</v>
      </c>
      <c r="J652" s="147" t="s">
        <v>539</v>
      </c>
      <c r="K652" s="147" t="s">
        <v>199</v>
      </c>
      <c r="L652" s="23">
        <f t="shared" si="28"/>
        <v>624.99999999999989</v>
      </c>
      <c r="M652" s="23">
        <f t="shared" si="29"/>
        <v>74.999999999999986</v>
      </c>
      <c r="N652" s="148">
        <v>700</v>
      </c>
      <c r="O652" s="27" t="s">
        <v>3535</v>
      </c>
      <c r="P652" s="25" t="s">
        <v>335</v>
      </c>
      <c r="Q652" s="25" t="s">
        <v>335</v>
      </c>
      <c r="R652" s="26"/>
    </row>
    <row r="653" spans="1:18" x14ac:dyDescent="0.3">
      <c r="A653" s="50">
        <v>45775</v>
      </c>
      <c r="B653" s="112" t="s">
        <v>3536</v>
      </c>
      <c r="C653" s="43" t="s">
        <v>3537</v>
      </c>
      <c r="D653" s="43" t="s">
        <v>3538</v>
      </c>
      <c r="E653" s="137" t="s">
        <v>3539</v>
      </c>
      <c r="F653" s="137" t="s">
        <v>3540</v>
      </c>
      <c r="G653" s="147">
        <v>5</v>
      </c>
      <c r="H653" s="147">
        <v>3</v>
      </c>
      <c r="I653" s="147" t="s">
        <v>605</v>
      </c>
      <c r="J653" s="147" t="s">
        <v>539</v>
      </c>
      <c r="K653" s="147" t="s">
        <v>3307</v>
      </c>
      <c r="L653" s="23">
        <f t="shared" si="28"/>
        <v>357.14285714285711</v>
      </c>
      <c r="M653" s="23">
        <f t="shared" si="29"/>
        <v>42.857142857142854</v>
      </c>
      <c r="N653" s="148">
        <v>400</v>
      </c>
      <c r="O653" s="27" t="s">
        <v>3541</v>
      </c>
      <c r="P653" s="25" t="s">
        <v>2865</v>
      </c>
      <c r="Q653" s="25" t="s">
        <v>225</v>
      </c>
      <c r="R653" s="26"/>
    </row>
    <row r="654" spans="1:18" x14ac:dyDescent="0.3">
      <c r="A654" s="50">
        <v>45776</v>
      </c>
      <c r="B654" s="112" t="s">
        <v>3542</v>
      </c>
      <c r="C654" s="43" t="s">
        <v>3543</v>
      </c>
      <c r="D654" s="43" t="s">
        <v>3544</v>
      </c>
      <c r="E654" s="137" t="s">
        <v>3545</v>
      </c>
      <c r="F654" s="137" t="s">
        <v>3546</v>
      </c>
      <c r="G654" s="147">
        <v>5</v>
      </c>
      <c r="H654" s="147">
        <v>3</v>
      </c>
      <c r="I654" s="147" t="s">
        <v>605</v>
      </c>
      <c r="J654" s="147" t="s">
        <v>539</v>
      </c>
      <c r="K654" s="147" t="s">
        <v>199</v>
      </c>
      <c r="L654" s="23">
        <f t="shared" si="28"/>
        <v>133.92857142857142</v>
      </c>
      <c r="M654" s="23">
        <f t="shared" si="29"/>
        <v>16.071428571428569</v>
      </c>
      <c r="N654" s="148">
        <v>150</v>
      </c>
      <c r="O654" s="27" t="s">
        <v>3547</v>
      </c>
      <c r="P654" s="25" t="s">
        <v>371</v>
      </c>
      <c r="Q654" s="25" t="s">
        <v>3200</v>
      </c>
      <c r="R654" s="26" t="s">
        <v>2832</v>
      </c>
    </row>
    <row r="655" spans="1:18" x14ac:dyDescent="0.3">
      <c r="A655" s="50">
        <v>45776</v>
      </c>
      <c r="B655" s="112" t="s">
        <v>3548</v>
      </c>
      <c r="C655" s="43" t="s">
        <v>3549</v>
      </c>
      <c r="D655" s="43" t="s">
        <v>3550</v>
      </c>
      <c r="E655" s="137" t="s">
        <v>3551</v>
      </c>
      <c r="F655" s="137" t="s">
        <v>3552</v>
      </c>
      <c r="G655" s="147">
        <v>5</v>
      </c>
      <c r="H655" s="147">
        <v>3</v>
      </c>
      <c r="I655" s="147" t="s">
        <v>605</v>
      </c>
      <c r="J655" s="147" t="s">
        <v>539</v>
      </c>
      <c r="K655" s="147" t="s">
        <v>3307</v>
      </c>
      <c r="L655" s="23">
        <f t="shared" si="28"/>
        <v>624.99999999999989</v>
      </c>
      <c r="M655" s="23">
        <f t="shared" si="29"/>
        <v>74.999999999999986</v>
      </c>
      <c r="N655" s="148">
        <v>700</v>
      </c>
      <c r="O655" s="27" t="s">
        <v>3553</v>
      </c>
      <c r="P655" s="25" t="s">
        <v>335</v>
      </c>
      <c r="Q655" s="25" t="s">
        <v>3200</v>
      </c>
      <c r="R655" s="26" t="s">
        <v>335</v>
      </c>
    </row>
    <row r="656" spans="1:18" x14ac:dyDescent="0.3">
      <c r="A656" s="50">
        <v>45776</v>
      </c>
      <c r="B656" s="112" t="s">
        <v>3554</v>
      </c>
      <c r="C656" s="43" t="s">
        <v>3555</v>
      </c>
      <c r="D656" s="43" t="s">
        <v>3556</v>
      </c>
      <c r="E656" s="137" t="s">
        <v>3557</v>
      </c>
      <c r="F656" s="137" t="s">
        <v>3558</v>
      </c>
      <c r="G656" s="147">
        <v>5</v>
      </c>
      <c r="H656" s="147">
        <v>3</v>
      </c>
      <c r="I656" s="147" t="s">
        <v>605</v>
      </c>
      <c r="J656" s="147" t="s">
        <v>539</v>
      </c>
      <c r="K656" s="147" t="s">
        <v>200</v>
      </c>
      <c r="L656" s="23">
        <f t="shared" si="28"/>
        <v>624.99999999999989</v>
      </c>
      <c r="M656" s="23">
        <f t="shared" si="29"/>
        <v>74.999999999999986</v>
      </c>
      <c r="N656" s="148">
        <v>700</v>
      </c>
      <c r="O656" s="27" t="s">
        <v>3559</v>
      </c>
      <c r="P656" s="25" t="s">
        <v>1482</v>
      </c>
      <c r="Q656" s="25" t="s">
        <v>3260</v>
      </c>
      <c r="R656" s="26" t="s">
        <v>335</v>
      </c>
    </row>
    <row r="657" spans="1:18" x14ac:dyDescent="0.3">
      <c r="A657" s="50">
        <v>45776</v>
      </c>
      <c r="B657" s="112" t="s">
        <v>3560</v>
      </c>
      <c r="C657" s="43" t="s">
        <v>3561</v>
      </c>
      <c r="D657" s="43" t="s">
        <v>3562</v>
      </c>
      <c r="E657" s="137" t="s">
        <v>3563</v>
      </c>
      <c r="F657" s="137" t="s">
        <v>3564</v>
      </c>
      <c r="G657" s="147">
        <v>6</v>
      </c>
      <c r="H657" s="147">
        <v>3</v>
      </c>
      <c r="I657" s="147" t="s">
        <v>611</v>
      </c>
      <c r="J657" s="147" t="s">
        <v>539</v>
      </c>
      <c r="K657" s="147" t="s">
        <v>200</v>
      </c>
      <c r="L657" s="23">
        <f t="shared" si="28"/>
        <v>1026.7857142857142</v>
      </c>
      <c r="M657" s="23">
        <f t="shared" si="29"/>
        <v>123.21428571428571</v>
      </c>
      <c r="N657" s="148">
        <v>1150</v>
      </c>
      <c r="O657" s="27" t="s">
        <v>3565</v>
      </c>
      <c r="P657" s="25" t="s">
        <v>3491</v>
      </c>
      <c r="Q657" s="25" t="s">
        <v>3491</v>
      </c>
      <c r="R657" s="26" t="s">
        <v>225</v>
      </c>
    </row>
    <row r="658" spans="1:18" x14ac:dyDescent="0.3">
      <c r="A658" s="50">
        <v>45777</v>
      </c>
      <c r="B658" s="112" t="s">
        <v>3566</v>
      </c>
      <c r="C658" s="43" t="s">
        <v>3567</v>
      </c>
      <c r="D658" s="43" t="s">
        <v>3568</v>
      </c>
      <c r="E658" s="137" t="s">
        <v>3569</v>
      </c>
      <c r="F658" s="137" t="s">
        <v>3570</v>
      </c>
      <c r="G658" s="147">
        <v>10</v>
      </c>
      <c r="H658" s="147">
        <v>5</v>
      </c>
      <c r="I658" s="147"/>
      <c r="J658" s="147" t="s">
        <v>539</v>
      </c>
      <c r="K658" s="147" t="s">
        <v>3396</v>
      </c>
      <c r="L658" s="23">
        <f t="shared" si="28"/>
        <v>2223.2142857142853</v>
      </c>
      <c r="M658" s="23">
        <f t="shared" si="29"/>
        <v>266.78571428571422</v>
      </c>
      <c r="N658" s="23">
        <v>2490</v>
      </c>
      <c r="O658" s="27" t="s">
        <v>3571</v>
      </c>
      <c r="P658" s="25" t="s">
        <v>1482</v>
      </c>
      <c r="Q658" s="25" t="s">
        <v>225</v>
      </c>
      <c r="R658" s="26" t="s">
        <v>3572</v>
      </c>
    </row>
    <row r="659" spans="1:18" x14ac:dyDescent="0.3">
      <c r="A659" s="50">
        <v>45777</v>
      </c>
      <c r="B659" s="112" t="s">
        <v>3573</v>
      </c>
      <c r="C659" s="43" t="s">
        <v>3574</v>
      </c>
      <c r="D659" s="43" t="s">
        <v>3575</v>
      </c>
      <c r="E659" s="137" t="s">
        <v>3576</v>
      </c>
      <c r="F659" s="137" t="s">
        <v>3577</v>
      </c>
      <c r="G659" s="147">
        <v>6</v>
      </c>
      <c r="H659" s="147">
        <v>5</v>
      </c>
      <c r="I659" s="147"/>
      <c r="J659" s="147"/>
      <c r="K659" s="147"/>
      <c r="L659" s="23"/>
      <c r="M659" s="23"/>
      <c r="N659" s="23"/>
      <c r="O659" s="27" t="s">
        <v>3578</v>
      </c>
      <c r="P659" s="25" t="s">
        <v>2832</v>
      </c>
      <c r="Q659" s="25" t="s">
        <v>3200</v>
      </c>
      <c r="R659" s="26"/>
    </row>
    <row r="660" spans="1:18" x14ac:dyDescent="0.3">
      <c r="A660" s="50">
        <v>45777</v>
      </c>
      <c r="B660" s="112" t="s">
        <v>3579</v>
      </c>
      <c r="C660" s="43" t="s">
        <v>3580</v>
      </c>
      <c r="D660" s="43" t="s">
        <v>3581</v>
      </c>
      <c r="E660" s="137" t="s">
        <v>3582</v>
      </c>
      <c r="F660" s="137" t="s">
        <v>3583</v>
      </c>
      <c r="G660" s="147">
        <v>6</v>
      </c>
      <c r="H660" s="147">
        <v>3</v>
      </c>
      <c r="I660" s="147" t="s">
        <v>617</v>
      </c>
      <c r="J660" s="147" t="s">
        <v>539</v>
      </c>
      <c r="K660" s="147" t="s">
        <v>200</v>
      </c>
      <c r="L660" s="23">
        <f>+N660/1.12</f>
        <v>357.14285714285711</v>
      </c>
      <c r="M660" s="23">
        <f>+L660*12%</f>
        <v>42.857142857142854</v>
      </c>
      <c r="N660" s="148">
        <v>400</v>
      </c>
      <c r="O660" s="27" t="s">
        <v>3584</v>
      </c>
      <c r="P660" s="25" t="s">
        <v>2832</v>
      </c>
      <c r="Q660" s="25" t="s">
        <v>225</v>
      </c>
      <c r="R660" s="26"/>
    </row>
    <row r="661" spans="1:18" x14ac:dyDescent="0.3">
      <c r="A661" s="50">
        <v>45777</v>
      </c>
      <c r="B661" s="112" t="s">
        <v>3585</v>
      </c>
      <c r="C661" s="43" t="s">
        <v>3586</v>
      </c>
      <c r="D661" s="43" t="s">
        <v>3587</v>
      </c>
      <c r="E661" s="137" t="s">
        <v>3588</v>
      </c>
      <c r="F661" s="137" t="s">
        <v>3589</v>
      </c>
      <c r="G661" s="147">
        <v>10</v>
      </c>
      <c r="H661" s="147">
        <v>60</v>
      </c>
      <c r="I661" s="147" t="s">
        <v>3590</v>
      </c>
      <c r="J661" s="147" t="s">
        <v>539</v>
      </c>
      <c r="K661" s="147" t="s">
        <v>200</v>
      </c>
      <c r="L661" s="23">
        <f>+N661/1.12</f>
        <v>7133.9285714285706</v>
      </c>
      <c r="M661" s="23">
        <f>+L661*12%</f>
        <v>856.07142857142844</v>
      </c>
      <c r="N661" s="23">
        <v>7990</v>
      </c>
      <c r="O661" s="27" t="s">
        <v>3591</v>
      </c>
      <c r="P661" s="25" t="s">
        <v>335</v>
      </c>
      <c r="Q661" s="25" t="s">
        <v>3572</v>
      </c>
      <c r="R661" s="26"/>
    </row>
    <row r="662" spans="1:18" x14ac:dyDescent="0.3">
      <c r="A662" s="50">
        <v>45779</v>
      </c>
      <c r="B662" s="33" t="s">
        <v>3592</v>
      </c>
      <c r="C662" s="43" t="s">
        <v>3593</v>
      </c>
      <c r="D662" s="43" t="s">
        <v>3594</v>
      </c>
      <c r="E662" s="109" t="s">
        <v>3595</v>
      </c>
      <c r="F662" s="109" t="s">
        <v>3596</v>
      </c>
      <c r="G662" s="43">
        <v>10</v>
      </c>
      <c r="H662" s="43">
        <v>5</v>
      </c>
      <c r="I662" s="147" t="s">
        <v>605</v>
      </c>
      <c r="J662" s="43" t="s">
        <v>539</v>
      </c>
      <c r="K662" s="43" t="s">
        <v>199</v>
      </c>
      <c r="L662" s="23">
        <f>+N662/1.12</f>
        <v>2223.2142857142853</v>
      </c>
      <c r="M662" s="23">
        <f>+L662*12%</f>
        <v>266.78571428571422</v>
      </c>
      <c r="N662" s="23">
        <v>2490</v>
      </c>
      <c r="O662" s="53" t="s">
        <v>3597</v>
      </c>
      <c r="P662" s="43" t="s">
        <v>65</v>
      </c>
      <c r="Q662" s="43" t="s">
        <v>3572</v>
      </c>
      <c r="R662" s="52" t="s">
        <v>2811</v>
      </c>
    </row>
    <row r="663" spans="1:18" x14ac:dyDescent="0.3">
      <c r="A663" s="50">
        <v>45779</v>
      </c>
      <c r="B663" s="33" t="s">
        <v>3598</v>
      </c>
      <c r="C663" s="43" t="s">
        <v>3599</v>
      </c>
      <c r="D663" s="43" t="s">
        <v>3600</v>
      </c>
      <c r="E663" s="109" t="s">
        <v>3601</v>
      </c>
      <c r="F663" s="109" t="s">
        <v>3602</v>
      </c>
      <c r="G663" s="43">
        <v>12</v>
      </c>
      <c r="H663" s="43">
        <v>20</v>
      </c>
      <c r="I663" s="147" t="s">
        <v>617</v>
      </c>
      <c r="J663" s="267" t="s">
        <v>3603</v>
      </c>
      <c r="K663" s="268"/>
      <c r="L663" s="23">
        <f>+N663/1.12</f>
        <v>1607.1428571428569</v>
      </c>
      <c r="M663" s="23">
        <f>+L663*12%</f>
        <v>192.85714285714283</v>
      </c>
      <c r="N663" s="23">
        <v>1800</v>
      </c>
      <c r="O663" s="53" t="s">
        <v>3604</v>
      </c>
      <c r="P663" s="43" t="s">
        <v>335</v>
      </c>
      <c r="Q663" s="43" t="s">
        <v>225</v>
      </c>
      <c r="R663" s="52" t="s">
        <v>3605</v>
      </c>
    </row>
    <row r="664" spans="1:18" x14ac:dyDescent="0.3">
      <c r="A664" s="149">
        <v>45783</v>
      </c>
      <c r="B664" s="150" t="s">
        <v>3606</v>
      </c>
      <c r="C664" s="151" t="s">
        <v>3607</v>
      </c>
      <c r="D664" s="151" t="s">
        <v>3608</v>
      </c>
      <c r="E664" s="152" t="s">
        <v>3609</v>
      </c>
      <c r="F664" s="152" t="s">
        <v>3610</v>
      </c>
      <c r="G664" s="151">
        <v>6</v>
      </c>
      <c r="H664" s="151">
        <v>3</v>
      </c>
      <c r="I664" s="153" t="s">
        <v>605</v>
      </c>
      <c r="J664" s="151" t="s">
        <v>539</v>
      </c>
      <c r="K664" s="151" t="s">
        <v>200</v>
      </c>
      <c r="L664" s="23">
        <f>+N664/1.12</f>
        <v>624.99999999999989</v>
      </c>
      <c r="M664" s="23">
        <f>+L664*12%</f>
        <v>74.999999999999986</v>
      </c>
      <c r="N664" s="23">
        <v>700</v>
      </c>
      <c r="O664" s="53" t="s">
        <v>3611</v>
      </c>
      <c r="P664" s="43" t="s">
        <v>3491</v>
      </c>
      <c r="Q664" s="43" t="s">
        <v>3491</v>
      </c>
      <c r="R664" s="52" t="s">
        <v>2811</v>
      </c>
    </row>
    <row r="665" spans="1:18" x14ac:dyDescent="0.3">
      <c r="A665" s="149">
        <v>45783</v>
      </c>
      <c r="B665" s="150" t="s">
        <v>3612</v>
      </c>
      <c r="C665" s="151" t="s">
        <v>3613</v>
      </c>
      <c r="D665" s="151" t="s">
        <v>3614</v>
      </c>
      <c r="E665" s="152" t="s">
        <v>3615</v>
      </c>
      <c r="F665" s="152" t="s">
        <v>3616</v>
      </c>
      <c r="G665" s="151">
        <v>6</v>
      </c>
      <c r="H665" s="151">
        <v>4</v>
      </c>
      <c r="I665" s="153" t="s">
        <v>617</v>
      </c>
      <c r="J665" s="151" t="s">
        <v>539</v>
      </c>
      <c r="K665" s="151" t="s">
        <v>3307</v>
      </c>
      <c r="L665" s="23">
        <f t="shared" ref="L665:L728" si="30">+N665/1.12</f>
        <v>1026.7857142857142</v>
      </c>
      <c r="M665" s="23">
        <f t="shared" ref="M665:M728" si="31">+L665*12%</f>
        <v>123.21428571428571</v>
      </c>
      <c r="N665" s="23">
        <v>1150</v>
      </c>
      <c r="O665" s="53" t="s">
        <v>3617</v>
      </c>
      <c r="P665" s="43" t="s">
        <v>371</v>
      </c>
      <c r="Q665" s="43" t="s">
        <v>225</v>
      </c>
      <c r="R665" s="52" t="s">
        <v>2811</v>
      </c>
    </row>
    <row r="666" spans="1:18" x14ac:dyDescent="0.3">
      <c r="A666" s="149">
        <v>45783</v>
      </c>
      <c r="B666" s="150" t="s">
        <v>3618</v>
      </c>
      <c r="C666" s="151" t="s">
        <v>3619</v>
      </c>
      <c r="D666" s="151" t="s">
        <v>3620</v>
      </c>
      <c r="E666" s="152" t="s">
        <v>3621</v>
      </c>
      <c r="F666" s="152" t="s">
        <v>3622</v>
      </c>
      <c r="G666" s="151">
        <v>5</v>
      </c>
      <c r="H666" s="151">
        <v>3</v>
      </c>
      <c r="I666" s="153" t="s">
        <v>605</v>
      </c>
      <c r="J666" s="151" t="s">
        <v>539</v>
      </c>
      <c r="K666" s="151" t="s">
        <v>200</v>
      </c>
      <c r="L666" s="23">
        <f t="shared" si="30"/>
        <v>624.99999999999989</v>
      </c>
      <c r="M666" s="23">
        <f t="shared" si="31"/>
        <v>74.999999999999986</v>
      </c>
      <c r="N666" s="23">
        <v>700</v>
      </c>
      <c r="O666" s="53" t="s">
        <v>3623</v>
      </c>
      <c r="P666" s="43" t="s">
        <v>636</v>
      </c>
      <c r="Q666" s="43" t="s">
        <v>592</v>
      </c>
      <c r="R666" s="52" t="s">
        <v>2811</v>
      </c>
    </row>
    <row r="667" spans="1:18" x14ac:dyDescent="0.3">
      <c r="A667" s="149">
        <v>45784</v>
      </c>
      <c r="B667" s="150" t="s">
        <v>3624</v>
      </c>
      <c r="C667" s="151" t="s">
        <v>3625</v>
      </c>
      <c r="D667" s="151" t="s">
        <v>3626</v>
      </c>
      <c r="E667" s="152" t="s">
        <v>3627</v>
      </c>
      <c r="F667" s="152" t="s">
        <v>3628</v>
      </c>
      <c r="G667" s="151">
        <v>6</v>
      </c>
      <c r="H667" s="151">
        <v>3</v>
      </c>
      <c r="I667" s="153" t="s">
        <v>605</v>
      </c>
      <c r="J667" s="151" t="s">
        <v>539</v>
      </c>
      <c r="K667" s="151" t="s">
        <v>199</v>
      </c>
      <c r="L667" s="23">
        <f t="shared" si="30"/>
        <v>446.42857142857139</v>
      </c>
      <c r="M667" s="23">
        <f t="shared" si="31"/>
        <v>53.571428571428562</v>
      </c>
      <c r="N667" s="23">
        <v>500</v>
      </c>
      <c r="O667" s="53" t="s">
        <v>3629</v>
      </c>
      <c r="P667" s="43" t="s">
        <v>335</v>
      </c>
      <c r="Q667" s="43" t="s">
        <v>225</v>
      </c>
      <c r="R667" s="52" t="s">
        <v>2811</v>
      </c>
    </row>
    <row r="668" spans="1:18" x14ac:dyDescent="0.3">
      <c r="A668" s="149">
        <v>45784</v>
      </c>
      <c r="B668" s="150" t="s">
        <v>3630</v>
      </c>
      <c r="C668" s="151" t="s">
        <v>3631</v>
      </c>
      <c r="D668" s="151" t="s">
        <v>3632</v>
      </c>
      <c r="E668" s="152" t="s">
        <v>3633</v>
      </c>
      <c r="F668" s="152" t="s">
        <v>3634</v>
      </c>
      <c r="G668" s="151">
        <v>7</v>
      </c>
      <c r="H668" s="151">
        <v>6</v>
      </c>
      <c r="I668" s="153" t="s">
        <v>605</v>
      </c>
      <c r="J668" s="151" t="s">
        <v>539</v>
      </c>
      <c r="K668" s="151" t="s">
        <v>3635</v>
      </c>
      <c r="L668" s="23">
        <f t="shared" si="30"/>
        <v>267.85714285714283</v>
      </c>
      <c r="M668" s="23">
        <f t="shared" si="31"/>
        <v>32.142857142857139</v>
      </c>
      <c r="N668" s="23">
        <v>300</v>
      </c>
      <c r="O668" s="53" t="s">
        <v>3636</v>
      </c>
      <c r="P668" s="43" t="s">
        <v>371</v>
      </c>
      <c r="Q668" s="43" t="s">
        <v>3200</v>
      </c>
      <c r="R668" s="52" t="s">
        <v>3637</v>
      </c>
    </row>
    <row r="669" spans="1:18" x14ac:dyDescent="0.3">
      <c r="A669" s="149">
        <v>45784</v>
      </c>
      <c r="B669" s="150" t="s">
        <v>3638</v>
      </c>
      <c r="C669" s="151" t="s">
        <v>3639</v>
      </c>
      <c r="D669" s="151" t="s">
        <v>3640</v>
      </c>
      <c r="E669" s="152" t="s">
        <v>3641</v>
      </c>
      <c r="F669" s="152" t="s">
        <v>3642</v>
      </c>
      <c r="G669" s="151">
        <v>6</v>
      </c>
      <c r="H669" s="151">
        <v>3</v>
      </c>
      <c r="I669" s="153" t="s">
        <v>605</v>
      </c>
      <c r="J669" s="151" t="s">
        <v>539</v>
      </c>
      <c r="K669" s="151" t="s">
        <v>199</v>
      </c>
      <c r="L669" s="23">
        <f t="shared" si="30"/>
        <v>714.28571428571422</v>
      </c>
      <c r="M669" s="23">
        <f t="shared" si="31"/>
        <v>85.714285714285708</v>
      </c>
      <c r="N669" s="23">
        <v>800</v>
      </c>
      <c r="O669" s="53" t="s">
        <v>3643</v>
      </c>
      <c r="P669" s="43" t="s">
        <v>1482</v>
      </c>
      <c r="Q669" s="43" t="s">
        <v>225</v>
      </c>
      <c r="R669" s="52" t="s">
        <v>2811</v>
      </c>
    </row>
    <row r="670" spans="1:18" x14ac:dyDescent="0.3">
      <c r="A670" s="149">
        <v>45785</v>
      </c>
      <c r="B670" s="150" t="s">
        <v>3644</v>
      </c>
      <c r="C670" s="151" t="s">
        <v>3645</v>
      </c>
      <c r="D670" s="151" t="s">
        <v>3646</v>
      </c>
      <c r="E670" s="152" t="s">
        <v>3647</v>
      </c>
      <c r="F670" s="152" t="s">
        <v>3648</v>
      </c>
      <c r="G670" s="151">
        <v>5</v>
      </c>
      <c r="H670" s="151">
        <v>2</v>
      </c>
      <c r="I670" s="153" t="s">
        <v>605</v>
      </c>
      <c r="J670" s="151" t="s">
        <v>539</v>
      </c>
      <c r="K670" s="151" t="s">
        <v>199</v>
      </c>
      <c r="L670" s="23">
        <f t="shared" si="30"/>
        <v>535.71428571428567</v>
      </c>
      <c r="M670" s="23">
        <f t="shared" si="31"/>
        <v>64.285714285714278</v>
      </c>
      <c r="N670" s="23">
        <v>600</v>
      </c>
      <c r="O670" s="53" t="s">
        <v>3649</v>
      </c>
      <c r="P670" s="43" t="s">
        <v>3491</v>
      </c>
      <c r="Q670" s="43" t="s">
        <v>3491</v>
      </c>
      <c r="R670" s="52" t="s">
        <v>2811</v>
      </c>
    </row>
    <row r="671" spans="1:18" x14ac:dyDescent="0.3">
      <c r="A671" s="149">
        <v>45785</v>
      </c>
      <c r="B671" s="150" t="s">
        <v>3650</v>
      </c>
      <c r="C671" s="151" t="s">
        <v>3651</v>
      </c>
      <c r="D671" s="151" t="s">
        <v>3652</v>
      </c>
      <c r="E671" s="152" t="s">
        <v>3653</v>
      </c>
      <c r="F671" s="152" t="s">
        <v>3654</v>
      </c>
      <c r="G671" s="151">
        <v>7</v>
      </c>
      <c r="H671" s="151">
        <v>3</v>
      </c>
      <c r="I671" s="153" t="s">
        <v>605</v>
      </c>
      <c r="J671" s="151" t="s">
        <v>539</v>
      </c>
      <c r="K671" s="151" t="s">
        <v>1162</v>
      </c>
      <c r="L671" s="23">
        <f t="shared" si="30"/>
        <v>892.85714285714278</v>
      </c>
      <c r="M671" s="23">
        <f t="shared" si="31"/>
        <v>107.14285714285712</v>
      </c>
      <c r="N671" s="23">
        <v>1000</v>
      </c>
      <c r="O671" s="53" t="s">
        <v>3655</v>
      </c>
      <c r="P671" s="43" t="s">
        <v>1482</v>
      </c>
      <c r="Q671" s="43" t="s">
        <v>592</v>
      </c>
      <c r="R671" s="52" t="s">
        <v>2811</v>
      </c>
    </row>
    <row r="672" spans="1:18" x14ac:dyDescent="0.3">
      <c r="A672" s="149">
        <v>45785</v>
      </c>
      <c r="B672" s="150" t="s">
        <v>3656</v>
      </c>
      <c r="C672" s="151" t="s">
        <v>3657</v>
      </c>
      <c r="D672" s="151" t="s">
        <v>3658</v>
      </c>
      <c r="E672" s="152" t="s">
        <v>3659</v>
      </c>
      <c r="F672" s="152" t="s">
        <v>3660</v>
      </c>
      <c r="G672" s="151">
        <v>7</v>
      </c>
      <c r="H672" s="151">
        <v>3</v>
      </c>
      <c r="I672" s="153" t="s">
        <v>611</v>
      </c>
      <c r="J672" s="151" t="s">
        <v>539</v>
      </c>
      <c r="K672" s="151" t="s">
        <v>3396</v>
      </c>
      <c r="L672" s="23">
        <f t="shared" si="30"/>
        <v>937.49999999999989</v>
      </c>
      <c r="M672" s="23">
        <f t="shared" si="31"/>
        <v>112.49999999999999</v>
      </c>
      <c r="N672" s="23">
        <v>1050</v>
      </c>
      <c r="O672" s="53" t="s">
        <v>3661</v>
      </c>
      <c r="P672" s="43" t="s">
        <v>335</v>
      </c>
      <c r="Q672" s="43" t="s">
        <v>3572</v>
      </c>
      <c r="R672" s="52" t="s">
        <v>2811</v>
      </c>
    </row>
    <row r="673" spans="1:18" x14ac:dyDescent="0.3">
      <c r="A673" s="149">
        <v>45786</v>
      </c>
      <c r="B673" s="150" t="s">
        <v>3662</v>
      </c>
      <c r="C673" s="151" t="s">
        <v>183</v>
      </c>
      <c r="D673" s="151" t="s">
        <v>3663</v>
      </c>
      <c r="E673" s="152" t="s">
        <v>3664</v>
      </c>
      <c r="F673" s="152" t="s">
        <v>3665</v>
      </c>
      <c r="G673" s="151">
        <v>6</v>
      </c>
      <c r="H673" s="151">
        <v>6</v>
      </c>
      <c r="I673" s="153" t="s">
        <v>605</v>
      </c>
      <c r="J673" s="151" t="s">
        <v>539</v>
      </c>
      <c r="K673" s="151" t="s">
        <v>200</v>
      </c>
      <c r="L673" s="23">
        <f t="shared" si="30"/>
        <v>267.85714285714283</v>
      </c>
      <c r="M673" s="23">
        <f t="shared" si="31"/>
        <v>32.142857142857139</v>
      </c>
      <c r="N673" s="23">
        <v>300</v>
      </c>
      <c r="O673" s="53" t="s">
        <v>3666</v>
      </c>
      <c r="P673" s="43" t="s">
        <v>371</v>
      </c>
      <c r="Q673" s="43" t="s">
        <v>3200</v>
      </c>
      <c r="R673" s="52" t="s">
        <v>3667</v>
      </c>
    </row>
    <row r="674" spans="1:18" x14ac:dyDescent="0.3">
      <c r="A674" s="149">
        <v>45786</v>
      </c>
      <c r="B674" s="150" t="s">
        <v>3668</v>
      </c>
      <c r="C674" s="151" t="s">
        <v>3669</v>
      </c>
      <c r="D674" s="151" t="s">
        <v>3670</v>
      </c>
      <c r="E674" s="152" t="s">
        <v>3671</v>
      </c>
      <c r="F674" s="152" t="s">
        <v>3672</v>
      </c>
      <c r="G674" s="151">
        <v>8</v>
      </c>
      <c r="H674" s="151">
        <v>8</v>
      </c>
      <c r="I674" s="153" t="s">
        <v>605</v>
      </c>
      <c r="J674" s="151" t="s">
        <v>539</v>
      </c>
      <c r="K674" s="151" t="s">
        <v>199</v>
      </c>
      <c r="L674" s="23">
        <f t="shared" si="30"/>
        <v>1776.7857142857142</v>
      </c>
      <c r="M674" s="23">
        <f t="shared" si="31"/>
        <v>213.21428571428569</v>
      </c>
      <c r="N674" s="23">
        <v>1990</v>
      </c>
      <c r="O674" s="53" t="s">
        <v>3673</v>
      </c>
      <c r="P674" s="43" t="s">
        <v>1482</v>
      </c>
      <c r="Q674" s="43" t="s">
        <v>225</v>
      </c>
      <c r="R674" s="52" t="s">
        <v>3674</v>
      </c>
    </row>
    <row r="675" spans="1:18" x14ac:dyDescent="0.3">
      <c r="A675" s="149">
        <v>45787</v>
      </c>
      <c r="B675" s="150" t="s">
        <v>3675</v>
      </c>
      <c r="C675" s="151" t="s">
        <v>3676</v>
      </c>
      <c r="D675" s="151" t="s">
        <v>3677</v>
      </c>
      <c r="E675" s="152" t="s">
        <v>3678</v>
      </c>
      <c r="F675" s="152" t="s">
        <v>3679</v>
      </c>
      <c r="G675" s="151">
        <v>10</v>
      </c>
      <c r="H675" s="151">
        <v>4</v>
      </c>
      <c r="I675" s="153" t="s">
        <v>605</v>
      </c>
      <c r="J675" s="151" t="s">
        <v>539</v>
      </c>
      <c r="K675" s="151" t="s">
        <v>199</v>
      </c>
      <c r="L675" s="23">
        <f t="shared" si="30"/>
        <v>1116.0714285714284</v>
      </c>
      <c r="M675" s="23">
        <f t="shared" si="31"/>
        <v>133.92857142857142</v>
      </c>
      <c r="N675" s="23">
        <v>1250</v>
      </c>
      <c r="O675" s="53" t="s">
        <v>3680</v>
      </c>
      <c r="P675" s="43" t="s">
        <v>335</v>
      </c>
      <c r="Q675" s="43" t="s">
        <v>3491</v>
      </c>
      <c r="R675" s="52" t="s">
        <v>3681</v>
      </c>
    </row>
    <row r="676" spans="1:18" x14ac:dyDescent="0.3">
      <c r="A676" s="149">
        <v>45787</v>
      </c>
      <c r="B676" s="150" t="s">
        <v>3682</v>
      </c>
      <c r="C676" s="151" t="s">
        <v>3683</v>
      </c>
      <c r="D676" s="151" t="s">
        <v>3684</v>
      </c>
      <c r="E676" s="152" t="s">
        <v>3685</v>
      </c>
      <c r="F676" s="152" t="s">
        <v>3686</v>
      </c>
      <c r="G676" s="151">
        <v>6</v>
      </c>
      <c r="H676" s="151">
        <v>4</v>
      </c>
      <c r="I676" s="153" t="s">
        <v>617</v>
      </c>
      <c r="J676" s="151" t="s">
        <v>539</v>
      </c>
      <c r="K676" s="151" t="s">
        <v>200</v>
      </c>
      <c r="L676" s="23">
        <f t="shared" si="30"/>
        <v>1026.7857142857142</v>
      </c>
      <c r="M676" s="23">
        <f t="shared" si="31"/>
        <v>123.21428571428571</v>
      </c>
      <c r="N676" s="23">
        <v>1150</v>
      </c>
      <c r="O676" s="53" t="s">
        <v>3687</v>
      </c>
      <c r="P676" s="43" t="s">
        <v>1482</v>
      </c>
      <c r="Q676" s="43" t="s">
        <v>225</v>
      </c>
      <c r="R676" s="52" t="s">
        <v>2811</v>
      </c>
    </row>
    <row r="677" spans="1:18" x14ac:dyDescent="0.3">
      <c r="A677" s="12">
        <v>45790</v>
      </c>
      <c r="B677" s="154" t="s">
        <v>3688</v>
      </c>
      <c r="C677" s="13" t="s">
        <v>3689</v>
      </c>
      <c r="D677" s="13" t="s">
        <v>3690</v>
      </c>
      <c r="E677" s="155" t="s">
        <v>3691</v>
      </c>
      <c r="F677" s="155" t="s">
        <v>3692</v>
      </c>
      <c r="G677" s="13">
        <v>7</v>
      </c>
      <c r="H677" s="13">
        <v>5</v>
      </c>
      <c r="I677" s="156" t="s">
        <v>3693</v>
      </c>
      <c r="J677" s="13" t="s">
        <v>539</v>
      </c>
      <c r="K677" s="13" t="s">
        <v>1518</v>
      </c>
      <c r="L677" s="23">
        <f t="shared" si="30"/>
        <v>1776.7857142857142</v>
      </c>
      <c r="M677" s="23">
        <f t="shared" si="31"/>
        <v>213.21428571428569</v>
      </c>
      <c r="N677" s="23">
        <v>1990</v>
      </c>
      <c r="O677" s="53" t="s">
        <v>3694</v>
      </c>
      <c r="P677" s="43" t="s">
        <v>335</v>
      </c>
      <c r="Q677" s="43" t="s">
        <v>3200</v>
      </c>
      <c r="R677" s="52" t="s">
        <v>2811</v>
      </c>
    </row>
    <row r="678" spans="1:18" x14ac:dyDescent="0.3">
      <c r="A678" s="12">
        <v>45790</v>
      </c>
      <c r="B678" s="154" t="s">
        <v>3695</v>
      </c>
      <c r="C678" s="13" t="s">
        <v>3696</v>
      </c>
      <c r="D678" s="13" t="s">
        <v>3697</v>
      </c>
      <c r="E678" s="155" t="s">
        <v>3698</v>
      </c>
      <c r="F678" s="155" t="s">
        <v>3699</v>
      </c>
      <c r="G678" s="13">
        <v>6</v>
      </c>
      <c r="H678" s="13">
        <v>3</v>
      </c>
      <c r="I678" s="156" t="s">
        <v>605</v>
      </c>
      <c r="J678" s="13" t="s">
        <v>539</v>
      </c>
      <c r="K678" s="13" t="s">
        <v>2488</v>
      </c>
      <c r="L678" s="23">
        <f t="shared" si="30"/>
        <v>892.85714285714278</v>
      </c>
      <c r="M678" s="23">
        <f t="shared" si="31"/>
        <v>107.14285714285712</v>
      </c>
      <c r="N678" s="23">
        <v>1000</v>
      </c>
      <c r="O678" s="53" t="s">
        <v>3700</v>
      </c>
      <c r="P678" s="43" t="s">
        <v>3260</v>
      </c>
      <c r="Q678" s="43" t="s">
        <v>225</v>
      </c>
      <c r="R678" s="52" t="s">
        <v>2811</v>
      </c>
    </row>
    <row r="679" spans="1:18" x14ac:dyDescent="0.3">
      <c r="A679" s="12">
        <v>45791</v>
      </c>
      <c r="B679" s="154" t="s">
        <v>3701</v>
      </c>
      <c r="C679" s="13" t="s">
        <v>3702</v>
      </c>
      <c r="D679" s="13" t="s">
        <v>3703</v>
      </c>
      <c r="E679" s="155" t="s">
        <v>3704</v>
      </c>
      <c r="F679" s="155" t="s">
        <v>3705</v>
      </c>
      <c r="G679" s="13">
        <v>6</v>
      </c>
      <c r="H679" s="13">
        <v>2</v>
      </c>
      <c r="I679" s="156" t="s">
        <v>605</v>
      </c>
      <c r="J679" s="13" t="s">
        <v>539</v>
      </c>
      <c r="K679" s="13" t="s">
        <v>2488</v>
      </c>
      <c r="L679" s="23">
        <f t="shared" si="30"/>
        <v>937.49999999999989</v>
      </c>
      <c r="M679" s="23">
        <f t="shared" si="31"/>
        <v>112.49999999999999</v>
      </c>
      <c r="N679" s="23">
        <v>1050</v>
      </c>
      <c r="O679" s="53" t="s">
        <v>3706</v>
      </c>
      <c r="P679" s="43" t="s">
        <v>371</v>
      </c>
      <c r="Q679" s="43" t="s">
        <v>3200</v>
      </c>
      <c r="R679" s="52" t="s">
        <v>2811</v>
      </c>
    </row>
    <row r="680" spans="1:18" x14ac:dyDescent="0.3">
      <c r="A680" s="12">
        <v>45791</v>
      </c>
      <c r="B680" s="154" t="s">
        <v>3707</v>
      </c>
      <c r="C680" s="13" t="s">
        <v>3708</v>
      </c>
      <c r="D680" s="13" t="s">
        <v>3709</v>
      </c>
      <c r="E680" s="155" t="s">
        <v>3710</v>
      </c>
      <c r="F680" s="155" t="s">
        <v>3711</v>
      </c>
      <c r="G680" s="13">
        <v>7</v>
      </c>
      <c r="H680" s="13">
        <v>3</v>
      </c>
      <c r="I680" s="156" t="s">
        <v>3003</v>
      </c>
      <c r="J680" s="13" t="s">
        <v>539</v>
      </c>
      <c r="K680" s="13" t="s">
        <v>200</v>
      </c>
      <c r="L680" s="23">
        <f t="shared" si="30"/>
        <v>714.28571428571422</v>
      </c>
      <c r="M680" s="23">
        <f t="shared" si="31"/>
        <v>85.714285714285708</v>
      </c>
      <c r="N680" s="23">
        <v>800</v>
      </c>
      <c r="O680" s="53" t="s">
        <v>3712</v>
      </c>
      <c r="P680" s="43" t="s">
        <v>65</v>
      </c>
      <c r="Q680" s="43" t="s">
        <v>3572</v>
      </c>
      <c r="R680" s="52" t="s">
        <v>2811</v>
      </c>
    </row>
    <row r="681" spans="1:18" x14ac:dyDescent="0.3">
      <c r="A681" s="12">
        <v>45791</v>
      </c>
      <c r="B681" s="154" t="s">
        <v>3713</v>
      </c>
      <c r="C681" s="13" t="s">
        <v>3714</v>
      </c>
      <c r="D681" s="13" t="s">
        <v>3715</v>
      </c>
      <c r="E681" s="155" t="s">
        <v>3716</v>
      </c>
      <c r="F681" s="155" t="s">
        <v>3717</v>
      </c>
      <c r="G681" s="13">
        <v>7</v>
      </c>
      <c r="H681" s="13">
        <v>7</v>
      </c>
      <c r="I681" s="156" t="s">
        <v>3718</v>
      </c>
      <c r="J681" s="13"/>
      <c r="K681" s="13"/>
      <c r="L681" s="23">
        <f t="shared" si="30"/>
        <v>0</v>
      </c>
      <c r="M681" s="23">
        <f t="shared" si="31"/>
        <v>0</v>
      </c>
      <c r="N681" s="23">
        <v>0</v>
      </c>
      <c r="O681" s="53" t="s">
        <v>3719</v>
      </c>
      <c r="P681" s="43" t="s">
        <v>371</v>
      </c>
      <c r="Q681" s="43" t="s">
        <v>3260</v>
      </c>
      <c r="R681" s="52" t="s">
        <v>3720</v>
      </c>
    </row>
    <row r="682" spans="1:18" x14ac:dyDescent="0.3">
      <c r="A682" s="12">
        <v>45791</v>
      </c>
      <c r="B682" s="154" t="s">
        <v>3721</v>
      </c>
      <c r="C682" s="13" t="s">
        <v>3722</v>
      </c>
      <c r="D682" s="13" t="s">
        <v>3723</v>
      </c>
      <c r="E682" s="155" t="s">
        <v>3724</v>
      </c>
      <c r="F682" s="155" t="s">
        <v>3725</v>
      </c>
      <c r="G682" s="13">
        <v>6</v>
      </c>
      <c r="H682" s="13">
        <v>2</v>
      </c>
      <c r="I682" s="156" t="s">
        <v>605</v>
      </c>
      <c r="J682" s="13" t="s">
        <v>3726</v>
      </c>
      <c r="K682" s="13" t="s">
        <v>199</v>
      </c>
      <c r="L682" s="23">
        <f t="shared" si="30"/>
        <v>624.99999999999989</v>
      </c>
      <c r="M682" s="23">
        <f t="shared" si="31"/>
        <v>74.999999999999986</v>
      </c>
      <c r="N682" s="23">
        <v>700</v>
      </c>
      <c r="O682" s="53" t="s">
        <v>3727</v>
      </c>
      <c r="P682" s="43" t="s">
        <v>1482</v>
      </c>
      <c r="Q682" s="43" t="s">
        <v>225</v>
      </c>
      <c r="R682" s="52" t="s">
        <v>2811</v>
      </c>
    </row>
    <row r="683" spans="1:18" x14ac:dyDescent="0.3">
      <c r="A683" s="12">
        <v>45792</v>
      </c>
      <c r="B683" s="154" t="s">
        <v>3728</v>
      </c>
      <c r="C683" s="13" t="s">
        <v>3729</v>
      </c>
      <c r="D683" s="13" t="s">
        <v>3730</v>
      </c>
      <c r="E683" s="155" t="s">
        <v>3731</v>
      </c>
      <c r="F683" s="155" t="s">
        <v>3732</v>
      </c>
      <c r="G683" s="13">
        <v>6</v>
      </c>
      <c r="H683" s="13">
        <v>3</v>
      </c>
      <c r="I683" s="156" t="s">
        <v>605</v>
      </c>
      <c r="J683" s="13" t="s">
        <v>539</v>
      </c>
      <c r="K683" s="13" t="s">
        <v>199</v>
      </c>
      <c r="L683" s="23">
        <f t="shared" si="30"/>
        <v>267.85714285714283</v>
      </c>
      <c r="M683" s="23">
        <f t="shared" si="31"/>
        <v>32.142857142857139</v>
      </c>
      <c r="N683" s="23">
        <v>300</v>
      </c>
      <c r="O683" s="53" t="s">
        <v>3733</v>
      </c>
      <c r="P683" s="43" t="s">
        <v>543</v>
      </c>
      <c r="Q683" s="43" t="s">
        <v>3200</v>
      </c>
      <c r="R683" s="52" t="s">
        <v>3734</v>
      </c>
    </row>
    <row r="684" spans="1:18" x14ac:dyDescent="0.3">
      <c r="A684" s="12">
        <v>45793</v>
      </c>
      <c r="B684" s="154" t="s">
        <v>3735</v>
      </c>
      <c r="C684" s="13" t="s">
        <v>3736</v>
      </c>
      <c r="D684" s="13" t="s">
        <v>3737</v>
      </c>
      <c r="E684" s="155" t="s">
        <v>3738</v>
      </c>
      <c r="F684" s="157" t="s">
        <v>3739</v>
      </c>
      <c r="G684" s="13">
        <v>8</v>
      </c>
      <c r="H684" s="13">
        <v>8</v>
      </c>
      <c r="I684" s="156" t="s">
        <v>605</v>
      </c>
      <c r="J684" s="13" t="s">
        <v>539</v>
      </c>
      <c r="K684" s="13" t="s">
        <v>200</v>
      </c>
      <c r="L684" s="23">
        <f t="shared" si="30"/>
        <v>892.85714285714278</v>
      </c>
      <c r="M684" s="23">
        <f t="shared" si="31"/>
        <v>107.14285714285712</v>
      </c>
      <c r="N684" s="23">
        <v>1000</v>
      </c>
      <c r="O684" s="27" t="s">
        <v>3740</v>
      </c>
      <c r="P684" s="25" t="s">
        <v>1482</v>
      </c>
      <c r="Q684" s="25" t="s">
        <v>225</v>
      </c>
      <c r="R684" s="26" t="s">
        <v>3741</v>
      </c>
    </row>
    <row r="685" spans="1:18" x14ac:dyDescent="0.3">
      <c r="A685" s="12">
        <v>45793</v>
      </c>
      <c r="B685" s="154" t="s">
        <v>3742</v>
      </c>
      <c r="C685" s="13" t="s">
        <v>3743</v>
      </c>
      <c r="D685" s="13" t="s">
        <v>3744</v>
      </c>
      <c r="E685" s="155" t="s">
        <v>3745</v>
      </c>
      <c r="F685" s="155" t="s">
        <v>3746</v>
      </c>
      <c r="G685" s="13">
        <v>7</v>
      </c>
      <c r="H685" s="13">
        <v>3</v>
      </c>
      <c r="I685" s="156" t="s">
        <v>611</v>
      </c>
      <c r="J685" s="269" t="s">
        <v>2857</v>
      </c>
      <c r="K685" s="270"/>
      <c r="L685" s="23">
        <f t="shared" si="30"/>
        <v>937.49999999999989</v>
      </c>
      <c r="M685" s="23">
        <f t="shared" si="31"/>
        <v>112.49999999999999</v>
      </c>
      <c r="N685" s="23">
        <v>1050</v>
      </c>
      <c r="O685" s="27" t="s">
        <v>3747</v>
      </c>
      <c r="P685" s="25" t="s">
        <v>3491</v>
      </c>
      <c r="Q685" s="25" t="s">
        <v>3491</v>
      </c>
      <c r="R685" s="26" t="s">
        <v>2811</v>
      </c>
    </row>
    <row r="686" spans="1:18" x14ac:dyDescent="0.3">
      <c r="A686" s="12">
        <v>45793</v>
      </c>
      <c r="B686" s="154" t="s">
        <v>3748</v>
      </c>
      <c r="C686" s="13" t="s">
        <v>3749</v>
      </c>
      <c r="D686" s="13" t="s">
        <v>3750</v>
      </c>
      <c r="E686" s="155" t="s">
        <v>3751</v>
      </c>
      <c r="F686" s="155" t="s">
        <v>3752</v>
      </c>
      <c r="G686" s="13">
        <v>7</v>
      </c>
      <c r="H686" s="13">
        <v>5</v>
      </c>
      <c r="I686" s="156" t="s">
        <v>3003</v>
      </c>
      <c r="J686" s="13" t="s">
        <v>3108</v>
      </c>
      <c r="K686" s="13" t="s">
        <v>199</v>
      </c>
      <c r="L686" s="23">
        <f t="shared" si="30"/>
        <v>1785.7142857142856</v>
      </c>
      <c r="M686" s="23">
        <f t="shared" si="31"/>
        <v>214.28571428571425</v>
      </c>
      <c r="N686" s="23">
        <v>2000</v>
      </c>
      <c r="O686" s="53" t="s">
        <v>3753</v>
      </c>
      <c r="P686" s="43" t="s">
        <v>335</v>
      </c>
      <c r="Q686" s="43" t="s">
        <v>3200</v>
      </c>
      <c r="R686" s="52" t="s">
        <v>2811</v>
      </c>
    </row>
    <row r="687" spans="1:18" x14ac:dyDescent="0.3">
      <c r="A687" s="12">
        <v>45794</v>
      </c>
      <c r="B687" s="154" t="s">
        <v>3754</v>
      </c>
      <c r="C687" s="13" t="s">
        <v>3755</v>
      </c>
      <c r="D687" s="13" t="s">
        <v>3756</v>
      </c>
      <c r="E687" s="155" t="s">
        <v>3757</v>
      </c>
      <c r="F687" s="155" t="s">
        <v>3758</v>
      </c>
      <c r="G687" s="13">
        <v>10</v>
      </c>
      <c r="H687" s="13">
        <v>10</v>
      </c>
      <c r="I687" s="156" t="s">
        <v>611</v>
      </c>
      <c r="J687" s="13"/>
      <c r="K687" s="13"/>
      <c r="L687" s="23">
        <f t="shared" si="30"/>
        <v>0</v>
      </c>
      <c r="M687" s="23">
        <f t="shared" si="31"/>
        <v>0</v>
      </c>
      <c r="N687" s="23">
        <v>0</v>
      </c>
      <c r="O687" s="53" t="s">
        <v>3759</v>
      </c>
      <c r="P687" s="43" t="s">
        <v>1482</v>
      </c>
      <c r="Q687" s="43" t="s">
        <v>3200</v>
      </c>
      <c r="R687" s="52" t="s">
        <v>3760</v>
      </c>
    </row>
    <row r="688" spans="1:18" x14ac:dyDescent="0.3">
      <c r="A688" s="12">
        <v>45794</v>
      </c>
      <c r="B688" s="154" t="s">
        <v>3761</v>
      </c>
      <c r="C688" s="13" t="s">
        <v>3762</v>
      </c>
      <c r="D688" s="13" t="s">
        <v>3763</v>
      </c>
      <c r="E688" s="155" t="s">
        <v>3764</v>
      </c>
      <c r="F688" s="155" t="s">
        <v>3765</v>
      </c>
      <c r="G688" s="13">
        <v>10</v>
      </c>
      <c r="H688" s="13">
        <v>8</v>
      </c>
      <c r="I688" s="156" t="s">
        <v>3766</v>
      </c>
      <c r="J688" s="13"/>
      <c r="K688" s="13"/>
      <c r="L688" s="23">
        <f t="shared" si="30"/>
        <v>0</v>
      </c>
      <c r="M688" s="23">
        <f t="shared" si="31"/>
        <v>0</v>
      </c>
      <c r="N688" s="23">
        <v>0</v>
      </c>
      <c r="O688" s="53" t="s">
        <v>3767</v>
      </c>
      <c r="P688" s="43" t="s">
        <v>335</v>
      </c>
      <c r="Q688" s="43" t="s">
        <v>225</v>
      </c>
      <c r="R688" s="52" t="s">
        <v>3768</v>
      </c>
    </row>
    <row r="689" spans="1:18" x14ac:dyDescent="0.3">
      <c r="A689" s="12">
        <v>45794</v>
      </c>
      <c r="B689" s="154" t="s">
        <v>3769</v>
      </c>
      <c r="C689" s="13" t="s">
        <v>3770</v>
      </c>
      <c r="D689" s="13" t="s">
        <v>3771</v>
      </c>
      <c r="E689" s="155" t="s">
        <v>3772</v>
      </c>
      <c r="F689" s="155" t="s">
        <v>3773</v>
      </c>
      <c r="G689" s="13">
        <v>10</v>
      </c>
      <c r="H689" s="13">
        <v>8</v>
      </c>
      <c r="I689" s="156" t="s">
        <v>617</v>
      </c>
      <c r="J689" s="13" t="s">
        <v>539</v>
      </c>
      <c r="K689" s="13" t="s">
        <v>2488</v>
      </c>
      <c r="L689" s="23">
        <f t="shared" si="30"/>
        <v>1785.7142857142856</v>
      </c>
      <c r="M689" s="23">
        <f t="shared" si="31"/>
        <v>214.28571428571425</v>
      </c>
      <c r="N689" s="23">
        <v>2000</v>
      </c>
      <c r="O689" s="53" t="s">
        <v>3774</v>
      </c>
      <c r="P689" s="43" t="s">
        <v>624</v>
      </c>
      <c r="Q689" s="43" t="s">
        <v>3260</v>
      </c>
      <c r="R689" s="52" t="s">
        <v>3775</v>
      </c>
    </row>
    <row r="690" spans="1:18" x14ac:dyDescent="0.3">
      <c r="A690" s="158">
        <v>45797</v>
      </c>
      <c r="B690" s="159" t="s">
        <v>3776</v>
      </c>
      <c r="C690" s="160" t="s">
        <v>3777</v>
      </c>
      <c r="D690" s="160" t="s">
        <v>3778</v>
      </c>
      <c r="E690" s="161" t="s">
        <v>3779</v>
      </c>
      <c r="F690" s="161" t="s">
        <v>3780</v>
      </c>
      <c r="G690" s="160">
        <v>7</v>
      </c>
      <c r="H690" s="160">
        <v>10</v>
      </c>
      <c r="I690" s="162" t="s">
        <v>611</v>
      </c>
      <c r="J690" s="160" t="s">
        <v>539</v>
      </c>
      <c r="K690" s="160" t="s">
        <v>199</v>
      </c>
      <c r="L690" s="23">
        <f t="shared" si="30"/>
        <v>4455.3571428571422</v>
      </c>
      <c r="M690" s="23">
        <f t="shared" si="31"/>
        <v>534.642857142857</v>
      </c>
      <c r="N690" s="23">
        <v>4990</v>
      </c>
      <c r="O690" s="53" t="s">
        <v>3781</v>
      </c>
      <c r="P690" s="43" t="s">
        <v>335</v>
      </c>
      <c r="Q690" s="43" t="s">
        <v>3572</v>
      </c>
      <c r="R690" s="52" t="s">
        <v>2811</v>
      </c>
    </row>
    <row r="691" spans="1:18" x14ac:dyDescent="0.3">
      <c r="A691" s="158">
        <v>45797</v>
      </c>
      <c r="B691" s="159" t="s">
        <v>3782</v>
      </c>
      <c r="C691" s="160" t="s">
        <v>3783</v>
      </c>
      <c r="D691" s="160" t="s">
        <v>3784</v>
      </c>
      <c r="E691" s="161" t="s">
        <v>3785</v>
      </c>
      <c r="F691" s="161" t="s">
        <v>3786</v>
      </c>
      <c r="G691" s="160">
        <v>7</v>
      </c>
      <c r="H691" s="160">
        <v>4</v>
      </c>
      <c r="I691" s="162" t="s">
        <v>605</v>
      </c>
      <c r="J691" s="160" t="s">
        <v>539</v>
      </c>
      <c r="K691" s="160" t="s">
        <v>199</v>
      </c>
      <c r="L691" s="23">
        <f t="shared" si="30"/>
        <v>892.85714285714278</v>
      </c>
      <c r="M691" s="23">
        <f t="shared" si="31"/>
        <v>107.14285714285712</v>
      </c>
      <c r="N691" s="23">
        <v>1000</v>
      </c>
      <c r="O691" s="53" t="s">
        <v>3787</v>
      </c>
      <c r="P691" s="43" t="s">
        <v>1482</v>
      </c>
      <c r="Q691" s="43" t="s">
        <v>3200</v>
      </c>
      <c r="R691" s="52" t="s">
        <v>2811</v>
      </c>
    </row>
    <row r="692" spans="1:18" x14ac:dyDescent="0.3">
      <c r="A692" s="158">
        <v>45797</v>
      </c>
      <c r="B692" s="159" t="s">
        <v>3788</v>
      </c>
      <c r="C692" s="160" t="s">
        <v>3789</v>
      </c>
      <c r="D692" s="160" t="s">
        <v>3790</v>
      </c>
      <c r="E692" s="161" t="s">
        <v>3791</v>
      </c>
      <c r="F692" s="161" t="s">
        <v>3792</v>
      </c>
      <c r="G692" s="160">
        <v>7</v>
      </c>
      <c r="H692" s="160">
        <v>10</v>
      </c>
      <c r="I692" s="162" t="s">
        <v>3793</v>
      </c>
      <c r="J692" s="160" t="s">
        <v>539</v>
      </c>
      <c r="K692" s="160" t="s">
        <v>200</v>
      </c>
      <c r="L692" s="23">
        <f t="shared" si="30"/>
        <v>1607.1428571428569</v>
      </c>
      <c r="M692" s="23">
        <f t="shared" si="31"/>
        <v>192.85714285714283</v>
      </c>
      <c r="N692" s="23">
        <v>1800</v>
      </c>
      <c r="O692" s="53"/>
      <c r="P692" s="43" t="s">
        <v>65</v>
      </c>
      <c r="Q692" s="43" t="s">
        <v>335</v>
      </c>
      <c r="R692" s="52" t="s">
        <v>2811</v>
      </c>
    </row>
    <row r="693" spans="1:18" x14ac:dyDescent="0.3">
      <c r="A693" s="158">
        <v>45797</v>
      </c>
      <c r="B693" s="159" t="s">
        <v>3794</v>
      </c>
      <c r="C693" s="160" t="s">
        <v>2092</v>
      </c>
      <c r="D693" s="160" t="s">
        <v>3795</v>
      </c>
      <c r="E693" s="161" t="s">
        <v>3796</v>
      </c>
      <c r="F693" s="161" t="s">
        <v>3797</v>
      </c>
      <c r="G693" s="160">
        <v>6</v>
      </c>
      <c r="H693" s="160">
        <v>5</v>
      </c>
      <c r="I693" s="162" t="s">
        <v>617</v>
      </c>
      <c r="J693" s="160" t="s">
        <v>539</v>
      </c>
      <c r="K693" s="160" t="s">
        <v>199</v>
      </c>
      <c r="L693" s="23">
        <f t="shared" si="30"/>
        <v>2232.1428571428569</v>
      </c>
      <c r="M693" s="23">
        <f t="shared" si="31"/>
        <v>267.85714285714283</v>
      </c>
      <c r="N693" s="23">
        <v>2500</v>
      </c>
      <c r="O693" s="53" t="s">
        <v>3798</v>
      </c>
      <c r="P693" s="43" t="s">
        <v>335</v>
      </c>
      <c r="Q693" s="43" t="s">
        <v>225</v>
      </c>
      <c r="R693" s="52" t="s">
        <v>2811</v>
      </c>
    </row>
    <row r="694" spans="1:18" x14ac:dyDescent="0.3">
      <c r="A694" s="158">
        <v>45798</v>
      </c>
      <c r="B694" s="159" t="s">
        <v>3799</v>
      </c>
      <c r="C694" s="160" t="s">
        <v>3800</v>
      </c>
      <c r="D694" s="160" t="s">
        <v>3801</v>
      </c>
      <c r="E694" s="161" t="s">
        <v>3802</v>
      </c>
      <c r="F694" s="161" t="s">
        <v>3803</v>
      </c>
      <c r="G694" s="160">
        <v>5</v>
      </c>
      <c r="H694" s="160">
        <v>3</v>
      </c>
      <c r="I694" s="162" t="s">
        <v>605</v>
      </c>
      <c r="J694" s="160" t="s">
        <v>211</v>
      </c>
      <c r="K694" s="160" t="s">
        <v>211</v>
      </c>
      <c r="L694" s="23">
        <f t="shared" si="30"/>
        <v>89.285714285714278</v>
      </c>
      <c r="M694" s="23">
        <f t="shared" si="31"/>
        <v>10.714285714285714</v>
      </c>
      <c r="N694" s="23">
        <v>100</v>
      </c>
      <c r="O694" s="53" t="s">
        <v>3804</v>
      </c>
      <c r="P694" s="43" t="s">
        <v>3805</v>
      </c>
      <c r="Q694" s="43" t="s">
        <v>225</v>
      </c>
      <c r="R694" s="52" t="s">
        <v>3806</v>
      </c>
    </row>
    <row r="695" spans="1:18" x14ac:dyDescent="0.3">
      <c r="A695" s="158">
        <v>45799</v>
      </c>
      <c r="B695" s="159" t="s">
        <v>3807</v>
      </c>
      <c r="C695" s="160" t="s">
        <v>3808</v>
      </c>
      <c r="D695" s="160" t="s">
        <v>3809</v>
      </c>
      <c r="E695" s="161" t="s">
        <v>3810</v>
      </c>
      <c r="F695" s="161" t="s">
        <v>3811</v>
      </c>
      <c r="G695" s="160">
        <v>5</v>
      </c>
      <c r="H695" s="160">
        <v>3</v>
      </c>
      <c r="I695" s="162" t="s">
        <v>605</v>
      </c>
      <c r="J695" s="160"/>
      <c r="K695" s="160"/>
      <c r="L695" s="23">
        <f t="shared" si="30"/>
        <v>0</v>
      </c>
      <c r="M695" s="23">
        <f t="shared" si="31"/>
        <v>0</v>
      </c>
      <c r="N695" s="23">
        <v>0</v>
      </c>
      <c r="O695" s="53" t="s">
        <v>3812</v>
      </c>
      <c r="P695" s="43" t="s">
        <v>65</v>
      </c>
      <c r="Q695" s="43" t="s">
        <v>225</v>
      </c>
      <c r="R695" s="52" t="s">
        <v>3813</v>
      </c>
    </row>
    <row r="696" spans="1:18" x14ac:dyDescent="0.3">
      <c r="A696" s="158">
        <v>45799</v>
      </c>
      <c r="B696" s="159" t="s">
        <v>3814</v>
      </c>
      <c r="C696" s="160" t="s">
        <v>3815</v>
      </c>
      <c r="D696" s="160" t="s">
        <v>3816</v>
      </c>
      <c r="E696" s="161" t="s">
        <v>3817</v>
      </c>
      <c r="F696" s="161" t="s">
        <v>3818</v>
      </c>
      <c r="G696" s="160">
        <v>10</v>
      </c>
      <c r="H696" s="160">
        <v>3</v>
      </c>
      <c r="I696" s="162" t="s">
        <v>605</v>
      </c>
      <c r="J696" s="160"/>
      <c r="K696" s="160"/>
      <c r="L696" s="23">
        <f t="shared" si="30"/>
        <v>0</v>
      </c>
      <c r="M696" s="23">
        <f t="shared" si="31"/>
        <v>0</v>
      </c>
      <c r="N696" s="23">
        <v>0</v>
      </c>
      <c r="O696" s="53" t="s">
        <v>3819</v>
      </c>
      <c r="P696" s="43" t="s">
        <v>335</v>
      </c>
      <c r="Q696" s="43" t="s">
        <v>3572</v>
      </c>
      <c r="R696" s="52" t="s">
        <v>2811</v>
      </c>
    </row>
    <row r="697" spans="1:18" x14ac:dyDescent="0.3">
      <c r="A697" s="158">
        <v>45799</v>
      </c>
      <c r="B697" s="159" t="s">
        <v>3820</v>
      </c>
      <c r="C697" s="160" t="s">
        <v>3821</v>
      </c>
      <c r="D697" s="160" t="s">
        <v>3822</v>
      </c>
      <c r="E697" s="161" t="s">
        <v>3823</v>
      </c>
      <c r="F697" s="161" t="s">
        <v>3824</v>
      </c>
      <c r="G697" s="160">
        <v>5</v>
      </c>
      <c r="H697" s="160">
        <v>3</v>
      </c>
      <c r="I697" s="162" t="s">
        <v>605</v>
      </c>
      <c r="J697" s="160" t="s">
        <v>539</v>
      </c>
      <c r="K697" s="160" t="s">
        <v>3307</v>
      </c>
      <c r="L697" s="23">
        <f t="shared" si="30"/>
        <v>714.28571428571422</v>
      </c>
      <c r="M697" s="23">
        <f t="shared" si="31"/>
        <v>85.714285714285708</v>
      </c>
      <c r="N697" s="23">
        <v>800</v>
      </c>
      <c r="O697" s="53" t="s">
        <v>3825</v>
      </c>
      <c r="P697" s="43" t="s">
        <v>3805</v>
      </c>
      <c r="Q697" s="43" t="s">
        <v>225</v>
      </c>
      <c r="R697" s="52" t="s">
        <v>2811</v>
      </c>
    </row>
    <row r="698" spans="1:18" x14ac:dyDescent="0.3">
      <c r="A698" s="163">
        <v>45807</v>
      </c>
      <c r="B698" s="164" t="s">
        <v>3826</v>
      </c>
      <c r="C698" s="8" t="s">
        <v>3827</v>
      </c>
      <c r="D698" s="8" t="s">
        <v>3828</v>
      </c>
      <c r="E698" s="165" t="s">
        <v>3829</v>
      </c>
      <c r="F698" s="165" t="s">
        <v>3830</v>
      </c>
      <c r="G698" s="8">
        <v>7</v>
      </c>
      <c r="H698" s="8">
        <v>5</v>
      </c>
      <c r="I698" s="166" t="s">
        <v>3831</v>
      </c>
      <c r="J698" s="8" t="s">
        <v>539</v>
      </c>
      <c r="K698" s="8" t="s">
        <v>1586</v>
      </c>
      <c r="L698" s="23">
        <f t="shared" si="30"/>
        <v>4276.7857142857138</v>
      </c>
      <c r="M698" s="23">
        <f t="shared" si="31"/>
        <v>513.21428571428567</v>
      </c>
      <c r="N698" s="23">
        <v>4790</v>
      </c>
      <c r="O698" s="53" t="s">
        <v>3832</v>
      </c>
      <c r="P698" s="43" t="s">
        <v>3833</v>
      </c>
      <c r="Q698" s="43" t="s">
        <v>3572</v>
      </c>
      <c r="R698" s="52" t="s">
        <v>2811</v>
      </c>
    </row>
    <row r="699" spans="1:18" x14ac:dyDescent="0.3">
      <c r="A699" s="163">
        <v>45807</v>
      </c>
      <c r="B699" s="164" t="s">
        <v>3834</v>
      </c>
      <c r="C699" s="8" t="s">
        <v>3835</v>
      </c>
      <c r="D699" s="8" t="s">
        <v>3836</v>
      </c>
      <c r="E699" s="165" t="s">
        <v>3837</v>
      </c>
      <c r="F699" s="165" t="s">
        <v>3838</v>
      </c>
      <c r="G699" s="8">
        <v>10</v>
      </c>
      <c r="H699" s="8">
        <v>5</v>
      </c>
      <c r="I699" s="166" t="s">
        <v>605</v>
      </c>
      <c r="J699" s="8" t="s">
        <v>539</v>
      </c>
      <c r="K699" s="8" t="s">
        <v>199</v>
      </c>
      <c r="L699" s="23">
        <f t="shared" si="30"/>
        <v>223.21428571428569</v>
      </c>
      <c r="M699" s="23">
        <f t="shared" si="31"/>
        <v>26.785714285714281</v>
      </c>
      <c r="N699" s="23">
        <v>250</v>
      </c>
      <c r="O699" s="53" t="s">
        <v>3839</v>
      </c>
      <c r="P699" s="43" t="s">
        <v>3833</v>
      </c>
      <c r="Q699" s="43" t="s">
        <v>592</v>
      </c>
      <c r="R699" s="29" t="s">
        <v>3840</v>
      </c>
    </row>
    <row r="700" spans="1:18" x14ac:dyDescent="0.3">
      <c r="A700" s="20">
        <v>45815</v>
      </c>
      <c r="B700" s="25" t="s">
        <v>3841</v>
      </c>
      <c r="C700" s="25" t="s">
        <v>3842</v>
      </c>
      <c r="D700" s="25" t="s">
        <v>3843</v>
      </c>
      <c r="E700" s="28" t="s">
        <v>3844</v>
      </c>
      <c r="F700" s="28" t="s">
        <v>3845</v>
      </c>
      <c r="G700" s="25">
        <v>7</v>
      </c>
      <c r="H700" s="25">
        <v>5</v>
      </c>
      <c r="I700" s="25" t="s">
        <v>605</v>
      </c>
      <c r="J700" s="25" t="s">
        <v>539</v>
      </c>
      <c r="K700" s="25" t="s">
        <v>3846</v>
      </c>
      <c r="L700" s="167">
        <f t="shared" si="30"/>
        <v>1776.7857142857142</v>
      </c>
      <c r="M700" s="167">
        <f t="shared" si="31"/>
        <v>213.21428571428569</v>
      </c>
      <c r="N700" s="167">
        <v>1990</v>
      </c>
      <c r="O700" s="27" t="s">
        <v>3847</v>
      </c>
      <c r="P700" s="25" t="s">
        <v>335</v>
      </c>
      <c r="Q700" s="25" t="s">
        <v>3848</v>
      </c>
      <c r="R700" s="29" t="s">
        <v>2811</v>
      </c>
    </row>
    <row r="701" spans="1:18" x14ac:dyDescent="0.3">
      <c r="A701" s="20">
        <v>45815</v>
      </c>
      <c r="B701" s="25" t="s">
        <v>3849</v>
      </c>
      <c r="C701" s="25" t="s">
        <v>3850</v>
      </c>
      <c r="D701" s="25" t="s">
        <v>3851</v>
      </c>
      <c r="E701" s="28" t="s">
        <v>3852</v>
      </c>
      <c r="F701" s="28" t="s">
        <v>3853</v>
      </c>
      <c r="G701" s="25">
        <v>7</v>
      </c>
      <c r="H701" s="25">
        <v>5</v>
      </c>
      <c r="I701" s="25" t="s">
        <v>605</v>
      </c>
      <c r="J701" s="25" t="s">
        <v>539</v>
      </c>
      <c r="K701" s="25" t="s">
        <v>3854</v>
      </c>
      <c r="L701" s="167">
        <f t="shared" si="30"/>
        <v>1339.2857142857142</v>
      </c>
      <c r="M701" s="167">
        <f t="shared" si="31"/>
        <v>160.71428571428569</v>
      </c>
      <c r="N701" s="167">
        <v>1500</v>
      </c>
      <c r="O701" s="27"/>
      <c r="P701" s="25" t="s">
        <v>371</v>
      </c>
      <c r="Q701" s="25" t="s">
        <v>3848</v>
      </c>
      <c r="R701" s="29" t="s">
        <v>2811</v>
      </c>
    </row>
    <row r="702" spans="1:18" x14ac:dyDescent="0.3">
      <c r="A702" s="20">
        <v>45815</v>
      </c>
      <c r="B702" s="25" t="s">
        <v>3855</v>
      </c>
      <c r="C702" s="25" t="s">
        <v>3856</v>
      </c>
      <c r="D702" s="25" t="s">
        <v>3857</v>
      </c>
      <c r="E702" s="28" t="s">
        <v>3858</v>
      </c>
      <c r="F702" s="28" t="s">
        <v>3859</v>
      </c>
      <c r="G702" s="25">
        <v>7</v>
      </c>
      <c r="H702" s="25">
        <v>3</v>
      </c>
      <c r="I702" s="25" t="s">
        <v>605</v>
      </c>
      <c r="J702" s="25" t="s">
        <v>539</v>
      </c>
      <c r="K702" s="25" t="s">
        <v>1586</v>
      </c>
      <c r="L702" s="167">
        <f t="shared" si="30"/>
        <v>1151.7857142857142</v>
      </c>
      <c r="M702" s="167">
        <f t="shared" si="31"/>
        <v>138.21428571428569</v>
      </c>
      <c r="N702" s="167">
        <v>1290</v>
      </c>
      <c r="O702" s="27" t="s">
        <v>3860</v>
      </c>
      <c r="P702" s="25" t="s">
        <v>3861</v>
      </c>
      <c r="Q702" s="25" t="s">
        <v>3862</v>
      </c>
      <c r="R702" s="29" t="s">
        <v>2797</v>
      </c>
    </row>
    <row r="703" spans="1:18" x14ac:dyDescent="0.3">
      <c r="A703" s="20">
        <v>45817</v>
      </c>
      <c r="B703" t="s">
        <v>3863</v>
      </c>
      <c r="C703" s="25" t="s">
        <v>3864</v>
      </c>
      <c r="D703" s="25" t="s">
        <v>3865</v>
      </c>
      <c r="E703" s="28" t="s">
        <v>3866</v>
      </c>
      <c r="F703" s="28" t="s">
        <v>3867</v>
      </c>
      <c r="G703" s="25">
        <v>7</v>
      </c>
      <c r="H703" s="25">
        <v>5</v>
      </c>
      <c r="I703" s="25" t="s">
        <v>605</v>
      </c>
      <c r="J703" s="25" t="s">
        <v>539</v>
      </c>
      <c r="K703" s="25" t="s">
        <v>3868</v>
      </c>
      <c r="L703" s="167">
        <f t="shared" si="30"/>
        <v>2669.6428571428569</v>
      </c>
      <c r="M703" s="167">
        <f t="shared" si="31"/>
        <v>320.35714285714283</v>
      </c>
      <c r="N703" s="167">
        <v>2990</v>
      </c>
      <c r="O703" s="27" t="s">
        <v>3869</v>
      </c>
      <c r="P703" s="25" t="s">
        <v>3861</v>
      </c>
      <c r="Q703" s="25" t="s">
        <v>65</v>
      </c>
      <c r="R703" s="29" t="s">
        <v>2811</v>
      </c>
    </row>
    <row r="704" spans="1:18" x14ac:dyDescent="0.3">
      <c r="A704" s="20">
        <v>45817</v>
      </c>
      <c r="B704" s="25" t="s">
        <v>3870</v>
      </c>
      <c r="C704" s="25" t="s">
        <v>3871</v>
      </c>
      <c r="D704" s="25" t="s">
        <v>3872</v>
      </c>
      <c r="E704" s="28" t="s">
        <v>3873</v>
      </c>
      <c r="F704" s="28" t="s">
        <v>3874</v>
      </c>
      <c r="G704" s="25">
        <v>6</v>
      </c>
      <c r="H704" s="25">
        <v>3</v>
      </c>
      <c r="I704" s="25" t="s">
        <v>605</v>
      </c>
      <c r="J704" s="25" t="s">
        <v>539</v>
      </c>
      <c r="K704" s="25" t="s">
        <v>3846</v>
      </c>
      <c r="L704" s="167">
        <f t="shared" si="30"/>
        <v>892.85714285714278</v>
      </c>
      <c r="M704" s="167">
        <f t="shared" si="31"/>
        <v>107.14285714285712</v>
      </c>
      <c r="N704" s="167">
        <v>1000</v>
      </c>
      <c r="O704" s="27" t="s">
        <v>3875</v>
      </c>
      <c r="P704" s="25" t="s">
        <v>3876</v>
      </c>
      <c r="Q704" s="25" t="s">
        <v>225</v>
      </c>
      <c r="R704" s="29" t="s">
        <v>2811</v>
      </c>
    </row>
    <row r="705" spans="1:18" x14ac:dyDescent="0.3">
      <c r="A705" s="20">
        <v>45818</v>
      </c>
      <c r="B705" s="25" t="s">
        <v>3877</v>
      </c>
      <c r="C705" s="25" t="s">
        <v>3878</v>
      </c>
      <c r="D705" s="25" t="s">
        <v>3879</v>
      </c>
      <c r="E705" s="28" t="s">
        <v>3880</v>
      </c>
      <c r="F705" s="28" t="s">
        <v>3881</v>
      </c>
      <c r="G705" s="25">
        <v>7</v>
      </c>
      <c r="H705" s="25">
        <v>5</v>
      </c>
      <c r="I705" s="25" t="s">
        <v>605</v>
      </c>
      <c r="J705" s="25" t="s">
        <v>539</v>
      </c>
      <c r="K705" s="25" t="s">
        <v>2488</v>
      </c>
      <c r="L705" s="167">
        <f t="shared" si="30"/>
        <v>1776.7857142857142</v>
      </c>
      <c r="M705" s="167">
        <f t="shared" si="31"/>
        <v>213.21428571428569</v>
      </c>
      <c r="N705" s="167">
        <v>1990</v>
      </c>
      <c r="O705" s="27" t="s">
        <v>3882</v>
      </c>
      <c r="P705" s="25" t="s">
        <v>3805</v>
      </c>
      <c r="Q705" s="25" t="s">
        <v>225</v>
      </c>
      <c r="R705" s="29" t="s">
        <v>2811</v>
      </c>
    </row>
    <row r="706" spans="1:18" x14ac:dyDescent="0.3">
      <c r="A706" s="20">
        <v>45818</v>
      </c>
      <c r="B706" s="25" t="s">
        <v>3883</v>
      </c>
      <c r="C706" s="25" t="s">
        <v>3884</v>
      </c>
      <c r="D706" s="25" t="s">
        <v>3885</v>
      </c>
      <c r="E706" s="28" t="s">
        <v>3886</v>
      </c>
      <c r="F706" s="28" t="s">
        <v>3887</v>
      </c>
      <c r="G706" s="25">
        <v>7</v>
      </c>
      <c r="H706" s="25">
        <v>5</v>
      </c>
      <c r="I706" s="25" t="s">
        <v>605</v>
      </c>
      <c r="J706" s="25" t="s">
        <v>539</v>
      </c>
      <c r="K706" s="25" t="s">
        <v>3854</v>
      </c>
      <c r="L706" s="167">
        <f t="shared" si="30"/>
        <v>1339.2857142857142</v>
      </c>
      <c r="M706" s="167">
        <f t="shared" si="31"/>
        <v>160.71428571428569</v>
      </c>
      <c r="N706" s="167">
        <v>1500</v>
      </c>
      <c r="O706" s="27" t="s">
        <v>3888</v>
      </c>
      <c r="P706" s="25" t="s">
        <v>3889</v>
      </c>
      <c r="Q706" s="25" t="s">
        <v>3890</v>
      </c>
      <c r="R706" s="29" t="s">
        <v>2811</v>
      </c>
    </row>
    <row r="707" spans="1:18" x14ac:dyDescent="0.3">
      <c r="A707" s="20">
        <v>45818</v>
      </c>
      <c r="B707" s="25" t="s">
        <v>3891</v>
      </c>
      <c r="C707" s="168" t="s">
        <v>3892</v>
      </c>
      <c r="D707" s="168" t="s">
        <v>3893</v>
      </c>
      <c r="E707" s="28" t="s">
        <v>3894</v>
      </c>
      <c r="F707" s="28" t="s">
        <v>3895</v>
      </c>
      <c r="G707" s="25">
        <v>10</v>
      </c>
      <c r="H707" s="25">
        <v>10</v>
      </c>
      <c r="I707" s="25" t="s">
        <v>605</v>
      </c>
      <c r="J707" s="25" t="s">
        <v>539</v>
      </c>
      <c r="K707" s="25" t="s">
        <v>538</v>
      </c>
      <c r="L707" s="167">
        <f t="shared" si="30"/>
        <v>892.85714285714278</v>
      </c>
      <c r="M707" s="167">
        <f t="shared" si="31"/>
        <v>107.14285714285712</v>
      </c>
      <c r="N707" s="167">
        <v>1000</v>
      </c>
      <c r="O707" s="131" t="s">
        <v>3896</v>
      </c>
      <c r="P707" s="25" t="s">
        <v>3861</v>
      </c>
      <c r="Q707" s="25" t="s">
        <v>3897</v>
      </c>
      <c r="R707" s="29" t="s">
        <v>3898</v>
      </c>
    </row>
    <row r="708" spans="1:18" x14ac:dyDescent="0.3">
      <c r="A708" s="20">
        <v>45819</v>
      </c>
      <c r="B708" s="25" t="s">
        <v>3899</v>
      </c>
      <c r="C708" s="25" t="s">
        <v>2513</v>
      </c>
      <c r="D708" s="25" t="s">
        <v>3900</v>
      </c>
      <c r="E708" s="28" t="s">
        <v>3901</v>
      </c>
      <c r="F708" s="28" t="s">
        <v>3902</v>
      </c>
      <c r="G708" s="25">
        <v>6</v>
      </c>
      <c r="H708" s="25">
        <v>3</v>
      </c>
      <c r="I708" s="25" t="s">
        <v>605</v>
      </c>
      <c r="J708" s="25" t="s">
        <v>539</v>
      </c>
      <c r="K708" s="25" t="s">
        <v>3854</v>
      </c>
      <c r="L708" s="167">
        <f t="shared" si="30"/>
        <v>1285.7142857142856</v>
      </c>
      <c r="M708" s="167">
        <f t="shared" si="31"/>
        <v>154.28571428571425</v>
      </c>
      <c r="N708" s="167">
        <v>1440</v>
      </c>
      <c r="O708" s="131" t="s">
        <v>3903</v>
      </c>
      <c r="P708" s="25" t="s">
        <v>3861</v>
      </c>
      <c r="Q708" s="25" t="s">
        <v>225</v>
      </c>
      <c r="R708" s="29" t="s">
        <v>2811</v>
      </c>
    </row>
    <row r="709" spans="1:18" x14ac:dyDescent="0.3">
      <c r="A709" s="20">
        <v>45820</v>
      </c>
      <c r="B709" s="43" t="s">
        <v>3904</v>
      </c>
      <c r="C709" s="25" t="s">
        <v>3905</v>
      </c>
      <c r="D709" s="25" t="s">
        <v>3906</v>
      </c>
      <c r="E709" s="28" t="s">
        <v>3907</v>
      </c>
      <c r="F709" s="28" t="s">
        <v>3908</v>
      </c>
      <c r="G709" s="25">
        <v>7</v>
      </c>
      <c r="H709" s="25">
        <v>3</v>
      </c>
      <c r="I709" s="25" t="s">
        <v>605</v>
      </c>
      <c r="J709" s="25" t="s">
        <v>539</v>
      </c>
      <c r="K709" s="25" t="s">
        <v>3909</v>
      </c>
      <c r="L709" s="167">
        <f t="shared" si="30"/>
        <v>0</v>
      </c>
      <c r="M709" s="167">
        <f t="shared" si="31"/>
        <v>0</v>
      </c>
      <c r="N709" s="167">
        <v>0</v>
      </c>
      <c r="O709" s="27" t="s">
        <v>3910</v>
      </c>
      <c r="P709" s="25"/>
      <c r="Q709" s="25"/>
      <c r="R709" s="29" t="s">
        <v>3911</v>
      </c>
    </row>
    <row r="710" spans="1:18" x14ac:dyDescent="0.3">
      <c r="A710" s="20">
        <v>45821</v>
      </c>
      <c r="B710" s="43" t="s">
        <v>3912</v>
      </c>
      <c r="C710" s="25" t="s">
        <v>3913</v>
      </c>
      <c r="D710" s="25" t="s">
        <v>3914</v>
      </c>
      <c r="E710" s="28" t="s">
        <v>3915</v>
      </c>
      <c r="F710" s="28" t="s">
        <v>3916</v>
      </c>
      <c r="G710" s="25">
        <v>4</v>
      </c>
      <c r="H710" s="25">
        <v>4</v>
      </c>
      <c r="I710" s="25" t="s">
        <v>605</v>
      </c>
      <c r="J710" s="25" t="s">
        <v>539</v>
      </c>
      <c r="K710" s="25" t="s">
        <v>2488</v>
      </c>
      <c r="L710" s="167">
        <f t="shared" si="30"/>
        <v>535.71428571428567</v>
      </c>
      <c r="M710" s="167">
        <f t="shared" si="31"/>
        <v>64.285714285714278</v>
      </c>
      <c r="N710" s="167">
        <v>600</v>
      </c>
      <c r="O710" s="27" t="s">
        <v>3917</v>
      </c>
      <c r="P710" s="25" t="s">
        <v>3918</v>
      </c>
      <c r="Q710" s="25" t="s">
        <v>225</v>
      </c>
      <c r="R710" s="29" t="s">
        <v>3919</v>
      </c>
    </row>
    <row r="711" spans="1:18" x14ac:dyDescent="0.3">
      <c r="A711" s="20">
        <v>45821</v>
      </c>
      <c r="B711" s="43" t="s">
        <v>3920</v>
      </c>
      <c r="C711" s="25" t="s">
        <v>3921</v>
      </c>
      <c r="D711" s="25" t="s">
        <v>3922</v>
      </c>
      <c r="E711" s="28" t="s">
        <v>3923</v>
      </c>
      <c r="F711" s="28" t="s">
        <v>3924</v>
      </c>
      <c r="G711" s="25">
        <v>7</v>
      </c>
      <c r="H711" s="25">
        <v>4</v>
      </c>
      <c r="I711" s="25" t="s">
        <v>605</v>
      </c>
      <c r="J711" s="25" t="s">
        <v>539</v>
      </c>
      <c r="K711" s="25" t="s">
        <v>3925</v>
      </c>
      <c r="L711" s="167">
        <f t="shared" si="30"/>
        <v>848.21428571428567</v>
      </c>
      <c r="M711" s="167">
        <f t="shared" si="31"/>
        <v>101.78571428571428</v>
      </c>
      <c r="N711" s="167">
        <v>950</v>
      </c>
      <c r="O711" s="27" t="s">
        <v>3926</v>
      </c>
      <c r="P711" s="25" t="s">
        <v>3918</v>
      </c>
      <c r="Q711" s="25" t="s">
        <v>225</v>
      </c>
      <c r="R711" s="29" t="s">
        <v>3927</v>
      </c>
    </row>
    <row r="712" spans="1:18" x14ac:dyDescent="0.3">
      <c r="A712" s="20">
        <v>45822</v>
      </c>
      <c r="B712" s="43" t="s">
        <v>3928</v>
      </c>
      <c r="C712" s="25" t="s">
        <v>3929</v>
      </c>
      <c r="D712" s="25" t="s">
        <v>3930</v>
      </c>
      <c r="E712" s="28" t="s">
        <v>3931</v>
      </c>
      <c r="F712" s="28" t="s">
        <v>3932</v>
      </c>
      <c r="G712" s="25">
        <v>7</v>
      </c>
      <c r="H712" s="25">
        <v>5</v>
      </c>
      <c r="I712" s="25" t="s">
        <v>605</v>
      </c>
      <c r="J712" s="25" t="s">
        <v>539</v>
      </c>
      <c r="K712" s="25" t="s">
        <v>326</v>
      </c>
      <c r="L712" s="167">
        <f t="shared" si="30"/>
        <v>2669.6428571428569</v>
      </c>
      <c r="M712" s="167">
        <f t="shared" si="31"/>
        <v>320.35714285714283</v>
      </c>
      <c r="N712" s="167">
        <v>2990</v>
      </c>
      <c r="O712" s="27"/>
      <c r="P712" s="25" t="s">
        <v>3933</v>
      </c>
      <c r="Q712" s="25" t="s">
        <v>69</v>
      </c>
      <c r="R712" s="29" t="s">
        <v>2811</v>
      </c>
    </row>
    <row r="713" spans="1:18" x14ac:dyDescent="0.3">
      <c r="A713" s="20">
        <v>45822</v>
      </c>
      <c r="B713" s="43" t="s">
        <v>3934</v>
      </c>
      <c r="C713" s="25" t="s">
        <v>3935</v>
      </c>
      <c r="D713" s="25" t="s">
        <v>3936</v>
      </c>
      <c r="E713" s="28" t="s">
        <v>3937</v>
      </c>
      <c r="F713" s="28" t="s">
        <v>3938</v>
      </c>
      <c r="G713" s="25">
        <v>15</v>
      </c>
      <c r="H713" s="25">
        <v>10</v>
      </c>
      <c r="I713" s="25" t="s">
        <v>605</v>
      </c>
      <c r="J713" s="25" t="s">
        <v>539</v>
      </c>
      <c r="K713" s="25" t="s">
        <v>3939</v>
      </c>
      <c r="L713" s="167">
        <f t="shared" si="30"/>
        <v>2856.2499999999995</v>
      </c>
      <c r="M713" s="167">
        <f t="shared" si="31"/>
        <v>342.74999999999994</v>
      </c>
      <c r="N713" s="167">
        <v>3199</v>
      </c>
      <c r="O713" s="27" t="s">
        <v>3940</v>
      </c>
      <c r="P713" s="25" t="s">
        <v>371</v>
      </c>
      <c r="Q713" s="25" t="s">
        <v>358</v>
      </c>
      <c r="R713" s="29" t="s">
        <v>2811</v>
      </c>
    </row>
    <row r="714" spans="1:18" x14ac:dyDescent="0.3">
      <c r="A714" s="20">
        <v>45822</v>
      </c>
      <c r="B714" s="25" t="s">
        <v>3941</v>
      </c>
      <c r="C714" s="25" t="s">
        <v>3942</v>
      </c>
      <c r="D714" s="25" t="s">
        <v>3943</v>
      </c>
      <c r="E714" s="28" t="s">
        <v>3944</v>
      </c>
      <c r="F714" s="28" t="s">
        <v>3945</v>
      </c>
      <c r="G714" s="25">
        <v>7</v>
      </c>
      <c r="H714" s="25">
        <v>3</v>
      </c>
      <c r="I714" s="25" t="s">
        <v>3946</v>
      </c>
      <c r="J714" s="25" t="s">
        <v>539</v>
      </c>
      <c r="K714" s="25" t="s">
        <v>538</v>
      </c>
      <c r="L714" s="167">
        <f t="shared" si="30"/>
        <v>1339.2857142857142</v>
      </c>
      <c r="M714" s="167">
        <f t="shared" si="31"/>
        <v>160.71428571428569</v>
      </c>
      <c r="N714" s="167">
        <v>1500</v>
      </c>
      <c r="O714" s="27" t="s">
        <v>3947</v>
      </c>
      <c r="P714" s="25" t="s">
        <v>3948</v>
      </c>
      <c r="Q714" s="25" t="s">
        <v>214</v>
      </c>
      <c r="R714" s="29" t="s">
        <v>2811</v>
      </c>
    </row>
    <row r="715" spans="1:18" x14ac:dyDescent="0.3">
      <c r="A715" s="20">
        <v>45822</v>
      </c>
      <c r="B715" s="25" t="s">
        <v>3949</v>
      </c>
      <c r="C715" s="25" t="s">
        <v>3950</v>
      </c>
      <c r="D715" s="25" t="s">
        <v>3951</v>
      </c>
      <c r="E715" s="28" t="s">
        <v>3952</v>
      </c>
      <c r="F715" s="28" t="s">
        <v>3953</v>
      </c>
      <c r="G715" s="25">
        <v>7</v>
      </c>
      <c r="H715" s="25">
        <v>5</v>
      </c>
      <c r="I715" s="25" t="s">
        <v>605</v>
      </c>
      <c r="J715" s="25" t="s">
        <v>539</v>
      </c>
      <c r="K715" s="25" t="s">
        <v>3954</v>
      </c>
      <c r="L715" s="167">
        <f t="shared" si="30"/>
        <v>892.85714285714278</v>
      </c>
      <c r="M715" s="167">
        <f t="shared" si="31"/>
        <v>107.14285714285712</v>
      </c>
      <c r="N715" s="167">
        <v>1000</v>
      </c>
      <c r="O715" s="27" t="s">
        <v>3955</v>
      </c>
      <c r="P715" s="25" t="s">
        <v>3918</v>
      </c>
      <c r="Q715" s="25" t="s">
        <v>225</v>
      </c>
      <c r="R715" s="29" t="s">
        <v>3956</v>
      </c>
    </row>
    <row r="716" spans="1:18" x14ac:dyDescent="0.3">
      <c r="A716" s="20">
        <v>45825</v>
      </c>
      <c r="B716" s="25" t="s">
        <v>3957</v>
      </c>
      <c r="C716" s="25" t="s">
        <v>3958</v>
      </c>
      <c r="D716" s="25" t="s">
        <v>3959</v>
      </c>
      <c r="E716" s="169" t="s">
        <v>3960</v>
      </c>
      <c r="F716" s="28" t="s">
        <v>3961</v>
      </c>
      <c r="G716" s="25">
        <v>6</v>
      </c>
      <c r="H716" s="25">
        <v>3</v>
      </c>
      <c r="I716" s="25" t="s">
        <v>605</v>
      </c>
      <c r="J716" s="25" t="s">
        <v>539</v>
      </c>
      <c r="K716" s="25" t="s">
        <v>1518</v>
      </c>
      <c r="L716" s="167">
        <f t="shared" si="30"/>
        <v>892.85714285714278</v>
      </c>
      <c r="M716" s="167">
        <f t="shared" si="31"/>
        <v>107.14285714285712</v>
      </c>
      <c r="N716" s="167">
        <v>1000</v>
      </c>
      <c r="O716" s="27" t="s">
        <v>3962</v>
      </c>
      <c r="P716" s="25" t="s">
        <v>3933</v>
      </c>
      <c r="Q716" s="25" t="s">
        <v>225</v>
      </c>
      <c r="R716" s="29" t="s">
        <v>2811</v>
      </c>
    </row>
    <row r="717" spans="1:18" x14ac:dyDescent="0.3">
      <c r="A717" s="20">
        <v>45825</v>
      </c>
      <c r="B717" s="25" t="s">
        <v>3963</v>
      </c>
      <c r="C717" s="25" t="s">
        <v>3964</v>
      </c>
      <c r="D717" s="25" t="s">
        <v>3965</v>
      </c>
      <c r="E717" s="28" t="s">
        <v>3966</v>
      </c>
      <c r="F717" s="28" t="s">
        <v>3967</v>
      </c>
      <c r="G717" s="25">
        <v>5</v>
      </c>
      <c r="H717" s="25">
        <v>4</v>
      </c>
      <c r="I717" s="25" t="s">
        <v>605</v>
      </c>
      <c r="J717" s="25" t="s">
        <v>539</v>
      </c>
      <c r="K717" s="25" t="s">
        <v>538</v>
      </c>
      <c r="L717" s="167">
        <f t="shared" si="30"/>
        <v>892.85714285714278</v>
      </c>
      <c r="M717" s="167">
        <f t="shared" si="31"/>
        <v>107.14285714285712</v>
      </c>
      <c r="N717" s="167">
        <v>1000</v>
      </c>
      <c r="O717" s="27" t="s">
        <v>3968</v>
      </c>
      <c r="P717" s="25" t="s">
        <v>3889</v>
      </c>
      <c r="Q717" s="25" t="s">
        <v>3969</v>
      </c>
      <c r="R717" s="29" t="s">
        <v>2811</v>
      </c>
    </row>
    <row r="718" spans="1:18" x14ac:dyDescent="0.3">
      <c r="A718" s="20">
        <v>45825</v>
      </c>
      <c r="B718" s="25" t="s">
        <v>3970</v>
      </c>
      <c r="C718" s="25" t="s">
        <v>3971</v>
      </c>
      <c r="D718" s="25" t="s">
        <v>3972</v>
      </c>
      <c r="E718" s="28" t="s">
        <v>3973</v>
      </c>
      <c r="F718" s="28" t="s">
        <v>3974</v>
      </c>
      <c r="G718" s="25">
        <v>7</v>
      </c>
      <c r="H718" s="25">
        <v>5</v>
      </c>
      <c r="I718" s="25" t="s">
        <v>605</v>
      </c>
      <c r="J718" s="25" t="s">
        <v>539</v>
      </c>
      <c r="K718" s="25" t="s">
        <v>538</v>
      </c>
      <c r="L718" s="167">
        <f t="shared" si="30"/>
        <v>1294.6428571428571</v>
      </c>
      <c r="M718" s="167">
        <f t="shared" si="31"/>
        <v>155.35714285714286</v>
      </c>
      <c r="N718" s="167">
        <v>1450</v>
      </c>
      <c r="O718" s="27" t="s">
        <v>3975</v>
      </c>
      <c r="P718" s="25" t="s">
        <v>624</v>
      </c>
      <c r="Q718" s="25" t="s">
        <v>214</v>
      </c>
      <c r="R718" s="29" t="s">
        <v>2811</v>
      </c>
    </row>
    <row r="719" spans="1:18" x14ac:dyDescent="0.3">
      <c r="A719" s="20">
        <v>45826</v>
      </c>
      <c r="B719" s="25" t="s">
        <v>3976</v>
      </c>
      <c r="C719" s="25" t="s">
        <v>3977</v>
      </c>
      <c r="D719" s="25" t="s">
        <v>3978</v>
      </c>
      <c r="E719" s="28" t="s">
        <v>3979</v>
      </c>
      <c r="F719" s="28" t="s">
        <v>3980</v>
      </c>
      <c r="G719" s="25">
        <v>6</v>
      </c>
      <c r="H719" s="25">
        <v>4</v>
      </c>
      <c r="I719" s="25" t="s">
        <v>605</v>
      </c>
      <c r="J719" s="25" t="s">
        <v>539</v>
      </c>
      <c r="K719" s="25" t="s">
        <v>3981</v>
      </c>
      <c r="L719" s="167">
        <f t="shared" si="30"/>
        <v>1071.4285714285713</v>
      </c>
      <c r="M719" s="167">
        <f t="shared" si="31"/>
        <v>128.57142857142856</v>
      </c>
      <c r="N719" s="167">
        <v>1200</v>
      </c>
      <c r="O719" s="27" t="s">
        <v>3982</v>
      </c>
      <c r="P719" s="25" t="s">
        <v>3889</v>
      </c>
      <c r="Q719" s="25" t="s">
        <v>225</v>
      </c>
      <c r="R719" s="29" t="s">
        <v>2811</v>
      </c>
    </row>
    <row r="720" spans="1:18" x14ac:dyDescent="0.3">
      <c r="A720" s="20">
        <v>45826</v>
      </c>
      <c r="B720" s="25" t="s">
        <v>3983</v>
      </c>
      <c r="C720" s="25" t="s">
        <v>3984</v>
      </c>
      <c r="D720" s="25" t="s">
        <v>3985</v>
      </c>
      <c r="E720" s="28" t="s">
        <v>3986</v>
      </c>
      <c r="F720" s="28" t="s">
        <v>3987</v>
      </c>
      <c r="G720" s="25">
        <v>6</v>
      </c>
      <c r="H720" s="25">
        <v>3</v>
      </c>
      <c r="I720" s="25" t="s">
        <v>3946</v>
      </c>
      <c r="J720" s="25" t="s">
        <v>539</v>
      </c>
      <c r="K720" s="25" t="s">
        <v>3988</v>
      </c>
      <c r="L720" s="167">
        <f t="shared" si="30"/>
        <v>624.99999999999989</v>
      </c>
      <c r="M720" s="167">
        <f t="shared" si="31"/>
        <v>74.999999999999986</v>
      </c>
      <c r="N720" s="167">
        <v>700</v>
      </c>
      <c r="O720" s="27" t="s">
        <v>3989</v>
      </c>
      <c r="P720" s="25" t="s">
        <v>3933</v>
      </c>
      <c r="Q720" s="25" t="s">
        <v>214</v>
      </c>
      <c r="R720" s="29" t="s">
        <v>2811</v>
      </c>
    </row>
    <row r="721" spans="1:18" x14ac:dyDescent="0.3">
      <c r="A721" s="20">
        <v>45827</v>
      </c>
      <c r="B721" s="25" t="s">
        <v>3990</v>
      </c>
      <c r="C721" s="25" t="s">
        <v>3991</v>
      </c>
      <c r="D721" s="25" t="s">
        <v>3992</v>
      </c>
      <c r="E721" s="28" t="s">
        <v>3993</v>
      </c>
      <c r="F721" s="28" t="s">
        <v>3994</v>
      </c>
      <c r="G721" s="25">
        <v>6</v>
      </c>
      <c r="H721" s="25">
        <v>5</v>
      </c>
      <c r="I721" s="25" t="s">
        <v>605</v>
      </c>
      <c r="J721" s="25" t="s">
        <v>539</v>
      </c>
      <c r="K721" s="25" t="s">
        <v>326</v>
      </c>
      <c r="L721" s="167">
        <f t="shared" si="30"/>
        <v>1339.2857142857142</v>
      </c>
      <c r="M721" s="167">
        <f t="shared" si="31"/>
        <v>160.71428571428569</v>
      </c>
      <c r="N721" s="167">
        <v>1500</v>
      </c>
      <c r="O721" s="27" t="s">
        <v>3995</v>
      </c>
      <c r="P721" s="25" t="s">
        <v>3889</v>
      </c>
      <c r="Q721" s="25" t="s">
        <v>216</v>
      </c>
      <c r="R721" s="29" t="s">
        <v>2811</v>
      </c>
    </row>
    <row r="722" spans="1:18" x14ac:dyDescent="0.3">
      <c r="A722" s="20">
        <v>45828</v>
      </c>
      <c r="B722" s="25" t="s">
        <v>3996</v>
      </c>
      <c r="C722" s="25" t="s">
        <v>3997</v>
      </c>
      <c r="D722" s="25" t="s">
        <v>3998</v>
      </c>
      <c r="E722" s="28" t="s">
        <v>3999</v>
      </c>
      <c r="F722" s="28" t="s">
        <v>4000</v>
      </c>
      <c r="G722" s="25">
        <v>5</v>
      </c>
      <c r="H722" s="25">
        <v>3</v>
      </c>
      <c r="I722" s="25" t="s">
        <v>3946</v>
      </c>
      <c r="J722" s="25" t="s">
        <v>539</v>
      </c>
      <c r="K722" s="25" t="s">
        <v>538</v>
      </c>
      <c r="L722" s="167">
        <f t="shared" si="30"/>
        <v>1339.2857142857142</v>
      </c>
      <c r="M722" s="167">
        <f t="shared" si="31"/>
        <v>160.71428571428569</v>
      </c>
      <c r="N722" s="167">
        <v>1500</v>
      </c>
      <c r="O722" s="27" t="s">
        <v>4001</v>
      </c>
      <c r="P722" s="25" t="s">
        <v>4002</v>
      </c>
      <c r="Q722" s="25" t="s">
        <v>4003</v>
      </c>
      <c r="R722" s="29" t="s">
        <v>2811</v>
      </c>
    </row>
    <row r="723" spans="1:18" x14ac:dyDescent="0.3">
      <c r="A723" s="20">
        <v>45828</v>
      </c>
      <c r="B723" s="25" t="s">
        <v>4004</v>
      </c>
      <c r="C723" s="25" t="s">
        <v>4005</v>
      </c>
      <c r="D723" s="25" t="s">
        <v>4006</v>
      </c>
      <c r="E723" s="28" t="s">
        <v>4007</v>
      </c>
      <c r="F723" s="28" t="s">
        <v>4008</v>
      </c>
      <c r="G723" s="25">
        <v>15</v>
      </c>
      <c r="H723" s="25">
        <v>15</v>
      </c>
      <c r="I723" s="25" t="s">
        <v>3946</v>
      </c>
      <c r="J723" s="25" t="s">
        <v>539</v>
      </c>
      <c r="K723" s="25" t="s">
        <v>4009</v>
      </c>
      <c r="L723" s="167">
        <f t="shared" si="30"/>
        <v>5348.2142857142853</v>
      </c>
      <c r="M723" s="167">
        <f t="shared" si="31"/>
        <v>641.78571428571422</v>
      </c>
      <c r="N723" s="167">
        <v>5990</v>
      </c>
      <c r="O723" s="27" t="s">
        <v>4010</v>
      </c>
      <c r="P723" s="25" t="s">
        <v>3933</v>
      </c>
      <c r="Q723" s="25" t="s">
        <v>214</v>
      </c>
      <c r="R723" s="29" t="s">
        <v>2811</v>
      </c>
    </row>
    <row r="724" spans="1:18" x14ac:dyDescent="0.3">
      <c r="A724" s="20">
        <v>45828</v>
      </c>
      <c r="B724" s="25" t="s">
        <v>4011</v>
      </c>
      <c r="C724" s="25" t="s">
        <v>4012</v>
      </c>
      <c r="D724" s="25" t="s">
        <v>4013</v>
      </c>
      <c r="E724" s="28" t="s">
        <v>4014</v>
      </c>
      <c r="F724" s="28" t="s">
        <v>4015</v>
      </c>
      <c r="G724" s="25">
        <v>7</v>
      </c>
      <c r="H724" s="25">
        <v>5</v>
      </c>
      <c r="I724" s="25" t="s">
        <v>605</v>
      </c>
      <c r="J724" s="25" t="s">
        <v>539</v>
      </c>
      <c r="K724" s="25" t="s">
        <v>3988</v>
      </c>
      <c r="L724" s="167">
        <f t="shared" si="30"/>
        <v>937.49999999999989</v>
      </c>
      <c r="M724" s="167">
        <f t="shared" si="31"/>
        <v>112.49999999999999</v>
      </c>
      <c r="N724" s="167">
        <v>1050</v>
      </c>
      <c r="O724" s="27" t="s">
        <v>4016</v>
      </c>
      <c r="P724" s="25" t="s">
        <v>4017</v>
      </c>
      <c r="Q724" s="25" t="s">
        <v>214</v>
      </c>
      <c r="R724" s="29" t="s">
        <v>4018</v>
      </c>
    </row>
    <row r="725" spans="1:18" x14ac:dyDescent="0.3">
      <c r="A725" s="20">
        <v>45832</v>
      </c>
      <c r="B725" s="25" t="s">
        <v>4019</v>
      </c>
      <c r="C725" s="25" t="s">
        <v>4020</v>
      </c>
      <c r="D725" s="25" t="s">
        <v>4021</v>
      </c>
      <c r="E725" s="28" t="s">
        <v>4022</v>
      </c>
      <c r="F725" s="28" t="s">
        <v>4023</v>
      </c>
      <c r="G725" s="25">
        <v>5</v>
      </c>
      <c r="H725" s="25">
        <v>3</v>
      </c>
      <c r="I725" s="25" t="s">
        <v>605</v>
      </c>
      <c r="J725" s="25" t="s">
        <v>606</v>
      </c>
      <c r="K725" s="25" t="s">
        <v>4024</v>
      </c>
      <c r="L725" s="167">
        <f t="shared" si="30"/>
        <v>937.49999999999989</v>
      </c>
      <c r="M725" s="167">
        <f t="shared" si="31"/>
        <v>112.49999999999999</v>
      </c>
      <c r="N725" s="167">
        <v>1050</v>
      </c>
      <c r="O725" s="27" t="s">
        <v>4025</v>
      </c>
      <c r="P725" s="25" t="s">
        <v>3933</v>
      </c>
      <c r="Q725" s="25" t="s">
        <v>225</v>
      </c>
      <c r="R725" s="29" t="s">
        <v>2811</v>
      </c>
    </row>
    <row r="726" spans="1:18" x14ac:dyDescent="0.3">
      <c r="A726" s="20">
        <v>45832</v>
      </c>
      <c r="B726" s="25" t="s">
        <v>4026</v>
      </c>
      <c r="C726" s="25" t="s">
        <v>4027</v>
      </c>
      <c r="D726" s="25" t="s">
        <v>4028</v>
      </c>
      <c r="E726" s="28" t="s">
        <v>4029</v>
      </c>
      <c r="F726" s="28" t="s">
        <v>4030</v>
      </c>
      <c r="G726" s="25">
        <v>5</v>
      </c>
      <c r="H726" s="25">
        <v>3</v>
      </c>
      <c r="I726" s="25" t="s">
        <v>605</v>
      </c>
      <c r="J726" s="25" t="s">
        <v>606</v>
      </c>
      <c r="K726" s="25" t="s">
        <v>4031</v>
      </c>
      <c r="L726" s="167">
        <f t="shared" si="30"/>
        <v>892.85714285714278</v>
      </c>
      <c r="M726" s="167">
        <f t="shared" si="31"/>
        <v>107.14285714285712</v>
      </c>
      <c r="N726" s="167">
        <v>1000</v>
      </c>
      <c r="O726" s="27" t="s">
        <v>4032</v>
      </c>
      <c r="P726" s="25" t="s">
        <v>4017</v>
      </c>
      <c r="Q726" s="25" t="s">
        <v>69</v>
      </c>
      <c r="R726" s="29" t="s">
        <v>2811</v>
      </c>
    </row>
    <row r="727" spans="1:18" x14ac:dyDescent="0.3">
      <c r="A727" s="20">
        <v>45832</v>
      </c>
      <c r="B727" s="25" t="s">
        <v>4033</v>
      </c>
      <c r="C727" s="25" t="s">
        <v>4034</v>
      </c>
      <c r="D727" s="25" t="s">
        <v>4035</v>
      </c>
      <c r="E727" s="28" t="s">
        <v>4036</v>
      </c>
      <c r="F727" s="28" t="s">
        <v>4037</v>
      </c>
      <c r="G727" s="25">
        <v>7</v>
      </c>
      <c r="H727" s="25">
        <v>5</v>
      </c>
      <c r="I727" s="25" t="s">
        <v>3946</v>
      </c>
      <c r="J727" s="25" t="s">
        <v>606</v>
      </c>
      <c r="K727" s="25" t="s">
        <v>326</v>
      </c>
      <c r="L727" s="167">
        <f t="shared" si="30"/>
        <v>1776.7857142857142</v>
      </c>
      <c r="M727" s="167">
        <f t="shared" si="31"/>
        <v>213.21428571428569</v>
      </c>
      <c r="N727" s="167">
        <v>1990</v>
      </c>
      <c r="O727" s="27" t="s">
        <v>4038</v>
      </c>
      <c r="P727" s="25" t="s">
        <v>4003</v>
      </c>
      <c r="Q727" s="25" t="s">
        <v>3969</v>
      </c>
      <c r="R727" s="29" t="s">
        <v>2811</v>
      </c>
    </row>
    <row r="728" spans="1:18" x14ac:dyDescent="0.3">
      <c r="A728" s="20">
        <v>45832</v>
      </c>
      <c r="B728" s="25" t="s">
        <v>4039</v>
      </c>
      <c r="C728" s="25" t="s">
        <v>4040</v>
      </c>
      <c r="D728" s="25" t="s">
        <v>4041</v>
      </c>
      <c r="E728" s="28" t="s">
        <v>4042</v>
      </c>
      <c r="F728" s="28" t="s">
        <v>4043</v>
      </c>
      <c r="G728" s="25">
        <v>7</v>
      </c>
      <c r="H728" s="25">
        <v>5</v>
      </c>
      <c r="I728" s="25" t="s">
        <v>605</v>
      </c>
      <c r="J728" s="25" t="s">
        <v>606</v>
      </c>
      <c r="K728" s="25" t="s">
        <v>326</v>
      </c>
      <c r="L728" s="167">
        <f t="shared" si="30"/>
        <v>535.71428571428567</v>
      </c>
      <c r="M728" s="167">
        <f t="shared" si="31"/>
        <v>64.285714285714278</v>
      </c>
      <c r="N728" s="167">
        <v>600</v>
      </c>
      <c r="O728" s="27"/>
      <c r="P728" s="25" t="s">
        <v>62</v>
      </c>
      <c r="Q728" s="25" t="s">
        <v>216</v>
      </c>
      <c r="R728" s="29" t="s">
        <v>4044</v>
      </c>
    </row>
    <row r="729" spans="1:18" x14ac:dyDescent="0.3">
      <c r="A729" s="20">
        <v>45833</v>
      </c>
      <c r="B729" s="25" t="s">
        <v>4045</v>
      </c>
      <c r="C729" s="25" t="s">
        <v>4046</v>
      </c>
      <c r="D729" s="25" t="s">
        <v>4047</v>
      </c>
      <c r="E729" s="28" t="s">
        <v>4048</v>
      </c>
      <c r="F729" s="28" t="s">
        <v>4049</v>
      </c>
      <c r="G729" s="25">
        <v>5</v>
      </c>
      <c r="H729" s="25">
        <v>3</v>
      </c>
      <c r="I729" s="25" t="s">
        <v>605</v>
      </c>
      <c r="J729" s="25" t="s">
        <v>606</v>
      </c>
      <c r="K729" s="25" t="s">
        <v>4050</v>
      </c>
      <c r="L729" s="167">
        <f t="shared" ref="L729:L738" si="32">+N729/1.12</f>
        <v>714.28571428571422</v>
      </c>
      <c r="M729" s="167">
        <f t="shared" ref="M729:M738" si="33">+L729*12%</f>
        <v>85.714285714285708</v>
      </c>
      <c r="N729" s="167">
        <v>800</v>
      </c>
      <c r="O729" s="27" t="s">
        <v>4051</v>
      </c>
      <c r="P729" s="25" t="s">
        <v>4017</v>
      </c>
      <c r="Q729" s="25" t="s">
        <v>69</v>
      </c>
      <c r="R729" s="29" t="s">
        <v>2811</v>
      </c>
    </row>
    <row r="730" spans="1:18" x14ac:dyDescent="0.3">
      <c r="A730" s="20">
        <v>45833</v>
      </c>
      <c r="B730" s="25" t="s">
        <v>4052</v>
      </c>
      <c r="C730" s="25" t="s">
        <v>4053</v>
      </c>
      <c r="D730" s="25" t="s">
        <v>4054</v>
      </c>
      <c r="E730" s="28" t="s">
        <v>4055</v>
      </c>
      <c r="F730" s="28" t="s">
        <v>4056</v>
      </c>
      <c r="G730" s="25">
        <v>7</v>
      </c>
      <c r="H730" s="25">
        <v>5</v>
      </c>
      <c r="I730" s="25" t="s">
        <v>605</v>
      </c>
      <c r="J730" s="25" t="s">
        <v>606</v>
      </c>
      <c r="K730" s="25" t="s">
        <v>4057</v>
      </c>
      <c r="L730" s="167">
        <f t="shared" si="32"/>
        <v>1339.2857142857142</v>
      </c>
      <c r="M730" s="167">
        <f t="shared" si="33"/>
        <v>160.71428571428569</v>
      </c>
      <c r="N730" s="167">
        <v>1500</v>
      </c>
      <c r="O730" s="27"/>
      <c r="P730" s="25" t="s">
        <v>3933</v>
      </c>
      <c r="Q730" s="25" t="s">
        <v>358</v>
      </c>
      <c r="R730" s="29" t="s">
        <v>4058</v>
      </c>
    </row>
    <row r="731" spans="1:18" x14ac:dyDescent="0.3">
      <c r="A731" s="20">
        <v>45833</v>
      </c>
      <c r="B731" s="25" t="s">
        <v>4059</v>
      </c>
      <c r="C731" s="25" t="s">
        <v>4060</v>
      </c>
      <c r="D731" s="25" t="s">
        <v>4061</v>
      </c>
      <c r="E731" s="28" t="s">
        <v>4062</v>
      </c>
      <c r="F731" s="28" t="s">
        <v>4063</v>
      </c>
      <c r="G731" s="25">
        <v>7</v>
      </c>
      <c r="H731" s="25">
        <v>3</v>
      </c>
      <c r="I731" s="25" t="s">
        <v>605</v>
      </c>
      <c r="J731" s="25" t="s">
        <v>606</v>
      </c>
      <c r="K731" s="25" t="s">
        <v>4064</v>
      </c>
      <c r="L731" s="167">
        <f t="shared" si="32"/>
        <v>624.99999999999989</v>
      </c>
      <c r="M731" s="167">
        <f t="shared" si="33"/>
        <v>74.999999999999986</v>
      </c>
      <c r="N731" s="167">
        <v>700</v>
      </c>
      <c r="O731" s="27" t="s">
        <v>4065</v>
      </c>
      <c r="P731" s="25" t="s">
        <v>4003</v>
      </c>
      <c r="Q731" s="25" t="s">
        <v>216</v>
      </c>
      <c r="R731" s="29" t="s">
        <v>4066</v>
      </c>
    </row>
    <row r="732" spans="1:18" x14ac:dyDescent="0.3">
      <c r="A732" s="20">
        <v>45833</v>
      </c>
      <c r="B732" s="25" t="s">
        <v>4067</v>
      </c>
      <c r="C732" s="25" t="s">
        <v>4068</v>
      </c>
      <c r="D732" s="25" t="s">
        <v>4069</v>
      </c>
      <c r="E732" s="37" t="s">
        <v>4070</v>
      </c>
      <c r="F732" s="28" t="s">
        <v>4071</v>
      </c>
      <c r="G732" s="25">
        <v>5</v>
      </c>
      <c r="H732" s="25">
        <v>5</v>
      </c>
      <c r="I732" s="25" t="s">
        <v>605</v>
      </c>
      <c r="J732" s="25" t="s">
        <v>606</v>
      </c>
      <c r="K732" s="25" t="s">
        <v>4057</v>
      </c>
      <c r="L732" s="167">
        <f t="shared" si="32"/>
        <v>1294.6428571428571</v>
      </c>
      <c r="M732" s="167">
        <f t="shared" si="33"/>
        <v>155.35714285714286</v>
      </c>
      <c r="N732" s="167">
        <v>1450</v>
      </c>
      <c r="O732" s="27" t="s">
        <v>4072</v>
      </c>
      <c r="P732" s="25" t="s">
        <v>624</v>
      </c>
      <c r="Q732" s="25" t="s">
        <v>214</v>
      </c>
      <c r="R732" s="29" t="s">
        <v>2811</v>
      </c>
    </row>
    <row r="733" spans="1:18" x14ac:dyDescent="0.3">
      <c r="A733" s="20">
        <v>45834</v>
      </c>
      <c r="B733" s="25" t="s">
        <v>4073</v>
      </c>
      <c r="C733" s="25" t="s">
        <v>4074</v>
      </c>
      <c r="D733" s="25" t="s">
        <v>4075</v>
      </c>
      <c r="E733" s="41" t="s">
        <v>4076</v>
      </c>
      <c r="F733" s="28" t="s">
        <v>4077</v>
      </c>
      <c r="G733" s="25">
        <v>10</v>
      </c>
      <c r="H733" s="25">
        <v>10</v>
      </c>
      <c r="I733" s="25" t="s">
        <v>3946</v>
      </c>
      <c r="J733" s="25" t="s">
        <v>539</v>
      </c>
      <c r="K733" s="25" t="s">
        <v>4078</v>
      </c>
      <c r="L733" s="167">
        <f t="shared" si="32"/>
        <v>1999.9999999999998</v>
      </c>
      <c r="M733" s="167">
        <f t="shared" si="33"/>
        <v>239.99999999999997</v>
      </c>
      <c r="N733" s="167">
        <v>2240</v>
      </c>
      <c r="O733" s="27" t="s">
        <v>4079</v>
      </c>
      <c r="P733" s="25" t="s">
        <v>62</v>
      </c>
      <c r="Q733" s="25" t="s">
        <v>225</v>
      </c>
      <c r="R733" s="29" t="s">
        <v>2811</v>
      </c>
    </row>
    <row r="734" spans="1:18" x14ac:dyDescent="0.3">
      <c r="A734" s="20">
        <v>45834</v>
      </c>
      <c r="B734" s="25" t="s">
        <v>4080</v>
      </c>
      <c r="C734" s="25" t="s">
        <v>4081</v>
      </c>
      <c r="D734" s="25" t="s">
        <v>4082</v>
      </c>
      <c r="E734" s="41" t="s">
        <v>4083</v>
      </c>
      <c r="F734" s="28" t="s">
        <v>4084</v>
      </c>
      <c r="G734" s="25">
        <v>7</v>
      </c>
      <c r="H734" s="25">
        <v>5</v>
      </c>
      <c r="I734" s="25" t="s">
        <v>3946</v>
      </c>
      <c r="J734" s="25" t="s">
        <v>606</v>
      </c>
      <c r="K734" s="25" t="s">
        <v>4085</v>
      </c>
      <c r="L734" s="167">
        <f t="shared" si="32"/>
        <v>1294.6428571428571</v>
      </c>
      <c r="M734" s="167">
        <f t="shared" si="33"/>
        <v>155.35714285714286</v>
      </c>
      <c r="N734" s="167">
        <v>1450</v>
      </c>
      <c r="O734" s="27" t="s">
        <v>4086</v>
      </c>
      <c r="P734" s="25" t="s">
        <v>4087</v>
      </c>
      <c r="Q734" s="25" t="s">
        <v>214</v>
      </c>
      <c r="R734" s="29" t="s">
        <v>2811</v>
      </c>
    </row>
    <row r="735" spans="1:18" x14ac:dyDescent="0.3">
      <c r="A735" s="20">
        <v>45834</v>
      </c>
      <c r="B735" s="25" t="s">
        <v>4088</v>
      </c>
      <c r="C735" s="25" t="s">
        <v>4089</v>
      </c>
      <c r="D735" s="25" t="s">
        <v>4090</v>
      </c>
      <c r="E735" s="41" t="s">
        <v>4091</v>
      </c>
      <c r="F735" s="28" t="s">
        <v>4092</v>
      </c>
      <c r="G735" s="25">
        <v>5</v>
      </c>
      <c r="H735" s="25">
        <v>3</v>
      </c>
      <c r="I735" s="25" t="s">
        <v>605</v>
      </c>
      <c r="J735" s="25" t="s">
        <v>606</v>
      </c>
      <c r="K735" s="25" t="s">
        <v>4085</v>
      </c>
      <c r="L735" s="167">
        <f t="shared" si="32"/>
        <v>892.85714285714278</v>
      </c>
      <c r="M735" s="167">
        <f t="shared" si="33"/>
        <v>107.14285714285712</v>
      </c>
      <c r="N735" s="167">
        <v>1000</v>
      </c>
      <c r="O735" s="27" t="s">
        <v>4093</v>
      </c>
      <c r="P735" s="25" t="s">
        <v>624</v>
      </c>
      <c r="Q735" s="25" t="s">
        <v>216</v>
      </c>
      <c r="R735" s="29" t="s">
        <v>2811</v>
      </c>
    </row>
    <row r="736" spans="1:18" x14ac:dyDescent="0.3">
      <c r="A736" s="20">
        <v>45834</v>
      </c>
      <c r="B736" s="25" t="s">
        <v>4094</v>
      </c>
      <c r="C736" s="25" t="s">
        <v>4095</v>
      </c>
      <c r="D736" s="25" t="s">
        <v>4096</v>
      </c>
      <c r="E736" s="41" t="s">
        <v>4097</v>
      </c>
      <c r="F736" s="28" t="s">
        <v>4098</v>
      </c>
      <c r="G736" s="25">
        <v>12</v>
      </c>
      <c r="H736" s="25">
        <v>10</v>
      </c>
      <c r="I736" s="25" t="s">
        <v>3946</v>
      </c>
      <c r="J736" s="25" t="s">
        <v>606</v>
      </c>
      <c r="K736" s="25" t="s">
        <v>4099</v>
      </c>
      <c r="L736" s="167">
        <f t="shared" si="32"/>
        <v>3562.4999999999995</v>
      </c>
      <c r="M736" s="167">
        <f t="shared" si="33"/>
        <v>427.49999999999994</v>
      </c>
      <c r="N736" s="167">
        <v>3990</v>
      </c>
      <c r="O736" s="27" t="s">
        <v>4100</v>
      </c>
      <c r="P736" s="25" t="s">
        <v>4101</v>
      </c>
      <c r="Q736" s="25" t="s">
        <v>214</v>
      </c>
      <c r="R736" s="29" t="s">
        <v>2811</v>
      </c>
    </row>
    <row r="737" spans="1:18" x14ac:dyDescent="0.3">
      <c r="A737" s="20">
        <v>45835</v>
      </c>
      <c r="B737" s="25" t="s">
        <v>4102</v>
      </c>
      <c r="C737" s="25" t="s">
        <v>4103</v>
      </c>
      <c r="D737" s="25" t="s">
        <v>4104</v>
      </c>
      <c r="E737" s="41" t="s">
        <v>4105</v>
      </c>
      <c r="F737" s="28" t="s">
        <v>4106</v>
      </c>
      <c r="G737" s="25">
        <v>5</v>
      </c>
      <c r="H737" s="25">
        <v>2</v>
      </c>
      <c r="I737" s="25" t="s">
        <v>605</v>
      </c>
      <c r="J737" s="25" t="s">
        <v>606</v>
      </c>
      <c r="K737" s="25" t="s">
        <v>4107</v>
      </c>
      <c r="L737" s="167">
        <f t="shared" si="32"/>
        <v>624.99999999999989</v>
      </c>
      <c r="M737" s="167">
        <f t="shared" si="33"/>
        <v>74.999999999999986</v>
      </c>
      <c r="N737" s="167">
        <v>700</v>
      </c>
      <c r="O737" s="27"/>
      <c r="P737" s="25" t="s">
        <v>3933</v>
      </c>
      <c r="Q737" s="25" t="s">
        <v>216</v>
      </c>
      <c r="R737" s="29" t="s">
        <v>2811</v>
      </c>
    </row>
    <row r="738" spans="1:18" x14ac:dyDescent="0.3">
      <c r="A738" s="20">
        <v>45836</v>
      </c>
      <c r="B738" s="25" t="s">
        <v>4108</v>
      </c>
      <c r="C738" s="25" t="s">
        <v>4109</v>
      </c>
      <c r="D738" s="25" t="s">
        <v>4110</v>
      </c>
      <c r="E738" s="41" t="s">
        <v>4111</v>
      </c>
      <c r="F738" s="28" t="s">
        <v>4112</v>
      </c>
      <c r="G738" s="25">
        <v>5</v>
      </c>
      <c r="H738" s="25">
        <v>10</v>
      </c>
      <c r="I738" s="25" t="s">
        <v>3946</v>
      </c>
      <c r="J738" s="25" t="s">
        <v>606</v>
      </c>
      <c r="K738" s="25" t="s">
        <v>4113</v>
      </c>
      <c r="L738" s="167">
        <f t="shared" si="32"/>
        <v>2723.2142857142853</v>
      </c>
      <c r="M738" s="167">
        <f t="shared" si="33"/>
        <v>326.78571428571422</v>
      </c>
      <c r="N738" s="167">
        <v>3050</v>
      </c>
      <c r="O738" s="27" t="s">
        <v>4114</v>
      </c>
      <c r="P738" s="25" t="s">
        <v>4115</v>
      </c>
      <c r="Q738" s="25" t="s">
        <v>225</v>
      </c>
      <c r="R738" s="29" t="s">
        <v>2811</v>
      </c>
    </row>
    <row r="739" spans="1:18" x14ac:dyDescent="0.3">
      <c r="A739" s="20">
        <v>45839</v>
      </c>
      <c r="B739" s="25" t="s">
        <v>4116</v>
      </c>
      <c r="C739" s="25" t="s">
        <v>4117</v>
      </c>
      <c r="D739" s="25" t="s">
        <v>4118</v>
      </c>
      <c r="E739" s="28" t="s">
        <v>4119</v>
      </c>
      <c r="F739" s="28"/>
      <c r="G739" s="25">
        <v>5</v>
      </c>
      <c r="H739" s="25">
        <v>3</v>
      </c>
      <c r="I739" s="25" t="s">
        <v>605</v>
      </c>
      <c r="J739" s="25" t="s">
        <v>4120</v>
      </c>
      <c r="K739" s="25" t="s">
        <v>4121</v>
      </c>
      <c r="L739" s="167"/>
      <c r="M739" s="167"/>
      <c r="N739" s="167">
        <v>700</v>
      </c>
      <c r="O739" s="27"/>
      <c r="P739" s="25" t="s">
        <v>954</v>
      </c>
      <c r="Q739" s="25" t="s">
        <v>214</v>
      </c>
      <c r="R739" s="29"/>
    </row>
    <row r="740" spans="1:18" x14ac:dyDescent="0.3">
      <c r="A740" s="20">
        <v>45839</v>
      </c>
      <c r="B740" s="25" t="s">
        <v>4122</v>
      </c>
      <c r="C740" s="25" t="s">
        <v>4123</v>
      </c>
      <c r="D740" s="25" t="s">
        <v>4124</v>
      </c>
      <c r="E740" s="28" t="s">
        <v>4125</v>
      </c>
      <c r="F740" s="28" t="s">
        <v>4126</v>
      </c>
      <c r="G740" s="25">
        <v>6</v>
      </c>
      <c r="H740" s="25">
        <v>3</v>
      </c>
      <c r="I740" s="25" t="s">
        <v>3946</v>
      </c>
      <c r="J740" s="25" t="s">
        <v>606</v>
      </c>
      <c r="K740" s="25" t="s">
        <v>538</v>
      </c>
      <c r="L740" s="167"/>
      <c r="M740" s="167"/>
      <c r="N740" s="167">
        <v>1050</v>
      </c>
      <c r="O740" s="61" t="s">
        <v>4127</v>
      </c>
      <c r="P740" s="25" t="s">
        <v>4101</v>
      </c>
      <c r="Q740" s="25" t="s">
        <v>61</v>
      </c>
      <c r="R740" s="29"/>
    </row>
    <row r="741" spans="1:18" x14ac:dyDescent="0.3">
      <c r="A741" s="20">
        <v>45839</v>
      </c>
      <c r="B741" s="25" t="s">
        <v>4128</v>
      </c>
      <c r="C741" s="25" t="s">
        <v>4129</v>
      </c>
      <c r="D741" s="25" t="s">
        <v>4130</v>
      </c>
      <c r="E741" s="28" t="s">
        <v>4131</v>
      </c>
      <c r="F741" s="28" t="s">
        <v>4132</v>
      </c>
      <c r="G741" s="25">
        <v>10</v>
      </c>
      <c r="H741" s="25">
        <v>10</v>
      </c>
      <c r="I741" s="25" t="s">
        <v>3946</v>
      </c>
      <c r="J741" s="25" t="s">
        <v>606</v>
      </c>
      <c r="K741" s="25" t="s">
        <v>4133</v>
      </c>
      <c r="L741" s="167"/>
      <c r="M741" s="167"/>
      <c r="N741" s="167">
        <v>2990</v>
      </c>
      <c r="O741" s="27" t="s">
        <v>4134</v>
      </c>
      <c r="P741" s="25" t="s">
        <v>4135</v>
      </c>
      <c r="Q741" s="25" t="s">
        <v>62</v>
      </c>
      <c r="R741" s="29"/>
    </row>
    <row r="742" spans="1:18" x14ac:dyDescent="0.3">
      <c r="A742" s="20">
        <v>45839</v>
      </c>
      <c r="B742" s="25" t="s">
        <v>4136</v>
      </c>
      <c r="C742" s="25" t="s">
        <v>4137</v>
      </c>
      <c r="D742" s="25" t="s">
        <v>4138</v>
      </c>
      <c r="E742" s="28" t="s">
        <v>4139</v>
      </c>
      <c r="F742" s="28" t="s">
        <v>4140</v>
      </c>
      <c r="G742" s="25">
        <v>6</v>
      </c>
      <c r="H742" s="25">
        <v>4</v>
      </c>
      <c r="I742" s="25" t="s">
        <v>3946</v>
      </c>
      <c r="J742" s="25" t="s">
        <v>606</v>
      </c>
      <c r="K742" s="25" t="s">
        <v>4133</v>
      </c>
      <c r="L742" s="167"/>
      <c r="M742" s="167"/>
      <c r="N742" s="167">
        <v>1250</v>
      </c>
      <c r="O742" s="27" t="s">
        <v>4141</v>
      </c>
      <c r="P742" s="25" t="s">
        <v>4142</v>
      </c>
      <c r="Q742" s="25" t="s">
        <v>61</v>
      </c>
      <c r="R742" s="29"/>
    </row>
    <row r="743" spans="1:18" x14ac:dyDescent="0.3">
      <c r="A743" s="20">
        <v>45840</v>
      </c>
      <c r="B743" s="25" t="s">
        <v>4143</v>
      </c>
      <c r="C743" s="25" t="s">
        <v>4144</v>
      </c>
      <c r="D743" s="25" t="s">
        <v>4145</v>
      </c>
      <c r="E743" s="28" t="s">
        <v>4146</v>
      </c>
      <c r="F743" s="28" t="s">
        <v>4147</v>
      </c>
      <c r="G743" s="25">
        <v>10</v>
      </c>
      <c r="H743" s="25">
        <v>7</v>
      </c>
      <c r="I743" s="25" t="s">
        <v>605</v>
      </c>
      <c r="J743" s="25" t="s">
        <v>4148</v>
      </c>
      <c r="K743" s="25" t="s">
        <v>4149</v>
      </c>
      <c r="L743" s="167"/>
      <c r="M743" s="167"/>
      <c r="N743" s="167">
        <v>3990</v>
      </c>
      <c r="O743" s="27" t="s">
        <v>4150</v>
      </c>
      <c r="P743" s="25" t="s">
        <v>3933</v>
      </c>
      <c r="Q743" s="25" t="s">
        <v>214</v>
      </c>
      <c r="R743" s="29" t="s">
        <v>2811</v>
      </c>
    </row>
    <row r="744" spans="1:18" x14ac:dyDescent="0.3">
      <c r="A744" s="20">
        <v>45840</v>
      </c>
      <c r="B744" s="25" t="s">
        <v>4151</v>
      </c>
      <c r="C744" s="25" t="s">
        <v>4152</v>
      </c>
      <c r="D744" s="25" t="s">
        <v>4153</v>
      </c>
      <c r="E744" s="28" t="s">
        <v>4154</v>
      </c>
      <c r="F744" s="28" t="s">
        <v>4155</v>
      </c>
      <c r="G744" s="25">
        <v>8</v>
      </c>
      <c r="H744" s="25">
        <v>8</v>
      </c>
      <c r="I744" s="25" t="s">
        <v>605</v>
      </c>
      <c r="J744" s="25" t="s">
        <v>4148</v>
      </c>
      <c r="K744" s="25" t="s">
        <v>4078</v>
      </c>
      <c r="L744" s="167"/>
      <c r="M744" s="167"/>
      <c r="N744" s="167">
        <v>1300</v>
      </c>
      <c r="O744" s="27" t="s">
        <v>4156</v>
      </c>
      <c r="P744" s="25" t="s">
        <v>62</v>
      </c>
      <c r="Q744" s="25" t="s">
        <v>61</v>
      </c>
      <c r="R744" s="29" t="s">
        <v>4157</v>
      </c>
    </row>
    <row r="745" spans="1:18" x14ac:dyDescent="0.3">
      <c r="A745" s="20">
        <v>45840</v>
      </c>
      <c r="B745" s="25" t="s">
        <v>4158</v>
      </c>
      <c r="C745" s="25" t="s">
        <v>4159</v>
      </c>
      <c r="D745" s="25" t="s">
        <v>4160</v>
      </c>
      <c r="E745" s="28" t="s">
        <v>4161</v>
      </c>
      <c r="F745" s="28" t="s">
        <v>4162</v>
      </c>
      <c r="G745" s="25">
        <v>7</v>
      </c>
      <c r="H745" s="25">
        <v>3</v>
      </c>
      <c r="I745" s="25" t="s">
        <v>605</v>
      </c>
      <c r="J745" s="25" t="s">
        <v>606</v>
      </c>
      <c r="K745" s="25" t="s">
        <v>4163</v>
      </c>
      <c r="L745" s="167"/>
      <c r="M745" s="167"/>
      <c r="N745" s="167">
        <v>1290</v>
      </c>
      <c r="O745" s="27" t="s">
        <v>4164</v>
      </c>
      <c r="P745" s="25" t="s">
        <v>3933</v>
      </c>
      <c r="Q745" s="25" t="s">
        <v>214</v>
      </c>
      <c r="R745" s="29" t="s">
        <v>2811</v>
      </c>
    </row>
    <row r="746" spans="1:18" x14ac:dyDescent="0.3">
      <c r="A746" s="20">
        <v>45841</v>
      </c>
      <c r="B746" s="25" t="s">
        <v>4165</v>
      </c>
      <c r="C746" s="25" t="s">
        <v>4166</v>
      </c>
      <c r="D746" s="25" t="s">
        <v>4167</v>
      </c>
      <c r="E746" s="28" t="s">
        <v>4168</v>
      </c>
      <c r="F746" s="28" t="s">
        <v>4169</v>
      </c>
      <c r="G746" s="25">
        <v>6</v>
      </c>
      <c r="H746" s="25">
        <v>3</v>
      </c>
      <c r="I746" s="25" t="s">
        <v>3946</v>
      </c>
      <c r="J746" s="25" t="s">
        <v>4170</v>
      </c>
      <c r="K746" s="25" t="s">
        <v>4171</v>
      </c>
      <c r="L746" s="167"/>
      <c r="M746" s="167"/>
      <c r="N746" s="167">
        <v>0</v>
      </c>
      <c r="O746" s="27" t="s">
        <v>4172</v>
      </c>
      <c r="P746" s="25" t="s">
        <v>4017</v>
      </c>
      <c r="Q746" s="25" t="s">
        <v>62</v>
      </c>
      <c r="R746" s="29" t="s">
        <v>2811</v>
      </c>
    </row>
    <row r="747" spans="1:18" x14ac:dyDescent="0.3">
      <c r="A747" s="20">
        <v>45841</v>
      </c>
      <c r="B747" s="25" t="s">
        <v>4173</v>
      </c>
      <c r="C747" s="25" t="s">
        <v>4174</v>
      </c>
      <c r="D747" s="25" t="s">
        <v>4175</v>
      </c>
      <c r="E747" s="28" t="s">
        <v>4176</v>
      </c>
      <c r="F747" s="28" t="s">
        <v>4177</v>
      </c>
      <c r="G747" s="25">
        <v>6</v>
      </c>
      <c r="H747" s="25">
        <v>4</v>
      </c>
      <c r="I747" s="25" t="s">
        <v>3946</v>
      </c>
      <c r="J747" s="25" t="s">
        <v>606</v>
      </c>
      <c r="K747" s="25" t="s">
        <v>4178</v>
      </c>
      <c r="L747" s="167"/>
      <c r="M747" s="167"/>
      <c r="N747" s="167">
        <v>1000</v>
      </c>
      <c r="O747" s="27" t="s">
        <v>4179</v>
      </c>
      <c r="P747" s="25" t="s">
        <v>4101</v>
      </c>
      <c r="Q747" s="25" t="s">
        <v>62</v>
      </c>
      <c r="R747" s="29" t="s">
        <v>2811</v>
      </c>
    </row>
    <row r="748" spans="1:18" x14ac:dyDescent="0.3">
      <c r="A748" s="20">
        <v>45841</v>
      </c>
      <c r="B748" s="25" t="s">
        <v>4180</v>
      </c>
      <c r="C748" s="25" t="s">
        <v>4181</v>
      </c>
      <c r="D748" s="25" t="s">
        <v>4182</v>
      </c>
      <c r="E748" s="28" t="s">
        <v>4183</v>
      </c>
      <c r="F748" s="28" t="s">
        <v>4184</v>
      </c>
      <c r="G748" s="25">
        <v>5</v>
      </c>
      <c r="H748" s="25">
        <v>3</v>
      </c>
      <c r="I748" s="25" t="s">
        <v>3946</v>
      </c>
      <c r="J748" s="25" t="s">
        <v>606</v>
      </c>
      <c r="K748" s="25" t="s">
        <v>4185</v>
      </c>
      <c r="L748" s="167"/>
      <c r="M748" s="167"/>
      <c r="N748" s="167">
        <v>900</v>
      </c>
      <c r="O748" s="27" t="s">
        <v>4186</v>
      </c>
      <c r="P748" s="25" t="s">
        <v>954</v>
      </c>
      <c r="Q748" s="25" t="s">
        <v>954</v>
      </c>
      <c r="R748" s="29" t="s">
        <v>2811</v>
      </c>
    </row>
    <row r="749" spans="1:18" x14ac:dyDescent="0.3">
      <c r="A749" s="20">
        <v>45842</v>
      </c>
      <c r="B749" s="25" t="s">
        <v>4187</v>
      </c>
      <c r="C749" s="25" t="s">
        <v>4188</v>
      </c>
      <c r="D749" s="25" t="s">
        <v>4189</v>
      </c>
      <c r="E749" s="28" t="s">
        <v>4190</v>
      </c>
      <c r="F749" s="28" t="s">
        <v>4191</v>
      </c>
      <c r="G749" s="25">
        <v>10</v>
      </c>
      <c r="H749" s="25">
        <v>5</v>
      </c>
      <c r="I749" s="25" t="s">
        <v>605</v>
      </c>
      <c r="J749" s="25" t="s">
        <v>606</v>
      </c>
      <c r="K749" s="25" t="s">
        <v>4064</v>
      </c>
      <c r="L749" s="167"/>
      <c r="M749" s="167"/>
      <c r="N749" s="167">
        <v>2990</v>
      </c>
      <c r="O749" s="27" t="s">
        <v>4192</v>
      </c>
      <c r="P749" s="25" t="s">
        <v>4193</v>
      </c>
      <c r="Q749" s="25" t="s">
        <v>4194</v>
      </c>
      <c r="R749" s="29" t="s">
        <v>2811</v>
      </c>
    </row>
    <row r="750" spans="1:18" x14ac:dyDescent="0.3">
      <c r="A750" s="20">
        <v>45842</v>
      </c>
      <c r="B750" s="25" t="s">
        <v>4195</v>
      </c>
      <c r="C750" s="25" t="s">
        <v>4196</v>
      </c>
      <c r="D750" s="25" t="s">
        <v>4197</v>
      </c>
      <c r="E750" s="28" t="s">
        <v>4198</v>
      </c>
      <c r="F750" s="28" t="s">
        <v>4199</v>
      </c>
      <c r="G750" s="25">
        <v>10</v>
      </c>
      <c r="H750" s="25">
        <v>10</v>
      </c>
      <c r="I750" s="25" t="s">
        <v>3946</v>
      </c>
      <c r="J750" s="25" t="s">
        <v>606</v>
      </c>
      <c r="K750" s="25" t="s">
        <v>4200</v>
      </c>
      <c r="L750" s="167"/>
      <c r="M750" s="167"/>
      <c r="N750" s="167">
        <v>0</v>
      </c>
      <c r="O750" s="27" t="s">
        <v>4201</v>
      </c>
      <c r="P750" s="25" t="s">
        <v>4135</v>
      </c>
      <c r="Q750" s="25" t="s">
        <v>3969</v>
      </c>
      <c r="R750" s="29" t="s">
        <v>4202</v>
      </c>
    </row>
    <row r="751" spans="1:18" x14ac:dyDescent="0.3">
      <c r="A751" s="20">
        <v>45843</v>
      </c>
      <c r="B751" s="25" t="s">
        <v>4203</v>
      </c>
      <c r="C751" s="25" t="s">
        <v>4204</v>
      </c>
      <c r="D751" s="25" t="s">
        <v>4205</v>
      </c>
      <c r="E751" s="28" t="s">
        <v>4206</v>
      </c>
      <c r="F751" s="28" t="s">
        <v>4207</v>
      </c>
      <c r="G751" s="25">
        <v>5</v>
      </c>
      <c r="H751" s="25">
        <v>3</v>
      </c>
      <c r="I751" s="25" t="s">
        <v>605</v>
      </c>
      <c r="J751" s="25" t="s">
        <v>606</v>
      </c>
      <c r="K751" s="25" t="s">
        <v>4208</v>
      </c>
      <c r="L751" s="167"/>
      <c r="M751" s="167"/>
      <c r="N751" s="167">
        <v>700</v>
      </c>
      <c r="O751" s="27" t="s">
        <v>4209</v>
      </c>
      <c r="P751" s="25" t="s">
        <v>62</v>
      </c>
      <c r="Q751" s="25" t="s">
        <v>61</v>
      </c>
      <c r="R751" s="29" t="s">
        <v>2811</v>
      </c>
    </row>
    <row r="752" spans="1:18" x14ac:dyDescent="0.3">
      <c r="A752" s="170">
        <v>45848</v>
      </c>
      <c r="B752" s="171" t="s">
        <v>4210</v>
      </c>
      <c r="C752" s="171" t="s">
        <v>4211</v>
      </c>
      <c r="D752" s="171" t="s">
        <v>4212</v>
      </c>
      <c r="E752" s="172" t="s">
        <v>4213</v>
      </c>
      <c r="F752" s="172" t="s">
        <v>4214</v>
      </c>
      <c r="G752" s="171">
        <v>7</v>
      </c>
      <c r="H752" s="171">
        <v>3</v>
      </c>
      <c r="I752" s="171" t="s">
        <v>3946</v>
      </c>
      <c r="J752" s="171" t="s">
        <v>606</v>
      </c>
      <c r="K752" s="171"/>
      <c r="L752" s="173"/>
      <c r="M752" s="173"/>
      <c r="N752" s="173">
        <v>0</v>
      </c>
      <c r="O752" s="27" t="s">
        <v>4215</v>
      </c>
      <c r="P752" s="25" t="s">
        <v>62</v>
      </c>
      <c r="Q752" s="25" t="s">
        <v>214</v>
      </c>
      <c r="R752" s="29" t="s">
        <v>4216</v>
      </c>
    </row>
    <row r="753" spans="1:18" x14ac:dyDescent="0.3">
      <c r="A753" s="170">
        <v>45849</v>
      </c>
      <c r="B753" s="171" t="s">
        <v>4217</v>
      </c>
      <c r="C753" s="171" t="s">
        <v>4218</v>
      </c>
      <c r="D753" s="171" t="s">
        <v>4219</v>
      </c>
      <c r="E753" s="172" t="s">
        <v>4220</v>
      </c>
      <c r="F753" s="172" t="s">
        <v>4221</v>
      </c>
      <c r="G753" s="171">
        <v>6</v>
      </c>
      <c r="H753" s="171">
        <v>4</v>
      </c>
      <c r="I753" s="171" t="s">
        <v>605</v>
      </c>
      <c r="J753" s="171" t="s">
        <v>4222</v>
      </c>
      <c r="K753" s="171" t="s">
        <v>4223</v>
      </c>
      <c r="L753" s="173"/>
      <c r="M753" s="173"/>
      <c r="N753" s="173">
        <v>699.99</v>
      </c>
      <c r="O753" s="27" t="s">
        <v>4224</v>
      </c>
      <c r="P753" s="25" t="s">
        <v>3948</v>
      </c>
      <c r="Q753" s="25" t="s">
        <v>4225</v>
      </c>
      <c r="R753" s="29" t="s">
        <v>4226</v>
      </c>
    </row>
    <row r="754" spans="1:18" x14ac:dyDescent="0.3">
      <c r="A754" s="170">
        <v>45849</v>
      </c>
      <c r="B754" s="171" t="s">
        <v>4227</v>
      </c>
      <c r="C754" s="171" t="s">
        <v>4228</v>
      </c>
      <c r="D754" s="171" t="s">
        <v>4229</v>
      </c>
      <c r="E754" s="172" t="s">
        <v>4230</v>
      </c>
      <c r="F754" s="172" t="s">
        <v>4231</v>
      </c>
      <c r="G754" s="171">
        <v>6</v>
      </c>
      <c r="H754" s="171">
        <v>12</v>
      </c>
      <c r="I754" s="171" t="s">
        <v>605</v>
      </c>
      <c r="J754" s="171" t="s">
        <v>4222</v>
      </c>
      <c r="K754" s="171" t="s">
        <v>4232</v>
      </c>
      <c r="L754" s="173"/>
      <c r="M754" s="173"/>
      <c r="N754" s="173">
        <v>4050</v>
      </c>
      <c r="O754" s="27" t="s">
        <v>4233</v>
      </c>
      <c r="P754" s="25" t="s">
        <v>3948</v>
      </c>
      <c r="Q754" s="25" t="s">
        <v>4234</v>
      </c>
      <c r="R754" s="29" t="s">
        <v>2811</v>
      </c>
    </row>
    <row r="755" spans="1:18" x14ac:dyDescent="0.3">
      <c r="A755" s="170">
        <v>45850</v>
      </c>
      <c r="B755" s="171" t="s">
        <v>4235</v>
      </c>
      <c r="C755" s="171" t="s">
        <v>4236</v>
      </c>
      <c r="D755" s="171" t="s">
        <v>4237</v>
      </c>
      <c r="E755" s="172" t="s">
        <v>4238</v>
      </c>
      <c r="F755" s="172" t="s">
        <v>4239</v>
      </c>
      <c r="G755" s="171">
        <v>7</v>
      </c>
      <c r="H755" s="171">
        <v>7</v>
      </c>
      <c r="I755" s="171" t="s">
        <v>605</v>
      </c>
      <c r="J755" s="171" t="s">
        <v>606</v>
      </c>
      <c r="K755" s="171" t="s">
        <v>4240</v>
      </c>
      <c r="L755" s="173"/>
      <c r="M755" s="173"/>
      <c r="N755" s="173">
        <v>1500</v>
      </c>
      <c r="O755" s="27" t="s">
        <v>4241</v>
      </c>
      <c r="P755" s="25" t="s">
        <v>4193</v>
      </c>
      <c r="Q755" s="25" t="s">
        <v>214</v>
      </c>
      <c r="R755" s="29" t="s">
        <v>2811</v>
      </c>
    </row>
    <row r="756" spans="1:18" x14ac:dyDescent="0.3">
      <c r="A756" s="170">
        <v>45850</v>
      </c>
      <c r="B756" s="171" t="s">
        <v>4242</v>
      </c>
      <c r="C756" s="171" t="s">
        <v>4243</v>
      </c>
      <c r="D756" s="171" t="s">
        <v>4244</v>
      </c>
      <c r="E756" s="172" t="s">
        <v>4245</v>
      </c>
      <c r="F756" s="172" t="s">
        <v>4246</v>
      </c>
      <c r="G756" s="171">
        <v>4</v>
      </c>
      <c r="H756" s="171">
        <v>3</v>
      </c>
      <c r="I756" s="171" t="s">
        <v>3946</v>
      </c>
      <c r="J756" s="171" t="s">
        <v>606</v>
      </c>
      <c r="K756" s="171" t="s">
        <v>4247</v>
      </c>
      <c r="L756" s="173"/>
      <c r="M756" s="173"/>
      <c r="N756" s="173">
        <v>1001</v>
      </c>
      <c r="O756" s="27" t="s">
        <v>4248</v>
      </c>
      <c r="P756" s="25" t="s">
        <v>3948</v>
      </c>
      <c r="Q756" s="25" t="s">
        <v>4225</v>
      </c>
      <c r="R756" s="29" t="s">
        <v>2811</v>
      </c>
    </row>
    <row r="757" spans="1:18" x14ac:dyDescent="0.3">
      <c r="A757" s="170">
        <v>45850</v>
      </c>
      <c r="B757" s="171" t="s">
        <v>4249</v>
      </c>
      <c r="C757" s="171" t="s">
        <v>4250</v>
      </c>
      <c r="D757" s="171" t="s">
        <v>4251</v>
      </c>
      <c r="E757" s="172" t="s">
        <v>4252</v>
      </c>
      <c r="F757" s="172" t="s">
        <v>4253</v>
      </c>
      <c r="G757" s="171">
        <v>6</v>
      </c>
      <c r="H757" s="171">
        <v>3</v>
      </c>
      <c r="I757" s="171" t="s">
        <v>3946</v>
      </c>
      <c r="J757" s="171" t="s">
        <v>4222</v>
      </c>
      <c r="K757" s="171" t="s">
        <v>4254</v>
      </c>
      <c r="L757" s="173"/>
      <c r="M757" s="173"/>
      <c r="N757" s="173">
        <v>350</v>
      </c>
      <c r="O757" s="27" t="s">
        <v>4255</v>
      </c>
      <c r="P757" s="25" t="s">
        <v>4256</v>
      </c>
      <c r="Q757" s="25" t="s">
        <v>69</v>
      </c>
      <c r="R757" s="29" t="s">
        <v>4257</v>
      </c>
    </row>
    <row r="758" spans="1:18" x14ac:dyDescent="0.3">
      <c r="A758" s="20">
        <v>45853</v>
      </c>
      <c r="B758" s="25" t="s">
        <v>4258</v>
      </c>
      <c r="C758" s="25" t="s">
        <v>4259</v>
      </c>
      <c r="D758" s="25" t="s">
        <v>4260</v>
      </c>
      <c r="E758" s="28" t="s">
        <v>4261</v>
      </c>
      <c r="F758" s="28" t="s">
        <v>4262</v>
      </c>
      <c r="G758" s="25">
        <v>5</v>
      </c>
      <c r="H758" s="25">
        <v>3</v>
      </c>
      <c r="I758" s="25" t="s">
        <v>605</v>
      </c>
      <c r="J758" s="25" t="s">
        <v>4222</v>
      </c>
      <c r="K758" s="25" t="s">
        <v>4263</v>
      </c>
      <c r="L758" s="167"/>
      <c r="M758" s="167"/>
      <c r="N758" s="167">
        <v>1050</v>
      </c>
      <c r="O758" s="27" t="s">
        <v>4264</v>
      </c>
      <c r="P758" s="25" t="s">
        <v>62</v>
      </c>
      <c r="Q758" s="25" t="s">
        <v>68</v>
      </c>
      <c r="R758" s="29" t="s">
        <v>2811</v>
      </c>
    </row>
    <row r="759" spans="1:18" x14ac:dyDescent="0.3">
      <c r="A759" s="20">
        <v>45853</v>
      </c>
      <c r="B759" s="25" t="s">
        <v>4265</v>
      </c>
      <c r="C759" s="25" t="s">
        <v>4266</v>
      </c>
      <c r="D759" s="25" t="s">
        <v>4267</v>
      </c>
      <c r="E759" s="28" t="s">
        <v>4268</v>
      </c>
      <c r="F759" s="28" t="s">
        <v>4269</v>
      </c>
      <c r="G759" s="25">
        <v>7</v>
      </c>
      <c r="H759" s="25">
        <v>5</v>
      </c>
      <c r="I759" s="25" t="s">
        <v>605</v>
      </c>
      <c r="J759" s="25" t="s">
        <v>606</v>
      </c>
      <c r="K759" s="25" t="s">
        <v>4270</v>
      </c>
      <c r="L759" s="167"/>
      <c r="M759" s="167"/>
      <c r="N759" s="167">
        <v>1050</v>
      </c>
      <c r="O759" s="27" t="s">
        <v>4271</v>
      </c>
      <c r="P759" s="25" t="s">
        <v>624</v>
      </c>
      <c r="Q759" s="25" t="s">
        <v>214</v>
      </c>
      <c r="R759" s="29" t="s">
        <v>2811</v>
      </c>
    </row>
    <row r="760" spans="1:18" x14ac:dyDescent="0.3">
      <c r="A760" s="20">
        <v>45854</v>
      </c>
      <c r="B760" s="25" t="s">
        <v>4272</v>
      </c>
      <c r="C760" s="25" t="s">
        <v>4273</v>
      </c>
      <c r="D760" s="25" t="s">
        <v>4274</v>
      </c>
      <c r="E760" s="28" t="s">
        <v>4275</v>
      </c>
      <c r="F760" s="28" t="s">
        <v>4276</v>
      </c>
      <c r="G760" s="25">
        <v>10</v>
      </c>
      <c r="H760" s="25">
        <v>7</v>
      </c>
      <c r="I760" s="25" t="s">
        <v>3946</v>
      </c>
      <c r="J760" s="25" t="s">
        <v>4277</v>
      </c>
      <c r="K760" s="25" t="s">
        <v>4278</v>
      </c>
      <c r="L760" s="167"/>
      <c r="M760" s="167"/>
      <c r="N760" s="167">
        <v>2900</v>
      </c>
      <c r="O760" s="27" t="s">
        <v>4279</v>
      </c>
      <c r="P760" s="25" t="s">
        <v>62</v>
      </c>
      <c r="Q760" s="25" t="s">
        <v>214</v>
      </c>
      <c r="R760" s="29" t="s">
        <v>2811</v>
      </c>
    </row>
    <row r="761" spans="1:18" x14ac:dyDescent="0.3">
      <c r="A761" s="20">
        <v>45854</v>
      </c>
      <c r="B761" s="25" t="s">
        <v>4280</v>
      </c>
      <c r="C761" s="25" t="s">
        <v>4281</v>
      </c>
      <c r="D761" s="25" t="s">
        <v>4282</v>
      </c>
      <c r="E761" s="28" t="s">
        <v>4283</v>
      </c>
      <c r="F761" s="28" t="s">
        <v>4284</v>
      </c>
      <c r="G761" s="25">
        <v>6</v>
      </c>
      <c r="H761" s="25">
        <v>3</v>
      </c>
      <c r="I761" s="25" t="s">
        <v>605</v>
      </c>
      <c r="J761" s="25" t="s">
        <v>606</v>
      </c>
      <c r="K761" s="25" t="s">
        <v>4285</v>
      </c>
      <c r="L761" s="167"/>
      <c r="M761" s="167"/>
      <c r="N761" s="167">
        <v>500</v>
      </c>
      <c r="O761" s="27" t="s">
        <v>4286</v>
      </c>
      <c r="P761" s="25" t="s">
        <v>3948</v>
      </c>
      <c r="Q761" s="25" t="s">
        <v>61</v>
      </c>
      <c r="R761" s="29" t="s">
        <v>4287</v>
      </c>
    </row>
    <row r="762" spans="1:18" x14ac:dyDescent="0.3">
      <c r="A762" s="20">
        <v>45854</v>
      </c>
      <c r="B762" s="25" t="s">
        <v>4288</v>
      </c>
      <c r="C762" s="25" t="s">
        <v>4289</v>
      </c>
      <c r="D762" s="25" t="s">
        <v>4290</v>
      </c>
      <c r="E762" s="28" t="s">
        <v>4291</v>
      </c>
      <c r="F762" s="28" t="s">
        <v>4292</v>
      </c>
      <c r="G762" s="25">
        <v>8</v>
      </c>
      <c r="H762" s="25">
        <v>10</v>
      </c>
      <c r="I762" s="25" t="s">
        <v>605</v>
      </c>
      <c r="J762" s="25" t="s">
        <v>606</v>
      </c>
      <c r="K762" s="25" t="s">
        <v>4293</v>
      </c>
      <c r="L762" s="167"/>
      <c r="M762" s="167"/>
      <c r="N762" s="167">
        <v>4250</v>
      </c>
      <c r="O762" s="27" t="s">
        <v>4294</v>
      </c>
      <c r="P762" s="25" t="s">
        <v>69</v>
      </c>
      <c r="Q762" s="25" t="s">
        <v>68</v>
      </c>
      <c r="R762" s="29" t="s">
        <v>2811</v>
      </c>
    </row>
    <row r="763" spans="1:18" x14ac:dyDescent="0.3">
      <c r="A763" s="20">
        <v>45854</v>
      </c>
      <c r="B763" s="25" t="s">
        <v>4295</v>
      </c>
      <c r="C763" s="25" t="s">
        <v>4296</v>
      </c>
      <c r="D763" s="25" t="s">
        <v>4297</v>
      </c>
      <c r="E763" s="28" t="s">
        <v>4298</v>
      </c>
      <c r="F763" s="28" t="s">
        <v>4299</v>
      </c>
      <c r="G763" s="25">
        <v>10</v>
      </c>
      <c r="H763" s="25">
        <v>10</v>
      </c>
      <c r="I763" s="25" t="s">
        <v>605</v>
      </c>
      <c r="J763" s="25" t="s">
        <v>4300</v>
      </c>
      <c r="K763" s="25" t="s">
        <v>211</v>
      </c>
      <c r="L763" s="167"/>
      <c r="M763" s="167"/>
      <c r="N763" s="167">
        <v>250</v>
      </c>
      <c r="O763" s="27" t="s">
        <v>4301</v>
      </c>
      <c r="P763" s="25" t="s">
        <v>4302</v>
      </c>
      <c r="Q763" s="25" t="s">
        <v>4225</v>
      </c>
      <c r="R763" s="29" t="s">
        <v>4303</v>
      </c>
    </row>
    <row r="764" spans="1:18" x14ac:dyDescent="0.3">
      <c r="A764" s="20">
        <v>45854</v>
      </c>
      <c r="B764" s="25" t="s">
        <v>4304</v>
      </c>
      <c r="C764" s="25" t="s">
        <v>4305</v>
      </c>
      <c r="D764" s="25" t="s">
        <v>4306</v>
      </c>
      <c r="E764" s="28" t="s">
        <v>4307</v>
      </c>
      <c r="F764" s="28" t="s">
        <v>4308</v>
      </c>
      <c r="G764" s="25">
        <v>5</v>
      </c>
      <c r="H764" s="25">
        <v>5</v>
      </c>
      <c r="I764" s="25" t="s">
        <v>3946</v>
      </c>
      <c r="J764" s="25" t="s">
        <v>606</v>
      </c>
      <c r="K764" s="25" t="s">
        <v>4270</v>
      </c>
      <c r="L764" s="167"/>
      <c r="M764" s="167"/>
      <c r="N764" s="167">
        <v>2557</v>
      </c>
      <c r="O764" s="27" t="s">
        <v>4309</v>
      </c>
      <c r="P764" s="25" t="s">
        <v>62</v>
      </c>
      <c r="Q764" s="25" t="s">
        <v>4225</v>
      </c>
      <c r="R764" s="29" t="s">
        <v>2811</v>
      </c>
    </row>
    <row r="765" spans="1:18" x14ac:dyDescent="0.3">
      <c r="A765" s="20">
        <v>45855</v>
      </c>
      <c r="B765" s="25" t="s">
        <v>4310</v>
      </c>
      <c r="C765" s="25" t="s">
        <v>4311</v>
      </c>
      <c r="D765" s="25" t="s">
        <v>4312</v>
      </c>
      <c r="E765" s="28" t="s">
        <v>4313</v>
      </c>
      <c r="F765" s="28" t="s">
        <v>4314</v>
      </c>
      <c r="G765" s="25">
        <v>5</v>
      </c>
      <c r="H765" s="25">
        <v>3</v>
      </c>
      <c r="I765" s="25" t="s">
        <v>3946</v>
      </c>
      <c r="J765" s="25" t="s">
        <v>606</v>
      </c>
      <c r="K765" s="25" t="s">
        <v>4293</v>
      </c>
      <c r="L765" s="167"/>
      <c r="M765" s="167"/>
      <c r="N765" s="167">
        <v>800</v>
      </c>
      <c r="O765" s="27" t="s">
        <v>4315</v>
      </c>
      <c r="P765" s="25" t="s">
        <v>624</v>
      </c>
      <c r="Q765" s="25" t="s">
        <v>4225</v>
      </c>
      <c r="R765" s="29" t="s">
        <v>4316</v>
      </c>
    </row>
    <row r="766" spans="1:18" x14ac:dyDescent="0.3">
      <c r="A766" s="20">
        <v>45855</v>
      </c>
      <c r="B766" s="25" t="s">
        <v>4317</v>
      </c>
      <c r="C766" s="25" t="s">
        <v>4318</v>
      </c>
      <c r="D766" s="25" t="s">
        <v>4319</v>
      </c>
      <c r="E766" s="28" t="s">
        <v>4320</v>
      </c>
      <c r="F766" s="28" t="s">
        <v>4321</v>
      </c>
      <c r="G766" s="25">
        <v>7</v>
      </c>
      <c r="H766" s="25">
        <v>5</v>
      </c>
      <c r="I766" s="25" t="s">
        <v>3946</v>
      </c>
      <c r="J766" s="25" t="s">
        <v>606</v>
      </c>
      <c r="K766" s="25" t="s">
        <v>4064</v>
      </c>
      <c r="L766" s="167"/>
      <c r="M766" s="167"/>
      <c r="N766" s="167">
        <v>1050</v>
      </c>
      <c r="O766" s="27" t="s">
        <v>4322</v>
      </c>
      <c r="P766" s="25" t="s">
        <v>62</v>
      </c>
      <c r="Q766" s="25" t="s">
        <v>214</v>
      </c>
      <c r="R766" s="29" t="s">
        <v>4323</v>
      </c>
    </row>
    <row r="767" spans="1:18" x14ac:dyDescent="0.3">
      <c r="A767" s="174">
        <v>45855</v>
      </c>
      <c r="B767" s="175" t="s">
        <v>4324</v>
      </c>
      <c r="C767" s="175" t="s">
        <v>4325</v>
      </c>
      <c r="D767" s="175" t="s">
        <v>4325</v>
      </c>
      <c r="E767" s="176" t="s">
        <v>4326</v>
      </c>
      <c r="F767" s="176" t="s">
        <v>4327</v>
      </c>
      <c r="G767" s="175">
        <v>9</v>
      </c>
      <c r="H767" s="175">
        <v>8</v>
      </c>
      <c r="I767" s="175" t="s">
        <v>3946</v>
      </c>
      <c r="J767" s="175" t="s">
        <v>606</v>
      </c>
      <c r="K767" s="175" t="s">
        <v>4328</v>
      </c>
      <c r="L767" s="177"/>
      <c r="M767" s="177"/>
      <c r="N767" s="177">
        <v>3010</v>
      </c>
      <c r="O767" s="178" t="s">
        <v>4329</v>
      </c>
      <c r="P767" s="175" t="s">
        <v>3948</v>
      </c>
      <c r="Q767" s="175" t="s">
        <v>61</v>
      </c>
      <c r="R767" s="179" t="s">
        <v>2811</v>
      </c>
    </row>
    <row r="768" spans="1:18" x14ac:dyDescent="0.3">
      <c r="A768" s="20">
        <v>45856</v>
      </c>
      <c r="B768" s="25" t="s">
        <v>4330</v>
      </c>
      <c r="C768" s="25" t="s">
        <v>4331</v>
      </c>
      <c r="D768" s="25" t="s">
        <v>4332</v>
      </c>
      <c r="E768" s="28" t="s">
        <v>4333</v>
      </c>
      <c r="F768" s="28" t="s">
        <v>4334</v>
      </c>
      <c r="G768" s="25">
        <v>8</v>
      </c>
      <c r="H768" s="25">
        <v>4</v>
      </c>
      <c r="I768" s="25" t="s">
        <v>3946</v>
      </c>
      <c r="J768" s="25" t="s">
        <v>606</v>
      </c>
      <c r="K768" s="25" t="s">
        <v>4335</v>
      </c>
      <c r="L768" s="167"/>
      <c r="M768" s="167"/>
      <c r="N768" s="167">
        <v>1300</v>
      </c>
      <c r="O768" s="27" t="s">
        <v>4336</v>
      </c>
      <c r="P768" s="25" t="s">
        <v>3933</v>
      </c>
      <c r="Q768" s="25" t="s">
        <v>4225</v>
      </c>
      <c r="R768" s="29" t="s">
        <v>2811</v>
      </c>
    </row>
    <row r="769" spans="1:18" x14ac:dyDescent="0.3">
      <c r="A769" s="20">
        <v>45857</v>
      </c>
      <c r="B769" s="25" t="s">
        <v>4337</v>
      </c>
      <c r="C769" s="25" t="s">
        <v>4338</v>
      </c>
      <c r="D769" s="25" t="s">
        <v>4339</v>
      </c>
      <c r="E769" s="28" t="s">
        <v>4340</v>
      </c>
      <c r="F769" s="28" t="s">
        <v>4341</v>
      </c>
      <c r="G769" s="25">
        <v>10</v>
      </c>
      <c r="H769" s="25">
        <v>10</v>
      </c>
      <c r="I769" s="25" t="s">
        <v>3946</v>
      </c>
      <c r="J769" s="25" t="s">
        <v>606</v>
      </c>
      <c r="K769" s="25" t="s">
        <v>4342</v>
      </c>
      <c r="L769" s="167"/>
      <c r="M769" s="167"/>
      <c r="N769" s="167">
        <v>400</v>
      </c>
      <c r="O769" s="27" t="s">
        <v>4343</v>
      </c>
      <c r="P769" s="25" t="s">
        <v>69</v>
      </c>
      <c r="Q769" s="25" t="s">
        <v>68</v>
      </c>
      <c r="R769" s="29" t="s">
        <v>4344</v>
      </c>
    </row>
    <row r="770" spans="1:18" x14ac:dyDescent="0.3">
      <c r="A770" s="20">
        <v>45857</v>
      </c>
      <c r="B770" s="25" t="s">
        <v>4345</v>
      </c>
      <c r="C770" s="25" t="s">
        <v>4346</v>
      </c>
      <c r="D770" s="25" t="s">
        <v>4347</v>
      </c>
      <c r="E770" s="28" t="s">
        <v>4348</v>
      </c>
      <c r="F770" s="28" t="s">
        <v>4349</v>
      </c>
      <c r="G770" s="25">
        <v>5</v>
      </c>
      <c r="H770" s="25">
        <v>4</v>
      </c>
      <c r="I770" s="25" t="s">
        <v>3946</v>
      </c>
      <c r="J770" s="25" t="s">
        <v>606</v>
      </c>
      <c r="K770" s="25" t="s">
        <v>4350</v>
      </c>
      <c r="L770" s="167"/>
      <c r="M770" s="167"/>
      <c r="N770" s="167">
        <v>400</v>
      </c>
      <c r="O770" s="27" t="s">
        <v>4351</v>
      </c>
      <c r="P770" s="25" t="s">
        <v>4302</v>
      </c>
      <c r="Q770" s="25" t="s">
        <v>4225</v>
      </c>
      <c r="R770" s="29" t="s">
        <v>4352</v>
      </c>
    </row>
    <row r="771" spans="1:18" x14ac:dyDescent="0.3">
      <c r="A771" s="20">
        <v>45860</v>
      </c>
      <c r="B771" s="25" t="s">
        <v>4353</v>
      </c>
      <c r="C771" s="25" t="s">
        <v>4354</v>
      </c>
      <c r="D771" s="25" t="s">
        <v>4355</v>
      </c>
      <c r="E771" s="37" t="s">
        <v>4356</v>
      </c>
      <c r="F771" s="28" t="s">
        <v>4357</v>
      </c>
      <c r="G771" s="25">
        <v>7</v>
      </c>
      <c r="H771" s="25">
        <v>3</v>
      </c>
      <c r="I771" s="25" t="s">
        <v>3946</v>
      </c>
      <c r="J771" s="25" t="s">
        <v>4222</v>
      </c>
      <c r="K771" s="25" t="s">
        <v>4358</v>
      </c>
      <c r="L771" s="167"/>
      <c r="M771" s="167"/>
      <c r="N771" s="167">
        <v>350</v>
      </c>
      <c r="O771" s="27" t="s">
        <v>4359</v>
      </c>
      <c r="P771" s="25" t="s">
        <v>4135</v>
      </c>
      <c r="Q771" s="25" t="s">
        <v>3969</v>
      </c>
      <c r="R771" s="29" t="s">
        <v>4360</v>
      </c>
    </row>
    <row r="772" spans="1:18" x14ac:dyDescent="0.3">
      <c r="A772" s="20">
        <v>45861</v>
      </c>
      <c r="B772" s="25" t="s">
        <v>4361</v>
      </c>
      <c r="C772" s="25" t="s">
        <v>4362</v>
      </c>
      <c r="D772" s="25" t="s">
        <v>4363</v>
      </c>
      <c r="E772" s="41" t="s">
        <v>4364</v>
      </c>
      <c r="F772" s="28" t="s">
        <v>4365</v>
      </c>
      <c r="G772" s="25">
        <v>6</v>
      </c>
      <c r="H772" s="25">
        <v>3</v>
      </c>
      <c r="I772" s="25" t="s">
        <v>605</v>
      </c>
      <c r="J772" s="25" t="s">
        <v>606</v>
      </c>
      <c r="K772" s="25" t="s">
        <v>4270</v>
      </c>
      <c r="L772" s="167"/>
      <c r="M772" s="167"/>
      <c r="N772" s="167">
        <v>1050</v>
      </c>
      <c r="O772" s="27" t="s">
        <v>4366</v>
      </c>
      <c r="P772" s="25" t="s">
        <v>624</v>
      </c>
      <c r="Q772" s="25" t="s">
        <v>61</v>
      </c>
      <c r="R772" s="29" t="s">
        <v>2811</v>
      </c>
    </row>
    <row r="773" spans="1:18" x14ac:dyDescent="0.3">
      <c r="A773" s="20">
        <v>45861</v>
      </c>
      <c r="B773" s="25" t="s">
        <v>4367</v>
      </c>
      <c r="C773" s="25" t="s">
        <v>4368</v>
      </c>
      <c r="D773" s="25" t="s">
        <v>4369</v>
      </c>
      <c r="E773" s="41" t="s">
        <v>4370</v>
      </c>
      <c r="F773" s="28" t="s">
        <v>4371</v>
      </c>
      <c r="G773" s="25">
        <v>10</v>
      </c>
      <c r="H773" s="25">
        <v>5</v>
      </c>
      <c r="I773" s="25" t="s">
        <v>3946</v>
      </c>
      <c r="J773" s="25" t="s">
        <v>606</v>
      </c>
      <c r="K773" s="25" t="s">
        <v>4372</v>
      </c>
      <c r="L773" s="167"/>
      <c r="M773" s="167"/>
      <c r="N773" s="167">
        <v>1990</v>
      </c>
      <c r="O773" s="27" t="s">
        <v>4373</v>
      </c>
      <c r="P773" s="25" t="s">
        <v>3933</v>
      </c>
      <c r="Q773" s="25" t="s">
        <v>68</v>
      </c>
      <c r="R773" s="29" t="s">
        <v>2811</v>
      </c>
    </row>
    <row r="774" spans="1:18" x14ac:dyDescent="0.3">
      <c r="A774" s="20">
        <v>45861</v>
      </c>
      <c r="B774" s="25" t="s">
        <v>4374</v>
      </c>
      <c r="C774" s="25" t="s">
        <v>4375</v>
      </c>
      <c r="D774" s="25" t="s">
        <v>4376</v>
      </c>
      <c r="E774" s="41" t="s">
        <v>4377</v>
      </c>
      <c r="F774" s="28" t="s">
        <v>4378</v>
      </c>
      <c r="G774" s="25">
        <v>7</v>
      </c>
      <c r="H774" s="25">
        <v>3</v>
      </c>
      <c r="I774" s="25" t="s">
        <v>3946</v>
      </c>
      <c r="J774" s="25" t="s">
        <v>541</v>
      </c>
      <c r="K774" s="25" t="s">
        <v>4379</v>
      </c>
      <c r="L774" s="167"/>
      <c r="M774" s="167"/>
      <c r="N774" s="167">
        <v>1990</v>
      </c>
      <c r="O774" s="27" t="s">
        <v>4380</v>
      </c>
      <c r="P774" s="25" t="s">
        <v>4225</v>
      </c>
      <c r="Q774" s="25" t="s">
        <v>4225</v>
      </c>
      <c r="R774" s="29" t="s">
        <v>2811</v>
      </c>
    </row>
    <row r="775" spans="1:18" x14ac:dyDescent="0.3">
      <c r="A775" s="20">
        <v>45861</v>
      </c>
      <c r="B775" s="25" t="s">
        <v>4381</v>
      </c>
      <c r="C775" s="25" t="s">
        <v>4382</v>
      </c>
      <c r="D775" s="25" t="s">
        <v>4383</v>
      </c>
      <c r="E775" s="41" t="s">
        <v>4384</v>
      </c>
      <c r="F775" s="28" t="s">
        <v>4385</v>
      </c>
      <c r="G775" s="25">
        <v>6</v>
      </c>
      <c r="H775" s="25">
        <v>5</v>
      </c>
      <c r="I775" s="25" t="s">
        <v>605</v>
      </c>
      <c r="J775" s="25" t="s">
        <v>541</v>
      </c>
      <c r="K775" s="25" t="s">
        <v>4386</v>
      </c>
      <c r="L775" s="167"/>
      <c r="M775" s="167"/>
      <c r="N775" s="167">
        <v>1500</v>
      </c>
      <c r="O775" s="27" t="s">
        <v>4387</v>
      </c>
      <c r="P775" s="25" t="s">
        <v>4302</v>
      </c>
      <c r="Q775" s="25" t="s">
        <v>3969</v>
      </c>
      <c r="R775" s="29" t="s">
        <v>2811</v>
      </c>
    </row>
    <row r="776" spans="1:18" x14ac:dyDescent="0.3">
      <c r="A776" s="20">
        <v>45861</v>
      </c>
      <c r="B776" s="25" t="s">
        <v>4388</v>
      </c>
      <c r="C776" s="25" t="s">
        <v>4389</v>
      </c>
      <c r="D776" s="25" t="s">
        <v>4390</v>
      </c>
      <c r="E776" s="41" t="s">
        <v>4391</v>
      </c>
      <c r="F776" s="28" t="s">
        <v>4392</v>
      </c>
      <c r="G776" s="25">
        <v>7</v>
      </c>
      <c r="H776" s="25">
        <v>7</v>
      </c>
      <c r="I776" s="25" t="s">
        <v>605</v>
      </c>
      <c r="J776" s="25" t="s">
        <v>606</v>
      </c>
      <c r="K776" s="25" t="s">
        <v>4393</v>
      </c>
      <c r="L776" s="167"/>
      <c r="M776" s="167"/>
      <c r="N776" s="167">
        <v>1990</v>
      </c>
      <c r="O776" s="27" t="s">
        <v>4394</v>
      </c>
      <c r="P776" s="25" t="s">
        <v>347</v>
      </c>
      <c r="Q776" s="25" t="s">
        <v>4302</v>
      </c>
      <c r="R776" s="29" t="s">
        <v>2811</v>
      </c>
    </row>
    <row r="777" spans="1:18" x14ac:dyDescent="0.3">
      <c r="A777" s="20">
        <v>45862</v>
      </c>
      <c r="B777" s="25" t="s">
        <v>4395</v>
      </c>
      <c r="C777" s="25" t="s">
        <v>4396</v>
      </c>
      <c r="D777" s="25" t="s">
        <v>4397</v>
      </c>
      <c r="E777" s="41" t="s">
        <v>4398</v>
      </c>
      <c r="F777" s="28" t="s">
        <v>4399</v>
      </c>
      <c r="G777" s="25">
        <v>6</v>
      </c>
      <c r="H777" s="25">
        <v>3</v>
      </c>
      <c r="I777" s="25" t="s">
        <v>3946</v>
      </c>
      <c r="J777" s="25" t="s">
        <v>4222</v>
      </c>
      <c r="K777" s="25" t="s">
        <v>4400</v>
      </c>
      <c r="L777" s="167"/>
      <c r="M777" s="167"/>
      <c r="N777" s="167">
        <v>1050</v>
      </c>
      <c r="O777" s="27" t="s">
        <v>4401</v>
      </c>
      <c r="P777" s="25" t="s">
        <v>624</v>
      </c>
      <c r="Q777" s="25" t="s">
        <v>61</v>
      </c>
      <c r="R777" s="29" t="s">
        <v>2811</v>
      </c>
    </row>
    <row r="778" spans="1:18" x14ac:dyDescent="0.3">
      <c r="A778" s="20">
        <v>45863</v>
      </c>
      <c r="B778" s="25" t="s">
        <v>4402</v>
      </c>
      <c r="C778" s="25" t="s">
        <v>4403</v>
      </c>
      <c r="D778" s="25" t="s">
        <v>4404</v>
      </c>
      <c r="E778" s="41" t="s">
        <v>4405</v>
      </c>
      <c r="F778" s="28" t="s">
        <v>4406</v>
      </c>
      <c r="G778" s="25">
        <v>10</v>
      </c>
      <c r="H778" s="25">
        <v>15</v>
      </c>
      <c r="I778" s="25" t="s">
        <v>3946</v>
      </c>
      <c r="J778" s="25" t="s">
        <v>4222</v>
      </c>
      <c r="K778" s="25" t="s">
        <v>4407</v>
      </c>
      <c r="L778" s="167"/>
      <c r="M778" s="167"/>
      <c r="N778" s="167">
        <v>4990</v>
      </c>
      <c r="O778" s="27" t="s">
        <v>4408</v>
      </c>
      <c r="P778" s="25" t="s">
        <v>4409</v>
      </c>
      <c r="Q778" s="25" t="s">
        <v>61</v>
      </c>
      <c r="R778" s="29" t="s">
        <v>4410</v>
      </c>
    </row>
    <row r="779" spans="1:18" x14ac:dyDescent="0.3">
      <c r="A779" s="20">
        <v>45863</v>
      </c>
      <c r="B779" s="25" t="s">
        <v>4411</v>
      </c>
      <c r="C779" s="25" t="s">
        <v>4412</v>
      </c>
      <c r="D779" s="25" t="s">
        <v>4413</v>
      </c>
      <c r="E779" s="41" t="s">
        <v>4414</v>
      </c>
      <c r="F779" s="28" t="s">
        <v>4415</v>
      </c>
      <c r="G779" s="25">
        <v>5</v>
      </c>
      <c r="H779" s="25">
        <v>3</v>
      </c>
      <c r="I779" s="25" t="s">
        <v>3946</v>
      </c>
      <c r="J779" s="25" t="s">
        <v>606</v>
      </c>
      <c r="K779" s="25" t="s">
        <v>4178</v>
      </c>
      <c r="L779" s="167"/>
      <c r="M779" s="167"/>
      <c r="N779" s="167">
        <v>1000</v>
      </c>
      <c r="O779" s="27" t="s">
        <v>4416</v>
      </c>
      <c r="P779" s="25" t="s">
        <v>3933</v>
      </c>
      <c r="Q779" s="25" t="s">
        <v>61</v>
      </c>
      <c r="R779" s="29" t="s">
        <v>2811</v>
      </c>
    </row>
    <row r="780" spans="1:18" x14ac:dyDescent="0.3">
      <c r="A780" s="20">
        <v>45867</v>
      </c>
      <c r="B780" s="25" t="s">
        <v>4417</v>
      </c>
      <c r="C780" s="25" t="s">
        <v>4418</v>
      </c>
      <c r="D780" s="25" t="s">
        <v>4419</v>
      </c>
      <c r="E780" s="41" t="s">
        <v>4420</v>
      </c>
      <c r="F780" s="28" t="s">
        <v>4421</v>
      </c>
      <c r="G780" s="25">
        <v>7</v>
      </c>
      <c r="H780" s="25">
        <v>4</v>
      </c>
      <c r="I780" s="25" t="s">
        <v>3946</v>
      </c>
      <c r="J780" s="25" t="s">
        <v>4422</v>
      </c>
      <c r="K780" s="25" t="s">
        <v>4423</v>
      </c>
      <c r="L780" s="167"/>
      <c r="M780" s="167"/>
      <c r="N780" s="167">
        <v>1457</v>
      </c>
      <c r="O780" s="27" t="s">
        <v>4424</v>
      </c>
      <c r="P780" s="25" t="s">
        <v>4302</v>
      </c>
      <c r="Q780" s="25" t="s">
        <v>4225</v>
      </c>
      <c r="R780" s="29" t="s">
        <v>2811</v>
      </c>
    </row>
    <row r="781" spans="1:18" x14ac:dyDescent="0.3">
      <c r="A781" s="36">
        <v>45867</v>
      </c>
      <c r="B781" s="25" t="s">
        <v>4425</v>
      </c>
      <c r="C781" s="25" t="s">
        <v>4426</v>
      </c>
      <c r="D781" s="25" t="s">
        <v>4427</v>
      </c>
      <c r="E781" s="41" t="s">
        <v>4428</v>
      </c>
      <c r="F781" s="28" t="s">
        <v>4429</v>
      </c>
      <c r="G781" s="25">
        <v>8</v>
      </c>
      <c r="H781" s="25">
        <v>10</v>
      </c>
      <c r="I781" s="25" t="s">
        <v>3946</v>
      </c>
      <c r="J781" s="25" t="s">
        <v>4422</v>
      </c>
      <c r="K781" s="25" t="s">
        <v>4430</v>
      </c>
      <c r="L781" s="167"/>
      <c r="M781" s="167"/>
      <c r="N781" s="167">
        <v>2990</v>
      </c>
      <c r="O781" s="27" t="s">
        <v>4431</v>
      </c>
      <c r="P781" s="25" t="s">
        <v>3933</v>
      </c>
      <c r="Q781" s="25" t="s">
        <v>68</v>
      </c>
      <c r="R781" s="29" t="s">
        <v>2811</v>
      </c>
    </row>
    <row r="782" spans="1:18" x14ac:dyDescent="0.3">
      <c r="A782" s="36">
        <v>45868</v>
      </c>
      <c r="B782" s="25" t="s">
        <v>4432</v>
      </c>
      <c r="C782" s="25" t="s">
        <v>4433</v>
      </c>
      <c r="D782" s="25" t="s">
        <v>4434</v>
      </c>
      <c r="E782" s="41" t="s">
        <v>4435</v>
      </c>
      <c r="F782" s="28" t="s">
        <v>4436</v>
      </c>
      <c r="G782" s="25">
        <v>10</v>
      </c>
      <c r="H782" s="25">
        <v>5</v>
      </c>
      <c r="I782" s="25" t="s">
        <v>605</v>
      </c>
      <c r="J782" s="25" t="s">
        <v>606</v>
      </c>
      <c r="K782" s="25" t="s">
        <v>4270</v>
      </c>
      <c r="L782" s="167"/>
      <c r="M782" s="167"/>
      <c r="N782" s="167">
        <v>2990</v>
      </c>
      <c r="O782" s="27" t="s">
        <v>4437</v>
      </c>
      <c r="P782" s="25" t="s">
        <v>62</v>
      </c>
      <c r="Q782" s="25" t="s">
        <v>61</v>
      </c>
      <c r="R782" s="29" t="s">
        <v>2811</v>
      </c>
    </row>
    <row r="783" spans="1:18" x14ac:dyDescent="0.3">
      <c r="A783" s="36">
        <v>45868</v>
      </c>
      <c r="B783" s="25" t="s">
        <v>4438</v>
      </c>
      <c r="C783" s="25" t="s">
        <v>4439</v>
      </c>
      <c r="D783" s="25" t="s">
        <v>4440</v>
      </c>
      <c r="E783" s="34" t="s">
        <v>4441</v>
      </c>
      <c r="F783" s="28" t="s">
        <v>4442</v>
      </c>
      <c r="G783" s="25">
        <v>5</v>
      </c>
      <c r="H783" s="25">
        <v>5</v>
      </c>
      <c r="I783" s="25" t="s">
        <v>3946</v>
      </c>
      <c r="J783" s="25" t="s">
        <v>4222</v>
      </c>
      <c r="K783" s="25" t="s">
        <v>4443</v>
      </c>
      <c r="L783" s="167"/>
      <c r="M783" s="167"/>
      <c r="N783" s="167">
        <v>1450</v>
      </c>
      <c r="O783" s="27" t="s">
        <v>4444</v>
      </c>
      <c r="P783" s="25" t="s">
        <v>347</v>
      </c>
      <c r="Q783" s="25" t="s">
        <v>61</v>
      </c>
      <c r="R783" s="29" t="s">
        <v>4445</v>
      </c>
    </row>
    <row r="784" spans="1:18" x14ac:dyDescent="0.3">
      <c r="A784" s="36">
        <v>45869</v>
      </c>
      <c r="B784" s="25" t="s">
        <v>4446</v>
      </c>
      <c r="C784" s="25" t="s">
        <v>4447</v>
      </c>
      <c r="D784" s="25" t="s">
        <v>4448</v>
      </c>
      <c r="E784" s="34" t="s">
        <v>4449</v>
      </c>
      <c r="F784" s="28" t="s">
        <v>4450</v>
      </c>
      <c r="G784" s="25">
        <v>6</v>
      </c>
      <c r="H784" s="25">
        <v>4</v>
      </c>
      <c r="I784" s="25" t="s">
        <v>3946</v>
      </c>
      <c r="J784" s="25" t="s">
        <v>4222</v>
      </c>
      <c r="K784" s="25" t="s">
        <v>4430</v>
      </c>
      <c r="L784" s="167"/>
      <c r="M784" s="167"/>
      <c r="N784" s="167">
        <v>1050</v>
      </c>
      <c r="O784" s="27" t="s">
        <v>4451</v>
      </c>
      <c r="P784" s="25" t="s">
        <v>4225</v>
      </c>
      <c r="Q784" s="25" t="s">
        <v>4225</v>
      </c>
      <c r="R784" s="29" t="s">
        <v>2811</v>
      </c>
    </row>
    <row r="785" spans="1:18" x14ac:dyDescent="0.3">
      <c r="A785" s="20">
        <v>45870</v>
      </c>
      <c r="B785" s="32" t="s">
        <v>4452</v>
      </c>
      <c r="C785" s="25" t="s">
        <v>4453</v>
      </c>
      <c r="D785" s="25" t="s">
        <v>4454</v>
      </c>
      <c r="E785" s="44" t="s">
        <v>4455</v>
      </c>
      <c r="F785" s="28" t="s">
        <v>4456</v>
      </c>
      <c r="G785" s="25">
        <v>5</v>
      </c>
      <c r="H785" s="25">
        <v>5</v>
      </c>
      <c r="I785" s="25" t="s">
        <v>3946</v>
      </c>
      <c r="J785" s="25" t="s">
        <v>4170</v>
      </c>
      <c r="K785" s="25" t="s">
        <v>4457</v>
      </c>
      <c r="L785" s="167">
        <f>+N785/1.15</f>
        <v>2173.913043478261</v>
      </c>
      <c r="M785" s="167">
        <f>+L785*15%</f>
        <v>326.08695652173913</v>
      </c>
      <c r="N785" s="167">
        <v>2500</v>
      </c>
      <c r="O785" s="27" t="s">
        <v>4458</v>
      </c>
      <c r="P785" s="25" t="s">
        <v>4459</v>
      </c>
      <c r="Q785" s="25" t="s">
        <v>61</v>
      </c>
      <c r="R785" s="25"/>
    </row>
    <row r="786" spans="1:18" x14ac:dyDescent="0.3">
      <c r="A786" s="20">
        <v>45871</v>
      </c>
      <c r="B786" s="32" t="s">
        <v>4460</v>
      </c>
      <c r="C786" s="25" t="s">
        <v>4461</v>
      </c>
      <c r="D786" s="25" t="s">
        <v>4462</v>
      </c>
      <c r="E786" s="44" t="s">
        <v>4463</v>
      </c>
      <c r="F786" s="28" t="s">
        <v>4464</v>
      </c>
      <c r="G786" s="25">
        <v>6</v>
      </c>
      <c r="H786" s="25">
        <v>3</v>
      </c>
      <c r="I786" s="25" t="s">
        <v>3946</v>
      </c>
      <c r="J786" s="25" t="s">
        <v>606</v>
      </c>
      <c r="K786" s="25" t="s">
        <v>4465</v>
      </c>
      <c r="L786" s="167"/>
      <c r="M786" s="167"/>
      <c r="N786" s="167">
        <v>1100</v>
      </c>
      <c r="O786" s="27" t="s">
        <v>4466</v>
      </c>
      <c r="P786" s="25" t="s">
        <v>3933</v>
      </c>
      <c r="Q786" s="25" t="s">
        <v>61</v>
      </c>
      <c r="R786" s="25"/>
    </row>
    <row r="787" spans="1:18" x14ac:dyDescent="0.3">
      <c r="A787" s="20">
        <v>45871</v>
      </c>
      <c r="B787" s="32" t="s">
        <v>4467</v>
      </c>
      <c r="C787" s="25" t="s">
        <v>4468</v>
      </c>
      <c r="D787" s="25" t="s">
        <v>4469</v>
      </c>
      <c r="E787" s="44" t="s">
        <v>4470</v>
      </c>
      <c r="F787" s="28" t="s">
        <v>4471</v>
      </c>
      <c r="G787" s="25">
        <v>10</v>
      </c>
      <c r="H787" s="25">
        <v>5</v>
      </c>
      <c r="I787" s="25" t="s">
        <v>3946</v>
      </c>
      <c r="J787" s="25" t="s">
        <v>4472</v>
      </c>
      <c r="K787" s="25" t="s">
        <v>4473</v>
      </c>
      <c r="L787" s="167"/>
      <c r="M787" s="167"/>
      <c r="N787" s="167">
        <v>1990</v>
      </c>
      <c r="O787" s="27" t="s">
        <v>4474</v>
      </c>
      <c r="P787" s="25" t="s">
        <v>624</v>
      </c>
      <c r="Q787" s="25" t="s">
        <v>4225</v>
      </c>
      <c r="R787" s="25" t="s">
        <v>4475</v>
      </c>
    </row>
    <row r="788" spans="1:18" x14ac:dyDescent="0.3">
      <c r="A788" s="20">
        <v>45871</v>
      </c>
      <c r="B788" s="32" t="s">
        <v>4476</v>
      </c>
      <c r="C788" s="25" t="s">
        <v>4477</v>
      </c>
      <c r="D788" s="25" t="s">
        <v>4478</v>
      </c>
      <c r="E788" s="44" t="s">
        <v>4479</v>
      </c>
      <c r="F788" s="28" t="s">
        <v>4480</v>
      </c>
      <c r="G788" s="25">
        <v>4</v>
      </c>
      <c r="H788" s="25">
        <v>2</v>
      </c>
      <c r="I788" s="25" t="s">
        <v>3946</v>
      </c>
      <c r="J788" s="25" t="s">
        <v>4148</v>
      </c>
      <c r="K788" s="25" t="s">
        <v>4481</v>
      </c>
      <c r="L788" s="167"/>
      <c r="M788" s="167"/>
      <c r="N788" s="167">
        <v>700</v>
      </c>
      <c r="O788" s="27" t="s">
        <v>4482</v>
      </c>
      <c r="P788" s="25" t="s">
        <v>62</v>
      </c>
      <c r="Q788" s="25" t="s">
        <v>592</v>
      </c>
      <c r="R788" s="25" t="s">
        <v>4483</v>
      </c>
    </row>
    <row r="789" spans="1:18" x14ac:dyDescent="0.3">
      <c r="A789" s="20">
        <v>45874</v>
      </c>
      <c r="B789" s="32" t="s">
        <v>4484</v>
      </c>
      <c r="C789" s="25" t="s">
        <v>4485</v>
      </c>
      <c r="D789" s="25" t="s">
        <v>4486</v>
      </c>
      <c r="E789" s="44" t="s">
        <v>4487</v>
      </c>
      <c r="F789" s="76" t="s">
        <v>4488</v>
      </c>
      <c r="G789" s="25">
        <v>8</v>
      </c>
      <c r="H789" s="25">
        <v>8</v>
      </c>
      <c r="I789" s="25" t="s">
        <v>3946</v>
      </c>
      <c r="J789" s="25" t="s">
        <v>606</v>
      </c>
      <c r="K789" s="25" t="s">
        <v>4489</v>
      </c>
      <c r="L789" s="167"/>
      <c r="M789" s="167"/>
      <c r="N789" s="167">
        <v>1500</v>
      </c>
      <c r="O789" s="27" t="s">
        <v>4490</v>
      </c>
      <c r="P789" s="25" t="s">
        <v>624</v>
      </c>
      <c r="Q789" s="25" t="s">
        <v>61</v>
      </c>
      <c r="R789" s="180" t="s">
        <v>4491</v>
      </c>
    </row>
    <row r="790" spans="1:18" x14ac:dyDescent="0.3">
      <c r="A790" s="20">
        <v>45874</v>
      </c>
      <c r="B790" s="32" t="s">
        <v>4492</v>
      </c>
      <c r="C790" s="25" t="s">
        <v>4493</v>
      </c>
      <c r="D790" s="25" t="s">
        <v>4494</v>
      </c>
      <c r="E790" s="44" t="s">
        <v>4495</v>
      </c>
      <c r="F790" s="76" t="s">
        <v>4496</v>
      </c>
      <c r="G790" s="25">
        <v>8</v>
      </c>
      <c r="H790" s="25">
        <v>3</v>
      </c>
      <c r="I790" s="25" t="s">
        <v>3946</v>
      </c>
      <c r="J790" s="25" t="s">
        <v>606</v>
      </c>
      <c r="K790" s="25" t="s">
        <v>4270</v>
      </c>
      <c r="L790" s="167"/>
      <c r="M790" s="167"/>
      <c r="N790" s="167">
        <v>700</v>
      </c>
      <c r="O790" s="27" t="s">
        <v>4497</v>
      </c>
      <c r="P790" s="25" t="s">
        <v>624</v>
      </c>
      <c r="Q790" s="25" t="s">
        <v>214</v>
      </c>
      <c r="R790" s="25" t="s">
        <v>2811</v>
      </c>
    </row>
    <row r="791" spans="1:18" x14ac:dyDescent="0.3">
      <c r="A791" s="20">
        <v>45874</v>
      </c>
      <c r="B791" s="32" t="s">
        <v>4498</v>
      </c>
      <c r="C791" s="25" t="s">
        <v>4499</v>
      </c>
      <c r="D791" s="25" t="s">
        <v>4500</v>
      </c>
      <c r="E791" s="44" t="s">
        <v>4501</v>
      </c>
      <c r="F791" s="28" t="s">
        <v>4502</v>
      </c>
      <c r="G791" s="25">
        <v>8</v>
      </c>
      <c r="H791" s="25">
        <v>5</v>
      </c>
      <c r="I791" s="25" t="s">
        <v>3946</v>
      </c>
      <c r="J791" s="25" t="s">
        <v>606</v>
      </c>
      <c r="K791" s="25" t="s">
        <v>4503</v>
      </c>
      <c r="L791" s="167"/>
      <c r="M791" s="167"/>
      <c r="N791" s="167">
        <v>1990</v>
      </c>
      <c r="O791" s="27" t="s">
        <v>4504</v>
      </c>
      <c r="P791" s="25" t="s">
        <v>3948</v>
      </c>
      <c r="Q791" s="25" t="s">
        <v>61</v>
      </c>
      <c r="R791" s="25" t="s">
        <v>2811</v>
      </c>
    </row>
    <row r="792" spans="1:18" x14ac:dyDescent="0.3">
      <c r="A792" s="20">
        <v>45875</v>
      </c>
      <c r="B792" s="32" t="s">
        <v>4505</v>
      </c>
      <c r="C792" s="25" t="s">
        <v>4506</v>
      </c>
      <c r="D792" s="25" t="s">
        <v>4507</v>
      </c>
      <c r="E792" s="44" t="s">
        <v>4508</v>
      </c>
      <c r="F792" s="28" t="s">
        <v>4509</v>
      </c>
      <c r="G792" s="25">
        <v>5</v>
      </c>
      <c r="H792" s="25">
        <v>3</v>
      </c>
      <c r="I792" s="25" t="s">
        <v>3946</v>
      </c>
      <c r="J792" s="25" t="s">
        <v>606</v>
      </c>
      <c r="K792" s="25" t="s">
        <v>4503</v>
      </c>
      <c r="L792" s="167"/>
      <c r="M792" s="167"/>
      <c r="N792" s="167">
        <v>300</v>
      </c>
      <c r="O792" s="27" t="s">
        <v>4510</v>
      </c>
      <c r="P792" s="25" t="s">
        <v>4511</v>
      </c>
      <c r="Q792" s="25" t="s">
        <v>3969</v>
      </c>
      <c r="R792" s="25" t="s">
        <v>4512</v>
      </c>
    </row>
    <row r="793" spans="1:18" x14ac:dyDescent="0.3">
      <c r="A793" s="20">
        <v>45875</v>
      </c>
      <c r="B793" s="32" t="s">
        <v>4513</v>
      </c>
      <c r="C793" s="25" t="s">
        <v>862</v>
      </c>
      <c r="D793" s="25" t="s">
        <v>4514</v>
      </c>
      <c r="E793" s="44" t="s">
        <v>4515</v>
      </c>
      <c r="F793" s="28" t="s">
        <v>4516</v>
      </c>
      <c r="G793" s="25">
        <v>4</v>
      </c>
      <c r="H793" s="25">
        <v>3</v>
      </c>
      <c r="I793" s="25" t="s">
        <v>3946</v>
      </c>
      <c r="J793" s="25" t="s">
        <v>606</v>
      </c>
      <c r="K793" s="25" t="s">
        <v>4517</v>
      </c>
      <c r="L793" s="167"/>
      <c r="M793" s="167"/>
      <c r="N793" s="167">
        <v>1000</v>
      </c>
      <c r="O793" s="27" t="s">
        <v>4518</v>
      </c>
      <c r="P793" s="25" t="s">
        <v>4459</v>
      </c>
      <c r="Q793" s="25" t="s">
        <v>592</v>
      </c>
      <c r="R793" s="25" t="s">
        <v>2811</v>
      </c>
    </row>
    <row r="794" spans="1:18" x14ac:dyDescent="0.3">
      <c r="A794" s="20">
        <v>45876</v>
      </c>
      <c r="B794" s="32" t="s">
        <v>4519</v>
      </c>
      <c r="C794" s="25" t="s">
        <v>4520</v>
      </c>
      <c r="D794" s="25" t="s">
        <v>4521</v>
      </c>
      <c r="E794" s="44" t="s">
        <v>4522</v>
      </c>
      <c r="F794" s="28" t="s">
        <v>4523</v>
      </c>
      <c r="G794" s="25">
        <v>6</v>
      </c>
      <c r="H794" s="25">
        <v>3</v>
      </c>
      <c r="I794" s="25" t="s">
        <v>3946</v>
      </c>
      <c r="J794" s="25" t="s">
        <v>606</v>
      </c>
      <c r="K794" s="25" t="s">
        <v>4524</v>
      </c>
      <c r="L794" s="167"/>
      <c r="M794" s="167"/>
      <c r="N794" s="167">
        <v>1050</v>
      </c>
      <c r="O794" s="27" t="s">
        <v>4525</v>
      </c>
      <c r="P794" s="25" t="s">
        <v>3948</v>
      </c>
      <c r="Q794" s="25" t="s">
        <v>61</v>
      </c>
      <c r="R794" s="25" t="s">
        <v>2811</v>
      </c>
    </row>
    <row r="795" spans="1:18" x14ac:dyDescent="0.3">
      <c r="A795" s="20">
        <v>45876</v>
      </c>
      <c r="B795" s="32" t="s">
        <v>4526</v>
      </c>
      <c r="C795" s="25" t="s">
        <v>4527</v>
      </c>
      <c r="D795" s="25" t="s">
        <v>4528</v>
      </c>
      <c r="E795" s="44" t="s">
        <v>4529</v>
      </c>
      <c r="F795" s="28" t="s">
        <v>4530</v>
      </c>
      <c r="G795" s="25">
        <v>6</v>
      </c>
      <c r="H795" s="25">
        <v>8</v>
      </c>
      <c r="I795" s="25" t="s">
        <v>3946</v>
      </c>
      <c r="J795" s="25" t="s">
        <v>4531</v>
      </c>
      <c r="K795" s="25" t="s">
        <v>4532</v>
      </c>
      <c r="L795" s="167"/>
      <c r="M795" s="167"/>
      <c r="N795" s="167">
        <v>2990</v>
      </c>
      <c r="O795" s="27" t="s">
        <v>4533</v>
      </c>
      <c r="P795" s="25" t="s">
        <v>624</v>
      </c>
      <c r="Q795" s="25" t="s">
        <v>61</v>
      </c>
      <c r="R795" s="181" t="s">
        <v>4534</v>
      </c>
    </row>
    <row r="796" spans="1:18" x14ac:dyDescent="0.3">
      <c r="A796" s="20">
        <v>45876</v>
      </c>
      <c r="B796" s="32" t="s">
        <v>4535</v>
      </c>
      <c r="C796" s="25" t="s">
        <v>4536</v>
      </c>
      <c r="D796" s="25" t="s">
        <v>4537</v>
      </c>
      <c r="E796" s="44" t="s">
        <v>4538</v>
      </c>
      <c r="F796" s="28" t="s">
        <v>4539</v>
      </c>
      <c r="G796" s="25">
        <v>5</v>
      </c>
      <c r="H796" s="25">
        <v>4</v>
      </c>
      <c r="I796" s="25" t="s">
        <v>3946</v>
      </c>
      <c r="J796" s="25" t="s">
        <v>606</v>
      </c>
      <c r="K796" s="25" t="s">
        <v>4540</v>
      </c>
      <c r="L796" s="167"/>
      <c r="M796" s="167"/>
      <c r="N796" s="167">
        <v>900</v>
      </c>
      <c r="O796" s="27" t="s">
        <v>4541</v>
      </c>
      <c r="P796" s="25" t="s">
        <v>4003</v>
      </c>
      <c r="Q796" s="25" t="s">
        <v>4225</v>
      </c>
      <c r="R796" s="25" t="s">
        <v>4542</v>
      </c>
    </row>
    <row r="797" spans="1:18" x14ac:dyDescent="0.3">
      <c r="A797" s="20">
        <v>45877</v>
      </c>
      <c r="B797" s="32" t="s">
        <v>4543</v>
      </c>
      <c r="C797" s="25" t="s">
        <v>4544</v>
      </c>
      <c r="D797" s="25" t="s">
        <v>4545</v>
      </c>
      <c r="E797" s="44" t="s">
        <v>4546</v>
      </c>
      <c r="F797" s="28" t="s">
        <v>4547</v>
      </c>
      <c r="G797" s="25">
        <v>7</v>
      </c>
      <c r="H797" s="25">
        <v>5</v>
      </c>
      <c r="I797" s="25" t="s">
        <v>3946</v>
      </c>
      <c r="J797" s="25" t="s">
        <v>606</v>
      </c>
      <c r="K797" s="25" t="s">
        <v>4540</v>
      </c>
      <c r="L797" s="167"/>
      <c r="M797" s="167"/>
      <c r="N797" s="167">
        <v>900</v>
      </c>
      <c r="O797" s="27" t="s">
        <v>4548</v>
      </c>
      <c r="P797" s="25" t="s">
        <v>62</v>
      </c>
      <c r="Q797" s="25" t="s">
        <v>61</v>
      </c>
      <c r="R797" s="25" t="s">
        <v>4549</v>
      </c>
    </row>
    <row r="798" spans="1:18" x14ac:dyDescent="0.3">
      <c r="A798" s="20">
        <v>45877</v>
      </c>
      <c r="B798" s="32" t="s">
        <v>4550</v>
      </c>
      <c r="C798" s="25" t="s">
        <v>4551</v>
      </c>
      <c r="D798" s="25" t="s">
        <v>4552</v>
      </c>
      <c r="E798" s="44" t="s">
        <v>4553</v>
      </c>
      <c r="F798" s="28" t="s">
        <v>4554</v>
      </c>
      <c r="G798" s="25">
        <v>5</v>
      </c>
      <c r="H798" s="25">
        <v>3</v>
      </c>
      <c r="I798" s="25" t="s">
        <v>3946</v>
      </c>
      <c r="J798" s="25" t="s">
        <v>606</v>
      </c>
      <c r="K798" s="25" t="s">
        <v>4555</v>
      </c>
      <c r="L798" s="167"/>
      <c r="M798" s="167"/>
      <c r="N798" s="167">
        <v>1000</v>
      </c>
      <c r="O798" s="27" t="s">
        <v>4556</v>
      </c>
      <c r="P798" s="25" t="s">
        <v>624</v>
      </c>
      <c r="Q798" s="25" t="s">
        <v>4225</v>
      </c>
      <c r="R798" s="25" t="s">
        <v>2811</v>
      </c>
    </row>
    <row r="799" spans="1:18" x14ac:dyDescent="0.3">
      <c r="A799" s="20">
        <v>45877</v>
      </c>
      <c r="B799" s="32" t="s">
        <v>4557</v>
      </c>
      <c r="C799" s="25" t="s">
        <v>4558</v>
      </c>
      <c r="D799" s="25" t="s">
        <v>4559</v>
      </c>
      <c r="E799" s="44" t="s">
        <v>4560</v>
      </c>
      <c r="F799" s="28" t="s">
        <v>4561</v>
      </c>
      <c r="G799" s="25">
        <v>10</v>
      </c>
      <c r="H799" s="25">
        <v>10</v>
      </c>
      <c r="I799" s="25" t="s">
        <v>3946</v>
      </c>
      <c r="J799" s="25" t="s">
        <v>606</v>
      </c>
      <c r="K799" s="25" t="s">
        <v>4562</v>
      </c>
      <c r="L799" s="167"/>
      <c r="M799" s="167"/>
      <c r="N799" s="167">
        <v>4000</v>
      </c>
      <c r="O799" s="27"/>
      <c r="P799" s="25" t="s">
        <v>3948</v>
      </c>
      <c r="Q799" s="25" t="s">
        <v>214</v>
      </c>
      <c r="R799" s="181" t="s">
        <v>4563</v>
      </c>
    </row>
    <row r="800" spans="1:18" x14ac:dyDescent="0.3">
      <c r="A800" s="20">
        <v>45878</v>
      </c>
      <c r="B800" s="32" t="s">
        <v>4564</v>
      </c>
      <c r="C800" s="25" t="s">
        <v>4565</v>
      </c>
      <c r="D800" s="25" t="s">
        <v>4566</v>
      </c>
      <c r="E800" s="44" t="s">
        <v>4567</v>
      </c>
      <c r="F800" s="28" t="s">
        <v>4568</v>
      </c>
      <c r="G800" s="25">
        <v>7</v>
      </c>
      <c r="H800" s="25">
        <v>3</v>
      </c>
      <c r="I800" s="25" t="s">
        <v>3946</v>
      </c>
      <c r="J800" s="25" t="s">
        <v>4148</v>
      </c>
      <c r="K800" s="25" t="s">
        <v>4569</v>
      </c>
      <c r="L800" s="167"/>
      <c r="M800" s="167"/>
      <c r="N800" s="167">
        <v>500</v>
      </c>
      <c r="O800" s="27" t="s">
        <v>4570</v>
      </c>
      <c r="P800" s="25" t="s">
        <v>4511</v>
      </c>
      <c r="Q800" s="25" t="s">
        <v>214</v>
      </c>
      <c r="R800" s="25" t="s">
        <v>4571</v>
      </c>
    </row>
    <row r="801" spans="1:18" x14ac:dyDescent="0.3">
      <c r="A801" s="20">
        <v>45878</v>
      </c>
      <c r="B801" s="32" t="s">
        <v>4572</v>
      </c>
      <c r="C801" s="25" t="s">
        <v>4573</v>
      </c>
      <c r="D801" s="25" t="s">
        <v>4574</v>
      </c>
      <c r="E801" s="44" t="s">
        <v>4575</v>
      </c>
      <c r="F801" s="28" t="s">
        <v>4576</v>
      </c>
      <c r="G801" s="25">
        <v>3</v>
      </c>
      <c r="H801" s="25">
        <v>3</v>
      </c>
      <c r="I801" s="25" t="s">
        <v>3946</v>
      </c>
      <c r="J801" s="25" t="s">
        <v>606</v>
      </c>
      <c r="K801" s="25" t="s">
        <v>4577</v>
      </c>
      <c r="L801" s="167"/>
      <c r="M801" s="167"/>
      <c r="N801" s="167">
        <v>1700</v>
      </c>
      <c r="O801" s="27" t="s">
        <v>4578</v>
      </c>
      <c r="P801" s="25" t="s">
        <v>624</v>
      </c>
      <c r="Q801" s="25" t="s">
        <v>4225</v>
      </c>
      <c r="R801" s="25" t="s">
        <v>2811</v>
      </c>
    </row>
    <row r="802" spans="1:18" x14ac:dyDescent="0.3">
      <c r="A802" s="20">
        <v>45881</v>
      </c>
      <c r="B802" s="32" t="s">
        <v>4579</v>
      </c>
      <c r="C802" s="25" t="s">
        <v>4580</v>
      </c>
      <c r="D802" s="25" t="s">
        <v>4581</v>
      </c>
      <c r="E802" s="44" t="s">
        <v>4582</v>
      </c>
      <c r="F802" s="28" t="s">
        <v>4583</v>
      </c>
      <c r="G802" s="25">
        <v>5</v>
      </c>
      <c r="H802" s="25">
        <v>4</v>
      </c>
      <c r="I802" s="25" t="s">
        <v>3946</v>
      </c>
      <c r="J802" s="25" t="s">
        <v>4584</v>
      </c>
      <c r="K802" s="25"/>
      <c r="L802" s="167"/>
      <c r="M802" s="167"/>
      <c r="N802" s="167">
        <v>1000</v>
      </c>
      <c r="O802" s="27" t="s">
        <v>4585</v>
      </c>
      <c r="P802" s="25" t="s">
        <v>4511</v>
      </c>
      <c r="Q802" s="25" t="s">
        <v>68</v>
      </c>
      <c r="R802" s="181" t="s">
        <v>4586</v>
      </c>
    </row>
    <row r="803" spans="1:18" x14ac:dyDescent="0.3">
      <c r="A803" s="20">
        <v>45882</v>
      </c>
      <c r="B803" s="32" t="s">
        <v>4587</v>
      </c>
      <c r="C803" s="25" t="s">
        <v>4588</v>
      </c>
      <c r="D803" s="25" t="s">
        <v>4589</v>
      </c>
      <c r="E803" s="44" t="s">
        <v>4590</v>
      </c>
      <c r="F803" s="28" t="s">
        <v>4591</v>
      </c>
      <c r="G803" s="25">
        <v>6</v>
      </c>
      <c r="H803" s="25">
        <v>3</v>
      </c>
      <c r="I803" s="25" t="s">
        <v>3946</v>
      </c>
      <c r="J803" s="182" t="s">
        <v>4592</v>
      </c>
      <c r="K803" s="25" t="s">
        <v>4593</v>
      </c>
      <c r="L803" s="167"/>
      <c r="M803" s="167"/>
      <c r="N803" s="167">
        <v>700</v>
      </c>
      <c r="O803" s="27" t="s">
        <v>4594</v>
      </c>
      <c r="P803" s="25" t="s">
        <v>4003</v>
      </c>
      <c r="Q803" s="25" t="s">
        <v>61</v>
      </c>
      <c r="R803" s="43" t="s">
        <v>4595</v>
      </c>
    </row>
    <row r="804" spans="1:18" x14ac:dyDescent="0.3">
      <c r="A804" s="20">
        <v>45882</v>
      </c>
      <c r="B804" s="32" t="s">
        <v>4596</v>
      </c>
      <c r="C804" s="25" t="s">
        <v>4597</v>
      </c>
      <c r="D804" s="25" t="s">
        <v>4598</v>
      </c>
      <c r="E804" s="44" t="s">
        <v>4599</v>
      </c>
      <c r="F804" s="28" t="s">
        <v>4600</v>
      </c>
      <c r="G804" s="25">
        <v>7</v>
      </c>
      <c r="H804" s="25">
        <v>5</v>
      </c>
      <c r="I804" s="25" t="s">
        <v>3946</v>
      </c>
      <c r="J804" s="25" t="s">
        <v>4148</v>
      </c>
      <c r="K804" s="25" t="s">
        <v>4601</v>
      </c>
      <c r="L804" s="167"/>
      <c r="M804" s="167"/>
      <c r="N804" s="167">
        <v>500</v>
      </c>
      <c r="O804" s="27"/>
      <c r="P804" s="25" t="s">
        <v>62</v>
      </c>
      <c r="Q804" s="25" t="s">
        <v>214</v>
      </c>
      <c r="R804" s="181" t="s">
        <v>4602</v>
      </c>
    </row>
    <row r="805" spans="1:18" x14ac:dyDescent="0.3">
      <c r="A805" s="20">
        <v>45883</v>
      </c>
      <c r="B805" s="32" t="s">
        <v>4603</v>
      </c>
      <c r="C805" s="25" t="s">
        <v>4604</v>
      </c>
      <c r="D805" s="25" t="s">
        <v>4605</v>
      </c>
      <c r="E805" s="44" t="s">
        <v>4606</v>
      </c>
      <c r="F805" s="28" t="s">
        <v>4607</v>
      </c>
      <c r="G805" s="25">
        <v>7</v>
      </c>
      <c r="H805" s="25">
        <v>4</v>
      </c>
      <c r="I805" s="25" t="s">
        <v>3946</v>
      </c>
      <c r="J805" s="25" t="s">
        <v>606</v>
      </c>
      <c r="K805" s="25" t="s">
        <v>4608</v>
      </c>
      <c r="L805" s="167"/>
      <c r="M805" s="167"/>
      <c r="N805" s="167">
        <v>1500</v>
      </c>
      <c r="O805" s="27" t="s">
        <v>4609</v>
      </c>
      <c r="P805" s="25" t="s">
        <v>4003</v>
      </c>
      <c r="Q805" s="25" t="s">
        <v>69</v>
      </c>
      <c r="R805" s="25" t="s">
        <v>2811</v>
      </c>
    </row>
    <row r="806" spans="1:18" x14ac:dyDescent="0.3">
      <c r="A806" s="20">
        <v>45883</v>
      </c>
      <c r="B806" s="32" t="s">
        <v>4610</v>
      </c>
      <c r="C806" s="25" t="s">
        <v>4611</v>
      </c>
      <c r="D806" s="25" t="s">
        <v>4612</v>
      </c>
      <c r="E806" s="44" t="s">
        <v>4613</v>
      </c>
      <c r="F806" s="28" t="s">
        <v>4614</v>
      </c>
      <c r="G806" s="25">
        <v>5</v>
      </c>
      <c r="H806" s="25">
        <v>3</v>
      </c>
      <c r="I806" s="25" t="s">
        <v>3946</v>
      </c>
      <c r="J806" s="25" t="s">
        <v>4148</v>
      </c>
      <c r="K806" s="25" t="s">
        <v>4615</v>
      </c>
      <c r="L806" s="167"/>
      <c r="M806" s="167"/>
      <c r="N806" s="167">
        <v>1050</v>
      </c>
      <c r="O806" s="27" t="s">
        <v>4616</v>
      </c>
      <c r="P806" s="25" t="s">
        <v>3933</v>
      </c>
      <c r="Q806" s="25" t="s">
        <v>61</v>
      </c>
      <c r="R806" s="25" t="s">
        <v>2811</v>
      </c>
    </row>
    <row r="807" spans="1:18" x14ac:dyDescent="0.3">
      <c r="A807" s="20">
        <v>45883</v>
      </c>
      <c r="B807" s="32" t="s">
        <v>4617</v>
      </c>
      <c r="C807" s="25" t="s">
        <v>4618</v>
      </c>
      <c r="D807" s="25" t="s">
        <v>4619</v>
      </c>
      <c r="E807" s="44" t="s">
        <v>4620</v>
      </c>
      <c r="F807" s="28" t="s">
        <v>4621</v>
      </c>
      <c r="G807" s="25">
        <v>5</v>
      </c>
      <c r="H807" s="25">
        <v>3</v>
      </c>
      <c r="I807" s="25" t="s">
        <v>3946</v>
      </c>
      <c r="J807" s="25"/>
      <c r="K807" s="25"/>
      <c r="L807" s="167"/>
      <c r="M807" s="167"/>
      <c r="N807" s="167">
        <v>0</v>
      </c>
      <c r="O807" s="27" t="s">
        <v>4622</v>
      </c>
      <c r="P807" s="25" t="s">
        <v>4511</v>
      </c>
      <c r="Q807" s="25" t="s">
        <v>62</v>
      </c>
      <c r="R807" s="181" t="s">
        <v>4623</v>
      </c>
    </row>
    <row r="808" spans="1:18" x14ac:dyDescent="0.3">
      <c r="A808" s="20">
        <v>45883</v>
      </c>
      <c r="B808" s="32" t="s">
        <v>4624</v>
      </c>
      <c r="C808" s="25" t="s">
        <v>4625</v>
      </c>
      <c r="D808" s="25" t="s">
        <v>4626</v>
      </c>
      <c r="E808" s="44" t="s">
        <v>4627</v>
      </c>
      <c r="F808" s="28" t="s">
        <v>4628</v>
      </c>
      <c r="G808" s="25">
        <v>4</v>
      </c>
      <c r="H808" s="25">
        <v>4</v>
      </c>
      <c r="I808" s="25" t="s">
        <v>3946</v>
      </c>
      <c r="J808" s="25" t="s">
        <v>606</v>
      </c>
      <c r="K808" s="25" t="s">
        <v>4185</v>
      </c>
      <c r="L808" s="167"/>
      <c r="M808" s="167"/>
      <c r="N808" s="167">
        <v>1000</v>
      </c>
      <c r="O808" s="27" t="s">
        <v>4629</v>
      </c>
      <c r="P808" s="25" t="s">
        <v>3948</v>
      </c>
      <c r="Q808" s="25" t="s">
        <v>62</v>
      </c>
      <c r="R808" s="25" t="s">
        <v>2811</v>
      </c>
    </row>
    <row r="809" spans="1:18" x14ac:dyDescent="0.3">
      <c r="A809" s="20">
        <v>45884</v>
      </c>
      <c r="B809" s="32" t="s">
        <v>4630</v>
      </c>
      <c r="C809" s="25" t="s">
        <v>4631</v>
      </c>
      <c r="D809" s="25" t="s">
        <v>4632</v>
      </c>
      <c r="E809" s="44" t="s">
        <v>4633</v>
      </c>
      <c r="F809" s="28" t="s">
        <v>4634</v>
      </c>
      <c r="G809" s="25">
        <v>7</v>
      </c>
      <c r="H809" s="25">
        <v>6</v>
      </c>
      <c r="I809" s="25" t="s">
        <v>3946</v>
      </c>
      <c r="J809" s="25" t="s">
        <v>4635</v>
      </c>
      <c r="K809" s="25" t="s">
        <v>4636</v>
      </c>
      <c r="L809" s="167"/>
      <c r="M809" s="167"/>
      <c r="N809" s="167">
        <v>2990</v>
      </c>
      <c r="O809" s="27" t="s">
        <v>4637</v>
      </c>
      <c r="P809" s="25" t="s">
        <v>4003</v>
      </c>
      <c r="Q809" s="25" t="s">
        <v>69</v>
      </c>
      <c r="R809" s="25" t="s">
        <v>2811</v>
      </c>
    </row>
    <row r="810" spans="1:18" x14ac:dyDescent="0.3">
      <c r="A810" s="20">
        <v>45888</v>
      </c>
      <c r="B810" s="32" t="s">
        <v>4638</v>
      </c>
      <c r="C810" s="25" t="s">
        <v>4639</v>
      </c>
      <c r="D810" s="25" t="s">
        <v>4640</v>
      </c>
      <c r="E810" s="44" t="s">
        <v>4641</v>
      </c>
      <c r="F810" s="46" t="s">
        <v>4642</v>
      </c>
      <c r="G810" s="25">
        <v>6</v>
      </c>
      <c r="H810" s="25">
        <v>3</v>
      </c>
      <c r="I810" s="25" t="s">
        <v>3946</v>
      </c>
      <c r="J810" s="25" t="s">
        <v>4643</v>
      </c>
      <c r="K810" s="25" t="s">
        <v>4644</v>
      </c>
      <c r="L810" s="167"/>
      <c r="M810" s="167"/>
      <c r="N810" s="167">
        <v>1700</v>
      </c>
      <c r="O810" s="27" t="s">
        <v>4645</v>
      </c>
      <c r="P810" s="25" t="s">
        <v>3933</v>
      </c>
      <c r="Q810" s="25" t="s">
        <v>3933</v>
      </c>
      <c r="R810" s="181" t="s">
        <v>2811</v>
      </c>
    </row>
    <row r="811" spans="1:18" x14ac:dyDescent="0.3">
      <c r="A811" s="20">
        <v>45888</v>
      </c>
      <c r="B811" s="32" t="s">
        <v>4646</v>
      </c>
      <c r="C811" s="25" t="s">
        <v>4647</v>
      </c>
      <c r="D811" s="25" t="s">
        <v>4648</v>
      </c>
      <c r="E811" s="44" t="s">
        <v>4649</v>
      </c>
      <c r="F811" s="28" t="s">
        <v>4650</v>
      </c>
      <c r="G811" s="25">
        <v>10</v>
      </c>
      <c r="H811" s="25">
        <v>10</v>
      </c>
      <c r="I811" s="25" t="s">
        <v>3946</v>
      </c>
      <c r="J811" s="25" t="s">
        <v>606</v>
      </c>
      <c r="K811" s="25" t="s">
        <v>4651</v>
      </c>
      <c r="L811" s="167"/>
      <c r="M811" s="167"/>
      <c r="N811" s="167">
        <v>2990</v>
      </c>
      <c r="O811" s="27" t="s">
        <v>4652</v>
      </c>
      <c r="P811" s="25" t="s">
        <v>3948</v>
      </c>
      <c r="Q811" s="25" t="s">
        <v>68</v>
      </c>
      <c r="R811" s="25" t="s">
        <v>2811</v>
      </c>
    </row>
    <row r="812" spans="1:18" x14ac:dyDescent="0.3">
      <c r="A812" s="183">
        <v>45889</v>
      </c>
      <c r="B812" s="184" t="s">
        <v>4653</v>
      </c>
      <c r="C812" s="180" t="s">
        <v>4654</v>
      </c>
      <c r="D812" s="185" t="s">
        <v>4655</v>
      </c>
      <c r="E812" s="186" t="s">
        <v>4656</v>
      </c>
      <c r="F812" s="187" t="s">
        <v>4657</v>
      </c>
      <c r="G812" s="188">
        <v>10</v>
      </c>
      <c r="H812" s="180">
        <v>10</v>
      </c>
      <c r="I812" s="180" t="s">
        <v>3946</v>
      </c>
      <c r="J812" s="180" t="s">
        <v>539</v>
      </c>
      <c r="K812" s="180" t="s">
        <v>4658</v>
      </c>
      <c r="L812" s="189"/>
      <c r="M812" s="189"/>
      <c r="N812" s="189">
        <v>4990</v>
      </c>
      <c r="O812" s="190" t="s">
        <v>4659</v>
      </c>
      <c r="P812" s="180" t="s">
        <v>62</v>
      </c>
      <c r="Q812" s="180" t="s">
        <v>214</v>
      </c>
      <c r="R812" s="180" t="s">
        <v>2811</v>
      </c>
    </row>
    <row r="813" spans="1:18" x14ac:dyDescent="0.3">
      <c r="A813" s="20">
        <v>45889</v>
      </c>
      <c r="B813" s="32" t="s">
        <v>4660</v>
      </c>
      <c r="C813" s="25" t="s">
        <v>4661</v>
      </c>
      <c r="D813" s="25" t="s">
        <v>4662</v>
      </c>
      <c r="E813" s="44" t="s">
        <v>4663</v>
      </c>
      <c r="F813" s="28" t="s">
        <v>4664</v>
      </c>
      <c r="G813" s="25">
        <v>10</v>
      </c>
      <c r="H813" s="25">
        <v>7</v>
      </c>
      <c r="I813" s="25" t="s">
        <v>3946</v>
      </c>
      <c r="J813" s="25" t="s">
        <v>606</v>
      </c>
      <c r="K813" s="25" t="s">
        <v>4665</v>
      </c>
      <c r="L813" s="167"/>
      <c r="M813" s="167"/>
      <c r="N813" s="167">
        <v>2650</v>
      </c>
      <c r="O813" s="27" t="s">
        <v>4666</v>
      </c>
      <c r="P813" s="25" t="s">
        <v>624</v>
      </c>
      <c r="Q813" s="25" t="s">
        <v>61</v>
      </c>
      <c r="R813" s="25" t="s">
        <v>2811</v>
      </c>
    </row>
    <row r="814" spans="1:18" x14ac:dyDescent="0.3">
      <c r="A814" s="20">
        <v>45889</v>
      </c>
      <c r="B814" s="32" t="s">
        <v>4667</v>
      </c>
      <c r="C814" s="25" t="s">
        <v>4668</v>
      </c>
      <c r="D814" s="55" t="s">
        <v>4669</v>
      </c>
      <c r="E814" s="135" t="s">
        <v>4670</v>
      </c>
      <c r="F814" s="28" t="s">
        <v>4671</v>
      </c>
      <c r="G814" s="191">
        <v>15</v>
      </c>
      <c r="H814" s="25">
        <v>5</v>
      </c>
      <c r="I814" s="25" t="s">
        <v>3946</v>
      </c>
      <c r="J814" s="25" t="s">
        <v>606</v>
      </c>
      <c r="K814" s="25" t="s">
        <v>4672</v>
      </c>
      <c r="L814" s="167"/>
      <c r="M814" s="167"/>
      <c r="N814" s="167">
        <v>1990</v>
      </c>
      <c r="O814" s="27" t="s">
        <v>4673</v>
      </c>
      <c r="P814" s="25" t="s">
        <v>3933</v>
      </c>
      <c r="Q814" s="25" t="s">
        <v>214</v>
      </c>
      <c r="R814" s="25" t="s">
        <v>2811</v>
      </c>
    </row>
    <row r="815" spans="1:18" x14ac:dyDescent="0.3">
      <c r="A815" s="20">
        <v>45889</v>
      </c>
      <c r="B815" s="32" t="s">
        <v>4674</v>
      </c>
      <c r="C815" s="25" t="s">
        <v>4675</v>
      </c>
      <c r="D815" s="25" t="s">
        <v>4676</v>
      </c>
      <c r="E815" s="44" t="s">
        <v>4677</v>
      </c>
      <c r="F815" s="28" t="s">
        <v>4678</v>
      </c>
      <c r="G815" s="25">
        <v>15</v>
      </c>
      <c r="H815" s="25"/>
      <c r="I815" s="25" t="s">
        <v>3946</v>
      </c>
      <c r="J815" s="25" t="s">
        <v>606</v>
      </c>
      <c r="K815" s="25" t="s">
        <v>4672</v>
      </c>
      <c r="L815" s="167"/>
      <c r="M815" s="167"/>
      <c r="N815" s="167">
        <v>6990</v>
      </c>
      <c r="O815" s="27" t="s">
        <v>4679</v>
      </c>
      <c r="P815" s="25" t="s">
        <v>4003</v>
      </c>
      <c r="Q815" s="25" t="s">
        <v>68</v>
      </c>
      <c r="R815" s="25" t="s">
        <v>2811</v>
      </c>
    </row>
    <row r="816" spans="1:18" x14ac:dyDescent="0.3">
      <c r="A816" s="20">
        <v>45890</v>
      </c>
      <c r="B816" s="32" t="s">
        <v>4680</v>
      </c>
      <c r="C816" s="25" t="s">
        <v>4681</v>
      </c>
      <c r="D816" s="25" t="s">
        <v>4682</v>
      </c>
      <c r="E816" s="44" t="s">
        <v>4683</v>
      </c>
      <c r="F816" s="28" t="s">
        <v>4684</v>
      </c>
      <c r="G816" s="25">
        <v>7</v>
      </c>
      <c r="H816" s="25">
        <v>3</v>
      </c>
      <c r="I816" s="25" t="s">
        <v>3946</v>
      </c>
      <c r="J816" s="25" t="s">
        <v>606</v>
      </c>
      <c r="K816" s="25" t="s">
        <v>4685</v>
      </c>
      <c r="L816" s="167"/>
      <c r="M816" s="167"/>
      <c r="N816" s="167">
        <v>1200</v>
      </c>
      <c r="O816" s="27" t="s">
        <v>4686</v>
      </c>
      <c r="P816" s="25" t="s">
        <v>3933</v>
      </c>
      <c r="Q816" s="25" t="s">
        <v>4687</v>
      </c>
      <c r="R816" s="25" t="s">
        <v>2811</v>
      </c>
    </row>
    <row r="817" spans="1:18" x14ac:dyDescent="0.3">
      <c r="A817" s="20">
        <v>45892</v>
      </c>
      <c r="B817" s="32" t="s">
        <v>4688</v>
      </c>
      <c r="C817" s="25" t="s">
        <v>4689</v>
      </c>
      <c r="D817" s="25" t="s">
        <v>4690</v>
      </c>
      <c r="E817" s="44" t="s">
        <v>4691</v>
      </c>
      <c r="F817" s="28" t="s">
        <v>4692</v>
      </c>
      <c r="G817" s="25">
        <v>5</v>
      </c>
      <c r="H817" s="25">
        <v>4</v>
      </c>
      <c r="I817" s="25" t="s">
        <v>3946</v>
      </c>
      <c r="J817" s="25" t="s">
        <v>4693</v>
      </c>
      <c r="K817" s="25" t="s">
        <v>4694</v>
      </c>
      <c r="L817" s="167"/>
      <c r="M817" s="167"/>
      <c r="N817" s="167">
        <v>1050</v>
      </c>
      <c r="O817" s="27" t="s">
        <v>4695</v>
      </c>
      <c r="P817" s="25" t="s">
        <v>624</v>
      </c>
      <c r="Q817" s="25" t="s">
        <v>68</v>
      </c>
      <c r="R817" s="25" t="s">
        <v>2811</v>
      </c>
    </row>
    <row r="818" spans="1:18" x14ac:dyDescent="0.3">
      <c r="A818" s="50">
        <v>45892</v>
      </c>
      <c r="B818" s="74" t="s">
        <v>4696</v>
      </c>
      <c r="C818" s="43" t="s">
        <v>4697</v>
      </c>
      <c r="D818" s="43" t="s">
        <v>4698</v>
      </c>
      <c r="E818" s="51" t="s">
        <v>4699</v>
      </c>
      <c r="F818" s="109" t="s">
        <v>4700</v>
      </c>
      <c r="G818" s="43">
        <v>8</v>
      </c>
      <c r="H818" s="43">
        <v>8</v>
      </c>
      <c r="I818" s="43" t="s">
        <v>3946</v>
      </c>
      <c r="J818" s="43" t="s">
        <v>606</v>
      </c>
      <c r="K818" s="43" t="s">
        <v>4457</v>
      </c>
      <c r="L818" s="192"/>
      <c r="M818" s="192"/>
      <c r="N818" s="192">
        <v>1000</v>
      </c>
      <c r="O818" s="53" t="s">
        <v>4701</v>
      </c>
      <c r="P818" s="43" t="s">
        <v>62</v>
      </c>
      <c r="Q818" s="43" t="s">
        <v>61</v>
      </c>
      <c r="R818" s="43" t="s">
        <v>4702</v>
      </c>
    </row>
    <row r="819" spans="1:18" x14ac:dyDescent="0.3">
      <c r="A819" s="20" t="s">
        <v>4703</v>
      </c>
      <c r="B819" s="32" t="s">
        <v>4704</v>
      </c>
      <c r="C819" s="25" t="s">
        <v>4705</v>
      </c>
      <c r="D819" s="25" t="s">
        <v>4706</v>
      </c>
      <c r="E819" s="44" t="s">
        <v>4707</v>
      </c>
      <c r="F819" s="28" t="s">
        <v>4708</v>
      </c>
      <c r="G819" s="25">
        <v>8</v>
      </c>
      <c r="H819" s="25">
        <v>3</v>
      </c>
      <c r="I819" s="25" t="s">
        <v>3946</v>
      </c>
      <c r="J819" s="25"/>
      <c r="K819" s="25"/>
      <c r="L819" s="167"/>
      <c r="M819" s="167"/>
      <c r="N819" s="167">
        <v>0</v>
      </c>
      <c r="O819" s="27" t="s">
        <v>4709</v>
      </c>
      <c r="P819" s="25" t="s">
        <v>62</v>
      </c>
      <c r="Q819" s="25" t="s">
        <v>216</v>
      </c>
      <c r="R819" s="180" t="s">
        <v>4710</v>
      </c>
    </row>
    <row r="820" spans="1:18" x14ac:dyDescent="0.3">
      <c r="A820" s="20">
        <v>45895</v>
      </c>
      <c r="B820" s="32" t="s">
        <v>4711</v>
      </c>
      <c r="C820" s="25" t="s">
        <v>4712</v>
      </c>
      <c r="D820" s="25" t="s">
        <v>4713</v>
      </c>
      <c r="E820" s="44" t="s">
        <v>4714</v>
      </c>
      <c r="F820" s="28" t="s">
        <v>4715</v>
      </c>
      <c r="G820" s="25">
        <v>6</v>
      </c>
      <c r="H820" s="25">
        <v>3</v>
      </c>
      <c r="I820" s="25" t="s">
        <v>3946</v>
      </c>
      <c r="J820" s="25" t="s">
        <v>606</v>
      </c>
      <c r="K820" s="25" t="s">
        <v>4716</v>
      </c>
      <c r="L820" s="167"/>
      <c r="M820" s="167"/>
      <c r="N820" s="167">
        <v>700</v>
      </c>
      <c r="O820" s="27" t="s">
        <v>4717</v>
      </c>
      <c r="P820" s="168" t="s">
        <v>4302</v>
      </c>
      <c r="Q820" s="25" t="s">
        <v>214</v>
      </c>
      <c r="R820" s="25" t="s">
        <v>4718</v>
      </c>
    </row>
    <row r="821" spans="1:18" x14ac:dyDescent="0.3">
      <c r="A821" s="20">
        <v>45895</v>
      </c>
      <c r="B821" s="32" t="s">
        <v>4719</v>
      </c>
      <c r="C821" s="25" t="s">
        <v>4720</v>
      </c>
      <c r="D821" s="25" t="s">
        <v>4721</v>
      </c>
      <c r="E821" s="44" t="s">
        <v>4722</v>
      </c>
      <c r="F821" s="28" t="s">
        <v>4723</v>
      </c>
      <c r="G821" s="58">
        <v>5</v>
      </c>
      <c r="H821" s="193">
        <v>3</v>
      </c>
      <c r="I821" s="38" t="s">
        <v>3946</v>
      </c>
      <c r="J821" s="38" t="s">
        <v>606</v>
      </c>
      <c r="K821" s="38" t="s">
        <v>4716</v>
      </c>
      <c r="L821" s="167"/>
      <c r="M821" s="167"/>
      <c r="N821" s="167">
        <v>600</v>
      </c>
      <c r="O821" s="49" t="s">
        <v>4724</v>
      </c>
      <c r="P821" s="35" t="s">
        <v>624</v>
      </c>
      <c r="Q821" s="25" t="s">
        <v>61</v>
      </c>
      <c r="R821" s="180" t="s">
        <v>4725</v>
      </c>
    </row>
    <row r="822" spans="1:18" x14ac:dyDescent="0.3">
      <c r="A822" s="20">
        <v>45895</v>
      </c>
      <c r="B822" s="32" t="s">
        <v>4726</v>
      </c>
      <c r="C822" s="25" t="s">
        <v>4727</v>
      </c>
      <c r="D822" s="25" t="s">
        <v>4728</v>
      </c>
      <c r="E822" s="29">
        <v>1150169199</v>
      </c>
      <c r="F822" s="25">
        <v>995524727</v>
      </c>
      <c r="G822" s="25">
        <v>8</v>
      </c>
      <c r="H822" s="58">
        <v>3</v>
      </c>
      <c r="I822" s="194" t="s">
        <v>3946</v>
      </c>
      <c r="J822" s="194" t="s">
        <v>606</v>
      </c>
      <c r="K822" s="194" t="s">
        <v>4665</v>
      </c>
      <c r="L822" s="167"/>
      <c r="M822" s="167"/>
      <c r="N822" s="167">
        <v>1500</v>
      </c>
      <c r="O822" s="27"/>
      <c r="P822" s="35" t="s">
        <v>62</v>
      </c>
      <c r="Q822" s="35" t="s">
        <v>4729</v>
      </c>
      <c r="R822" s="25" t="s">
        <v>2811</v>
      </c>
    </row>
    <row r="823" spans="1:18" x14ac:dyDescent="0.3">
      <c r="A823" s="20">
        <v>45896</v>
      </c>
      <c r="B823" s="32" t="s">
        <v>4730</v>
      </c>
      <c r="C823" s="25" t="s">
        <v>4731</v>
      </c>
      <c r="D823" s="25" t="s">
        <v>4732</v>
      </c>
      <c r="E823" s="44" t="s">
        <v>4733</v>
      </c>
      <c r="F823" s="28" t="s">
        <v>4734</v>
      </c>
      <c r="G823" s="25">
        <v>6</v>
      </c>
      <c r="H823" s="58">
        <v>3</v>
      </c>
      <c r="I823" s="58" t="s">
        <v>3946</v>
      </c>
      <c r="J823" s="58" t="s">
        <v>606</v>
      </c>
      <c r="K823" s="58" t="s">
        <v>4735</v>
      </c>
      <c r="L823" s="167"/>
      <c r="M823" s="167"/>
      <c r="N823" s="167">
        <v>250</v>
      </c>
      <c r="O823" s="27" t="s">
        <v>4736</v>
      </c>
      <c r="P823" s="35" t="s">
        <v>4003</v>
      </c>
      <c r="Q823" s="35" t="s">
        <v>4003</v>
      </c>
      <c r="R823" s="25" t="s">
        <v>4737</v>
      </c>
    </row>
    <row r="824" spans="1:18" x14ac:dyDescent="0.3">
      <c r="A824" s="20">
        <v>45896</v>
      </c>
      <c r="B824" s="32" t="s">
        <v>4738</v>
      </c>
      <c r="C824" s="25" t="s">
        <v>4739</v>
      </c>
      <c r="D824" s="25" t="s">
        <v>4740</v>
      </c>
      <c r="E824" s="44" t="s">
        <v>4741</v>
      </c>
      <c r="F824" s="28" t="s">
        <v>4742</v>
      </c>
      <c r="G824" s="25">
        <v>12</v>
      </c>
      <c r="H824" s="58">
        <v>10</v>
      </c>
      <c r="I824" s="58" t="s">
        <v>3946</v>
      </c>
      <c r="J824" s="58" t="s">
        <v>606</v>
      </c>
      <c r="K824" s="58" t="s">
        <v>4743</v>
      </c>
      <c r="L824" s="167"/>
      <c r="M824" s="167"/>
      <c r="N824" s="167">
        <v>3900</v>
      </c>
      <c r="O824" s="27" t="s">
        <v>4744</v>
      </c>
      <c r="P824" s="35" t="s">
        <v>4302</v>
      </c>
      <c r="Q824" s="35" t="s">
        <v>4302</v>
      </c>
      <c r="R824" s="180" t="s">
        <v>4745</v>
      </c>
    </row>
    <row r="825" spans="1:18" x14ac:dyDescent="0.3">
      <c r="A825" s="20">
        <v>45896</v>
      </c>
      <c r="B825" s="32" t="s">
        <v>4746</v>
      </c>
      <c r="C825" s="25" t="s">
        <v>4747</v>
      </c>
      <c r="D825" s="25" t="s">
        <v>4748</v>
      </c>
      <c r="E825" s="44" t="s">
        <v>4749</v>
      </c>
      <c r="F825" s="28" t="s">
        <v>4750</v>
      </c>
      <c r="G825" s="25">
        <v>6</v>
      </c>
      <c r="H825" s="43">
        <v>3</v>
      </c>
      <c r="I825" s="43"/>
      <c r="J825" s="43" t="s">
        <v>4751</v>
      </c>
      <c r="K825" s="43" t="s">
        <v>4752</v>
      </c>
      <c r="L825" s="167"/>
      <c r="M825" s="167"/>
      <c r="N825" s="167">
        <v>1050</v>
      </c>
      <c r="O825" s="27" t="s">
        <v>4753</v>
      </c>
      <c r="P825" s="35" t="s">
        <v>3948</v>
      </c>
      <c r="Q825" s="35" t="s">
        <v>62</v>
      </c>
      <c r="R825" s="25" t="s">
        <v>2811</v>
      </c>
    </row>
    <row r="826" spans="1:18" x14ac:dyDescent="0.3">
      <c r="A826" s="20"/>
      <c r="B826" s="32" t="s">
        <v>4754</v>
      </c>
      <c r="C826" s="25"/>
      <c r="D826" s="25"/>
      <c r="E826" s="44"/>
      <c r="F826" s="28"/>
      <c r="G826" s="25"/>
      <c r="H826" s="43"/>
      <c r="I826" s="43"/>
      <c r="J826" s="43"/>
      <c r="K826" s="43"/>
      <c r="L826" s="167"/>
      <c r="M826" s="167"/>
      <c r="N826" s="167"/>
      <c r="O826" s="27"/>
      <c r="P826" s="35"/>
      <c r="Q826" s="35"/>
      <c r="R826" s="25"/>
    </row>
    <row r="827" spans="1:18" x14ac:dyDescent="0.3">
      <c r="A827" s="20">
        <v>45896</v>
      </c>
      <c r="B827" s="32" t="s">
        <v>4755</v>
      </c>
      <c r="C827" s="25" t="s">
        <v>4756</v>
      </c>
      <c r="D827" s="25" t="s">
        <v>4757</v>
      </c>
      <c r="E827" s="44" t="s">
        <v>4758</v>
      </c>
      <c r="F827" s="28" t="s">
        <v>4759</v>
      </c>
      <c r="G827" s="25">
        <v>11</v>
      </c>
      <c r="H827" s="43">
        <v>8</v>
      </c>
      <c r="I827" s="43" t="s">
        <v>3946</v>
      </c>
      <c r="J827" s="43" t="s">
        <v>606</v>
      </c>
      <c r="K827" s="43" t="s">
        <v>4760</v>
      </c>
      <c r="L827" s="167"/>
      <c r="M827" s="167"/>
      <c r="N827" s="167">
        <v>3010</v>
      </c>
      <c r="O827" s="27" t="s">
        <v>4761</v>
      </c>
      <c r="P827" s="35" t="s">
        <v>3948</v>
      </c>
      <c r="Q827" s="35" t="s">
        <v>61</v>
      </c>
      <c r="R827" s="25" t="s">
        <v>2811</v>
      </c>
    </row>
    <row r="828" spans="1:18" x14ac:dyDescent="0.3">
      <c r="A828" s="20">
        <v>45898</v>
      </c>
      <c r="B828" s="32" t="s">
        <v>4762</v>
      </c>
      <c r="C828" s="25" t="s">
        <v>4763</v>
      </c>
      <c r="D828" s="25" t="s">
        <v>4764</v>
      </c>
      <c r="E828" s="44" t="s">
        <v>4765</v>
      </c>
      <c r="F828" s="28" t="s">
        <v>4766</v>
      </c>
      <c r="G828" s="25">
        <v>6</v>
      </c>
      <c r="H828" s="25">
        <v>3</v>
      </c>
      <c r="I828" s="25" t="s">
        <v>3946</v>
      </c>
      <c r="J828" s="25" t="s">
        <v>2970</v>
      </c>
      <c r="K828" s="25" t="s">
        <v>4767</v>
      </c>
      <c r="L828" s="167"/>
      <c r="M828" s="167"/>
      <c r="N828" s="167">
        <v>800</v>
      </c>
      <c r="O828" s="27" t="s">
        <v>4768</v>
      </c>
      <c r="P828" s="35" t="s">
        <v>624</v>
      </c>
      <c r="Q828" s="35" t="s">
        <v>68</v>
      </c>
      <c r="R828" s="25" t="s">
        <v>2811</v>
      </c>
    </row>
    <row r="829" spans="1:18" x14ac:dyDescent="0.3">
      <c r="A829" s="20">
        <v>45898</v>
      </c>
      <c r="B829" s="32" t="s">
        <v>4769</v>
      </c>
      <c r="C829" s="25" t="s">
        <v>4770</v>
      </c>
      <c r="D829" s="25" t="s">
        <v>4771</v>
      </c>
      <c r="E829" s="44" t="s">
        <v>4772</v>
      </c>
      <c r="F829" s="28" t="s">
        <v>4773</v>
      </c>
      <c r="G829" s="25">
        <v>6</v>
      </c>
      <c r="H829" s="25">
        <v>10</v>
      </c>
      <c r="I829" s="25" t="s">
        <v>3946</v>
      </c>
      <c r="J829" s="25"/>
      <c r="K829" s="25"/>
      <c r="L829" s="167"/>
      <c r="M829" s="167"/>
      <c r="N829" s="167">
        <v>0</v>
      </c>
      <c r="O829" s="27" t="s">
        <v>4774</v>
      </c>
      <c r="P829" s="25" t="s">
        <v>62</v>
      </c>
      <c r="Q829" s="25" t="s">
        <v>62</v>
      </c>
      <c r="R829" s="180" t="s">
        <v>4775</v>
      </c>
    </row>
    <row r="830" spans="1:18" x14ac:dyDescent="0.3">
      <c r="A830" s="20">
        <v>45899</v>
      </c>
      <c r="B830" s="32" t="s">
        <v>4776</v>
      </c>
      <c r="C830" s="25" t="s">
        <v>4777</v>
      </c>
      <c r="D830" s="25" t="s">
        <v>4778</v>
      </c>
      <c r="E830" s="44" t="s">
        <v>4779</v>
      </c>
      <c r="F830" s="28" t="s">
        <v>4780</v>
      </c>
      <c r="G830" s="25">
        <v>5</v>
      </c>
      <c r="H830" s="25">
        <v>3</v>
      </c>
      <c r="I830" s="25" t="s">
        <v>3946</v>
      </c>
      <c r="J830" s="25" t="s">
        <v>606</v>
      </c>
      <c r="K830" s="25" t="s">
        <v>4781</v>
      </c>
      <c r="L830" s="167"/>
      <c r="M830" s="167"/>
      <c r="N830" s="167">
        <v>200</v>
      </c>
      <c r="O830" s="27"/>
      <c r="P830" s="25" t="s">
        <v>4135</v>
      </c>
      <c r="Q830" s="25" t="s">
        <v>216</v>
      </c>
      <c r="R830" s="25" t="s">
        <v>4782</v>
      </c>
    </row>
    <row r="831" spans="1:18" x14ac:dyDescent="0.3">
      <c r="A831" s="195">
        <v>45902</v>
      </c>
      <c r="B831" s="63" t="s">
        <v>4783</v>
      </c>
      <c r="C831" s="196" t="s">
        <v>4784</v>
      </c>
      <c r="D831" s="196" t="s">
        <v>4785</v>
      </c>
      <c r="E831" s="197" t="s">
        <v>4786</v>
      </c>
      <c r="F831" s="197" t="s">
        <v>4787</v>
      </c>
      <c r="G831" s="198">
        <v>6</v>
      </c>
      <c r="H831" s="199">
        <v>2</v>
      </c>
      <c r="I831" s="196" t="s">
        <v>605</v>
      </c>
      <c r="J831" s="196" t="s">
        <v>606</v>
      </c>
      <c r="K831" s="196" t="s">
        <v>4781</v>
      </c>
      <c r="L831" s="200"/>
      <c r="M831" s="200"/>
      <c r="N831" s="200">
        <v>1000</v>
      </c>
      <c r="O831" s="201" t="s">
        <v>4788</v>
      </c>
      <c r="P831" s="196" t="s">
        <v>3948</v>
      </c>
      <c r="Q831" s="196" t="s">
        <v>69</v>
      </c>
      <c r="R831" s="196"/>
    </row>
    <row r="832" spans="1:18" x14ac:dyDescent="0.3">
      <c r="A832" s="195">
        <v>45902</v>
      </c>
      <c r="B832" s="63" t="s">
        <v>4789</v>
      </c>
      <c r="C832" s="196" t="s">
        <v>4790</v>
      </c>
      <c r="D832" s="196" t="s">
        <v>4791</v>
      </c>
      <c r="E832" s="197" t="s">
        <v>4792</v>
      </c>
      <c r="F832" s="197" t="s">
        <v>4793</v>
      </c>
      <c r="G832" s="199">
        <v>6</v>
      </c>
      <c r="H832" s="199">
        <v>3</v>
      </c>
      <c r="I832" s="196" t="s">
        <v>3946</v>
      </c>
      <c r="J832" s="196" t="s">
        <v>4794</v>
      </c>
      <c r="K832" s="196" t="s">
        <v>4795</v>
      </c>
      <c r="L832" s="200"/>
      <c r="M832" s="200"/>
      <c r="N832" s="202">
        <v>700</v>
      </c>
      <c r="O832" s="201" t="s">
        <v>4796</v>
      </c>
      <c r="P832" s="196" t="s">
        <v>4302</v>
      </c>
      <c r="Q832" s="196" t="s">
        <v>216</v>
      </c>
      <c r="R832" s="196"/>
    </row>
    <row r="833" spans="1:18" x14ac:dyDescent="0.3">
      <c r="A833" s="195">
        <v>45903</v>
      </c>
      <c r="B833" s="63" t="s">
        <v>4797</v>
      </c>
      <c r="C833" s="196" t="s">
        <v>4798</v>
      </c>
      <c r="D833" s="196" t="s">
        <v>4799</v>
      </c>
      <c r="E833" s="197" t="s">
        <v>4800</v>
      </c>
      <c r="F833" s="197" t="s">
        <v>4801</v>
      </c>
      <c r="G833" s="197" t="s">
        <v>1919</v>
      </c>
      <c r="H833" s="199">
        <v>3</v>
      </c>
      <c r="I833" s="196" t="s">
        <v>3946</v>
      </c>
      <c r="J833" s="196" t="s">
        <v>606</v>
      </c>
      <c r="K833" s="196" t="s">
        <v>4781</v>
      </c>
      <c r="L833" s="200"/>
      <c r="M833" s="200"/>
      <c r="N833" s="202">
        <v>250</v>
      </c>
      <c r="O833" s="201" t="s">
        <v>4802</v>
      </c>
      <c r="P833" s="196" t="s">
        <v>62</v>
      </c>
      <c r="Q833" s="196" t="s">
        <v>69</v>
      </c>
      <c r="R833" s="196"/>
    </row>
    <row r="834" spans="1:18" x14ac:dyDescent="0.3">
      <c r="A834" s="195">
        <v>45903</v>
      </c>
      <c r="B834" s="63" t="s">
        <v>4803</v>
      </c>
      <c r="C834" s="196" t="s">
        <v>4804</v>
      </c>
      <c r="D834" s="196" t="s">
        <v>4805</v>
      </c>
      <c r="E834" s="197" t="s">
        <v>4806</v>
      </c>
      <c r="F834" s="197" t="s">
        <v>4807</v>
      </c>
      <c r="G834" s="197" t="s">
        <v>1919</v>
      </c>
      <c r="H834" s="199">
        <v>5</v>
      </c>
      <c r="I834" s="196" t="s">
        <v>605</v>
      </c>
      <c r="J834" s="203" t="s">
        <v>4808</v>
      </c>
      <c r="K834" s="203" t="s">
        <v>4809</v>
      </c>
      <c r="L834" s="200"/>
      <c r="M834" s="200"/>
      <c r="N834" s="202">
        <v>1500</v>
      </c>
      <c r="O834" s="201" t="s">
        <v>4810</v>
      </c>
      <c r="P834" s="196" t="s">
        <v>4142</v>
      </c>
      <c r="Q834" s="196" t="s">
        <v>68</v>
      </c>
      <c r="R834" s="196"/>
    </row>
    <row r="835" spans="1:18" x14ac:dyDescent="0.3">
      <c r="A835" s="195">
        <v>45904</v>
      </c>
      <c r="B835" s="63" t="s">
        <v>4811</v>
      </c>
      <c r="C835" s="196" t="s">
        <v>4812</v>
      </c>
      <c r="D835" s="196" t="s">
        <v>4813</v>
      </c>
      <c r="E835" s="197" t="s">
        <v>4814</v>
      </c>
      <c r="F835" s="197" t="s">
        <v>4815</v>
      </c>
      <c r="G835" s="197" t="s">
        <v>1840</v>
      </c>
      <c r="H835" s="199">
        <v>4</v>
      </c>
      <c r="I835" s="196" t="s">
        <v>3946</v>
      </c>
      <c r="J835" s="196" t="s">
        <v>606</v>
      </c>
      <c r="K835" s="196" t="s">
        <v>4816</v>
      </c>
      <c r="L835" s="200"/>
      <c r="M835" s="200"/>
      <c r="N835" s="202">
        <v>1990</v>
      </c>
      <c r="O835" s="201" t="s">
        <v>4817</v>
      </c>
      <c r="P835" s="196" t="s">
        <v>4003</v>
      </c>
      <c r="Q835" s="196" t="s">
        <v>68</v>
      </c>
      <c r="R835" s="196"/>
    </row>
    <row r="836" spans="1:18" x14ac:dyDescent="0.3">
      <c r="A836" s="195">
        <v>45905</v>
      </c>
      <c r="B836" s="63" t="s">
        <v>4818</v>
      </c>
      <c r="C836" s="196" t="s">
        <v>4819</v>
      </c>
      <c r="D836" s="196" t="s">
        <v>4820</v>
      </c>
      <c r="E836" s="197" t="s">
        <v>4821</v>
      </c>
      <c r="F836" s="197" t="s">
        <v>4822</v>
      </c>
      <c r="G836" s="197" t="s">
        <v>1962</v>
      </c>
      <c r="H836" s="199">
        <v>10</v>
      </c>
      <c r="I836" s="196" t="s">
        <v>3946</v>
      </c>
      <c r="J836" s="196" t="s">
        <v>4794</v>
      </c>
      <c r="K836" s="196" t="s">
        <v>4823</v>
      </c>
      <c r="L836" s="200"/>
      <c r="M836" s="200"/>
      <c r="N836" s="202">
        <v>4350</v>
      </c>
      <c r="O836" s="201" t="s">
        <v>4824</v>
      </c>
      <c r="P836" s="196" t="s">
        <v>624</v>
      </c>
      <c r="Q836" s="196" t="s">
        <v>4302</v>
      </c>
      <c r="R836" s="196"/>
    </row>
    <row r="837" spans="1:18" x14ac:dyDescent="0.3">
      <c r="A837" s="195">
        <v>45905</v>
      </c>
      <c r="B837" s="63" t="s">
        <v>4825</v>
      </c>
      <c r="C837" s="196" t="s">
        <v>4826</v>
      </c>
      <c r="D837" s="196" t="s">
        <v>4827</v>
      </c>
      <c r="E837" s="197" t="s">
        <v>4828</v>
      </c>
      <c r="F837" s="197" t="s">
        <v>4829</v>
      </c>
      <c r="G837" s="197" t="s">
        <v>1840</v>
      </c>
      <c r="H837" s="199">
        <v>5</v>
      </c>
      <c r="I837" s="196" t="s">
        <v>3946</v>
      </c>
      <c r="J837" s="196" t="s">
        <v>606</v>
      </c>
      <c r="K837" s="196" t="s">
        <v>4830</v>
      </c>
      <c r="L837" s="200"/>
      <c r="M837" s="200"/>
      <c r="N837" s="202">
        <v>700</v>
      </c>
      <c r="O837" s="201" t="s">
        <v>4831</v>
      </c>
      <c r="P837" s="196" t="s">
        <v>4003</v>
      </c>
      <c r="Q837" s="196" t="s">
        <v>4003</v>
      </c>
      <c r="R837" s="204" t="s">
        <v>4832</v>
      </c>
    </row>
    <row r="838" spans="1:18" x14ac:dyDescent="0.3">
      <c r="A838" s="195">
        <v>45905</v>
      </c>
      <c r="B838" s="63" t="s">
        <v>4833</v>
      </c>
      <c r="C838" s="196" t="s">
        <v>4834</v>
      </c>
      <c r="D838" s="196" t="s">
        <v>4835</v>
      </c>
      <c r="E838" s="197" t="s">
        <v>4836</v>
      </c>
      <c r="F838" s="197" t="s">
        <v>4837</v>
      </c>
      <c r="G838" s="197" t="s">
        <v>2153</v>
      </c>
      <c r="H838" s="199">
        <v>5</v>
      </c>
      <c r="I838" s="196" t="s">
        <v>3946</v>
      </c>
      <c r="J838" s="196" t="s">
        <v>606</v>
      </c>
      <c r="K838" s="196" t="s">
        <v>4838</v>
      </c>
      <c r="L838" s="200"/>
      <c r="M838" s="200"/>
      <c r="N838" s="202">
        <v>2490</v>
      </c>
      <c r="O838" s="201" t="s">
        <v>4839</v>
      </c>
      <c r="P838" s="196" t="s">
        <v>624</v>
      </c>
      <c r="Q838" s="196" t="s">
        <v>624</v>
      </c>
      <c r="R838" s="204" t="s">
        <v>4840</v>
      </c>
    </row>
    <row r="839" spans="1:18" x14ac:dyDescent="0.3">
      <c r="A839" s="195">
        <v>45906</v>
      </c>
      <c r="B839" s="63" t="s">
        <v>4841</v>
      </c>
      <c r="C839" s="196" t="s">
        <v>4842</v>
      </c>
      <c r="D839" s="196" t="s">
        <v>4843</v>
      </c>
      <c r="E839" s="197" t="s">
        <v>4844</v>
      </c>
      <c r="F839" s="197" t="s">
        <v>4845</v>
      </c>
      <c r="G839" s="197" t="s">
        <v>1833</v>
      </c>
      <c r="H839" s="199">
        <v>4</v>
      </c>
      <c r="I839" s="196" t="s">
        <v>3946</v>
      </c>
      <c r="J839" s="196" t="s">
        <v>606</v>
      </c>
      <c r="K839" s="196" t="s">
        <v>4846</v>
      </c>
      <c r="L839" s="200"/>
      <c r="M839" s="200"/>
      <c r="N839" s="202">
        <v>1250</v>
      </c>
      <c r="O839" s="201" t="s">
        <v>4847</v>
      </c>
      <c r="P839" s="196" t="s">
        <v>624</v>
      </c>
      <c r="Q839" s="196" t="s">
        <v>61</v>
      </c>
      <c r="R839" s="196" t="s">
        <v>2811</v>
      </c>
    </row>
    <row r="840" spans="1:18" x14ac:dyDescent="0.3">
      <c r="A840" s="195">
        <v>45906</v>
      </c>
      <c r="B840" s="63" t="s">
        <v>4848</v>
      </c>
      <c r="C840" s="196" t="s">
        <v>4849</v>
      </c>
      <c r="D840" s="196" t="s">
        <v>4850</v>
      </c>
      <c r="E840" s="197" t="s">
        <v>4851</v>
      </c>
      <c r="F840" s="197" t="s">
        <v>4852</v>
      </c>
      <c r="G840" s="197" t="s">
        <v>1833</v>
      </c>
      <c r="H840" s="199">
        <v>3</v>
      </c>
      <c r="I840" s="196" t="s">
        <v>3946</v>
      </c>
      <c r="J840" s="196" t="s">
        <v>4794</v>
      </c>
      <c r="K840" s="196" t="s">
        <v>4853</v>
      </c>
      <c r="L840" s="200"/>
      <c r="M840" s="200"/>
      <c r="N840" s="202">
        <v>1050</v>
      </c>
      <c r="O840" s="201" t="s">
        <v>4854</v>
      </c>
      <c r="P840" s="196" t="s">
        <v>3948</v>
      </c>
      <c r="Q840" s="196" t="s">
        <v>4302</v>
      </c>
      <c r="R840" s="196" t="s">
        <v>2811</v>
      </c>
    </row>
    <row r="841" spans="1:18" x14ac:dyDescent="0.3">
      <c r="A841" s="195">
        <v>45910</v>
      </c>
      <c r="B841" s="63" t="s">
        <v>4855</v>
      </c>
      <c r="C841" s="196" t="s">
        <v>4856</v>
      </c>
      <c r="D841" s="196" t="s">
        <v>4857</v>
      </c>
      <c r="E841" s="197" t="s">
        <v>4858</v>
      </c>
      <c r="F841" s="197" t="s">
        <v>4859</v>
      </c>
      <c r="G841" s="197" t="s">
        <v>1833</v>
      </c>
      <c r="H841" s="199">
        <v>6</v>
      </c>
      <c r="I841" s="196" t="s">
        <v>3946</v>
      </c>
      <c r="J841" s="196" t="s">
        <v>4794</v>
      </c>
      <c r="K841" s="196" t="s">
        <v>4860</v>
      </c>
      <c r="L841" s="200"/>
      <c r="M841" s="200"/>
      <c r="N841" s="202">
        <v>2990</v>
      </c>
      <c r="O841" s="201" t="s">
        <v>4861</v>
      </c>
      <c r="P841" s="196" t="s">
        <v>3948</v>
      </c>
      <c r="Q841" s="196" t="s">
        <v>68</v>
      </c>
      <c r="R841" s="196" t="s">
        <v>2811</v>
      </c>
    </row>
    <row r="842" spans="1:18" x14ac:dyDescent="0.3">
      <c r="A842" s="195">
        <v>45910</v>
      </c>
      <c r="B842" s="63" t="s">
        <v>4862</v>
      </c>
      <c r="C842" s="196" t="s">
        <v>4863</v>
      </c>
      <c r="D842" s="196" t="s">
        <v>4864</v>
      </c>
      <c r="E842" s="197" t="s">
        <v>4865</v>
      </c>
      <c r="F842" s="197" t="s">
        <v>4866</v>
      </c>
      <c r="G842" s="197" t="s">
        <v>1840</v>
      </c>
      <c r="H842" s="199">
        <v>3</v>
      </c>
      <c r="I842" s="196" t="s">
        <v>3946</v>
      </c>
      <c r="J842" s="196" t="s">
        <v>4794</v>
      </c>
      <c r="K842" s="196" t="s">
        <v>4867</v>
      </c>
      <c r="L842" s="200"/>
      <c r="M842" s="200"/>
      <c r="N842" s="202">
        <v>750</v>
      </c>
      <c r="O842" s="201" t="s">
        <v>4868</v>
      </c>
      <c r="P842" s="196" t="s">
        <v>4003</v>
      </c>
      <c r="Q842" s="196" t="s">
        <v>4003</v>
      </c>
      <c r="R842" s="196" t="s">
        <v>2811</v>
      </c>
    </row>
    <row r="843" spans="1:18" x14ac:dyDescent="0.3">
      <c r="A843" s="195">
        <v>45910</v>
      </c>
      <c r="B843" s="63" t="s">
        <v>4869</v>
      </c>
      <c r="C843" s="196" t="s">
        <v>4870</v>
      </c>
      <c r="D843" s="196" t="s">
        <v>4871</v>
      </c>
      <c r="E843" s="197" t="s">
        <v>4872</v>
      </c>
      <c r="F843" s="197" t="s">
        <v>4873</v>
      </c>
      <c r="G843" s="197" t="s">
        <v>4874</v>
      </c>
      <c r="H843" s="199">
        <v>15</v>
      </c>
      <c r="I843" s="196" t="s">
        <v>3946</v>
      </c>
      <c r="J843" s="196" t="s">
        <v>4794</v>
      </c>
      <c r="K843" s="196" t="s">
        <v>4875</v>
      </c>
      <c r="L843" s="200"/>
      <c r="M843" s="200"/>
      <c r="N843" s="202">
        <v>5340</v>
      </c>
      <c r="O843" s="201" t="s">
        <v>4876</v>
      </c>
      <c r="P843" s="196" t="s">
        <v>3948</v>
      </c>
      <c r="Q843" s="196" t="s">
        <v>61</v>
      </c>
      <c r="R843" s="196" t="s">
        <v>2811</v>
      </c>
    </row>
    <row r="844" spans="1:18" x14ac:dyDescent="0.3">
      <c r="A844" s="195">
        <v>45911</v>
      </c>
      <c r="B844" s="63" t="s">
        <v>4877</v>
      </c>
      <c r="C844" s="196" t="s">
        <v>4878</v>
      </c>
      <c r="D844" s="196" t="s">
        <v>4879</v>
      </c>
      <c r="E844" s="197" t="s">
        <v>4880</v>
      </c>
      <c r="F844" s="197" t="s">
        <v>4881</v>
      </c>
      <c r="G844" s="197" t="s">
        <v>1826</v>
      </c>
      <c r="H844" s="199">
        <v>12</v>
      </c>
      <c r="I844" s="196" t="s">
        <v>3946</v>
      </c>
      <c r="J844" s="196" t="s">
        <v>4794</v>
      </c>
      <c r="K844" s="196" t="s">
        <v>3981</v>
      </c>
      <c r="L844" s="200"/>
      <c r="M844" s="200"/>
      <c r="N844" s="202">
        <v>2990</v>
      </c>
      <c r="O844" s="201"/>
      <c r="P844" s="196" t="s">
        <v>624</v>
      </c>
      <c r="Q844" s="196" t="s">
        <v>61</v>
      </c>
      <c r="R844" s="196" t="s">
        <v>2811</v>
      </c>
    </row>
    <row r="845" spans="1:18" x14ac:dyDescent="0.3">
      <c r="A845" s="195">
        <v>45911</v>
      </c>
      <c r="B845" s="63" t="s">
        <v>4882</v>
      </c>
      <c r="C845" s="196" t="s">
        <v>4883</v>
      </c>
      <c r="D845" s="196" t="s">
        <v>4884</v>
      </c>
      <c r="E845" s="197" t="s">
        <v>4885</v>
      </c>
      <c r="F845" s="197" t="s">
        <v>4886</v>
      </c>
      <c r="G845" s="197" t="s">
        <v>1919</v>
      </c>
      <c r="H845" s="199">
        <v>4</v>
      </c>
      <c r="I845" s="196" t="s">
        <v>3946</v>
      </c>
      <c r="J845" s="196" t="s">
        <v>4794</v>
      </c>
      <c r="K845" s="196" t="s">
        <v>4887</v>
      </c>
      <c r="L845" s="200"/>
      <c r="M845" s="200"/>
      <c r="N845" s="202">
        <v>1050</v>
      </c>
      <c r="O845" s="201" t="s">
        <v>4888</v>
      </c>
      <c r="P845" s="196" t="s">
        <v>4302</v>
      </c>
      <c r="Q845" s="196" t="s">
        <v>61</v>
      </c>
      <c r="R845" s="196" t="s">
        <v>2811</v>
      </c>
    </row>
    <row r="846" spans="1:18" x14ac:dyDescent="0.3">
      <c r="A846" s="195">
        <v>45911</v>
      </c>
      <c r="B846" s="63" t="s">
        <v>4889</v>
      </c>
      <c r="C846" s="196" t="s">
        <v>4890</v>
      </c>
      <c r="D846" s="196" t="s">
        <v>4891</v>
      </c>
      <c r="E846" s="197" t="s">
        <v>4892</v>
      </c>
      <c r="F846" s="197" t="s">
        <v>4893</v>
      </c>
      <c r="G846" s="197" t="s">
        <v>1833</v>
      </c>
      <c r="H846" s="199">
        <v>10</v>
      </c>
      <c r="I846" s="196" t="s">
        <v>3946</v>
      </c>
      <c r="J846" s="196" t="s">
        <v>606</v>
      </c>
      <c r="K846" s="196" t="s">
        <v>4894</v>
      </c>
      <c r="L846" s="200"/>
      <c r="M846" s="200"/>
      <c r="N846" s="202">
        <v>5990</v>
      </c>
      <c r="O846" s="201" t="s">
        <v>4895</v>
      </c>
      <c r="P846" s="196" t="s">
        <v>4003</v>
      </c>
      <c r="Q846" s="196" t="s">
        <v>69</v>
      </c>
      <c r="R846" s="196" t="s">
        <v>2811</v>
      </c>
    </row>
    <row r="847" spans="1:18" x14ac:dyDescent="0.3">
      <c r="A847" s="195">
        <v>45912</v>
      </c>
      <c r="B847" s="63" t="s">
        <v>4896</v>
      </c>
      <c r="C847" s="196" t="s">
        <v>4897</v>
      </c>
      <c r="D847" s="196" t="s">
        <v>4898</v>
      </c>
      <c r="E847" s="197" t="s">
        <v>4899</v>
      </c>
      <c r="F847" s="197" t="s">
        <v>4900</v>
      </c>
      <c r="G847" s="197" t="s">
        <v>1833</v>
      </c>
      <c r="H847" s="199">
        <v>5</v>
      </c>
      <c r="I847" s="196" t="s">
        <v>3946</v>
      </c>
      <c r="J847" s="196" t="s">
        <v>4794</v>
      </c>
      <c r="K847" s="196" t="s">
        <v>4901</v>
      </c>
      <c r="L847" s="200"/>
      <c r="M847" s="200"/>
      <c r="N847" s="202">
        <v>1000</v>
      </c>
      <c r="O847" s="201" t="s">
        <v>4902</v>
      </c>
      <c r="P847" s="196" t="s">
        <v>624</v>
      </c>
      <c r="Q847" s="196" t="s">
        <v>62</v>
      </c>
      <c r="R847" s="196" t="s">
        <v>2811</v>
      </c>
    </row>
    <row r="848" spans="1:18" x14ac:dyDescent="0.3">
      <c r="A848" s="195">
        <v>45912</v>
      </c>
      <c r="B848" s="63" t="s">
        <v>4903</v>
      </c>
      <c r="C848" s="196" t="s">
        <v>4904</v>
      </c>
      <c r="D848" s="196" t="s">
        <v>4905</v>
      </c>
      <c r="E848" s="197" t="s">
        <v>4906</v>
      </c>
      <c r="F848" s="197" t="s">
        <v>4907</v>
      </c>
      <c r="G848" s="197" t="s">
        <v>1962</v>
      </c>
      <c r="H848" s="199">
        <v>8</v>
      </c>
      <c r="I848" s="196" t="s">
        <v>3946</v>
      </c>
      <c r="J848" s="196" t="s">
        <v>539</v>
      </c>
      <c r="K848" s="196" t="s">
        <v>4908</v>
      </c>
      <c r="L848" s="200"/>
      <c r="M848" s="200"/>
      <c r="N848" s="202">
        <v>2990</v>
      </c>
      <c r="O848" s="201" t="s">
        <v>4909</v>
      </c>
      <c r="P848" s="196" t="s">
        <v>3933</v>
      </c>
      <c r="Q848" s="196" t="s">
        <v>61</v>
      </c>
      <c r="R848" s="196" t="s">
        <v>2811</v>
      </c>
    </row>
    <row r="849" spans="1:18" x14ac:dyDescent="0.3">
      <c r="A849" s="195">
        <v>45913</v>
      </c>
      <c r="B849" s="63" t="s">
        <v>4910</v>
      </c>
      <c r="C849" s="196" t="s">
        <v>4911</v>
      </c>
      <c r="D849" s="196" t="s">
        <v>4912</v>
      </c>
      <c r="E849" s="197" t="s">
        <v>4913</v>
      </c>
      <c r="F849" s="197" t="s">
        <v>4914</v>
      </c>
      <c r="G849" s="197" t="s">
        <v>1826</v>
      </c>
      <c r="H849" s="199">
        <v>6</v>
      </c>
      <c r="I849" s="196" t="s">
        <v>3946</v>
      </c>
      <c r="J849" s="196" t="s">
        <v>606</v>
      </c>
      <c r="K849" s="196" t="s">
        <v>4915</v>
      </c>
      <c r="L849" s="200"/>
      <c r="M849" s="200"/>
      <c r="N849" s="202">
        <v>400</v>
      </c>
      <c r="O849" s="201" t="s">
        <v>4916</v>
      </c>
      <c r="P849" s="196" t="s">
        <v>62</v>
      </c>
      <c r="Q849" s="196" t="s">
        <v>68</v>
      </c>
      <c r="R849" s="205" t="s">
        <v>4917</v>
      </c>
    </row>
    <row r="850" spans="1:18" x14ac:dyDescent="0.3">
      <c r="A850" s="195">
        <v>45913</v>
      </c>
      <c r="B850" s="63" t="s">
        <v>4918</v>
      </c>
      <c r="C850" s="196" t="s">
        <v>4919</v>
      </c>
      <c r="D850" s="196" t="s">
        <v>4920</v>
      </c>
      <c r="E850" s="197" t="s">
        <v>4921</v>
      </c>
      <c r="F850" s="197" t="s">
        <v>4922</v>
      </c>
      <c r="G850" s="197" t="s">
        <v>1833</v>
      </c>
      <c r="H850" s="199">
        <v>3</v>
      </c>
      <c r="I850" s="206" t="s">
        <v>605</v>
      </c>
      <c r="J850" s="207" t="s">
        <v>4457</v>
      </c>
      <c r="K850" s="208" t="s">
        <v>4923</v>
      </c>
      <c r="L850" s="200"/>
      <c r="M850" s="200"/>
      <c r="N850" s="202">
        <v>500</v>
      </c>
      <c r="O850" s="201" t="s">
        <v>4924</v>
      </c>
      <c r="P850" s="196" t="s">
        <v>4003</v>
      </c>
      <c r="Q850" s="196" t="s">
        <v>62</v>
      </c>
      <c r="R850" s="209" t="s">
        <v>4925</v>
      </c>
    </row>
    <row r="851" spans="1:18" x14ac:dyDescent="0.3">
      <c r="A851" s="195">
        <v>45913</v>
      </c>
      <c r="B851" s="63" t="s">
        <v>4926</v>
      </c>
      <c r="C851" s="196" t="s">
        <v>4927</v>
      </c>
      <c r="D851" s="196" t="s">
        <v>4928</v>
      </c>
      <c r="E851" s="197" t="s">
        <v>4929</v>
      </c>
      <c r="F851" s="197" t="s">
        <v>4930</v>
      </c>
      <c r="G851" s="197" t="s">
        <v>1826</v>
      </c>
      <c r="H851" s="199">
        <v>3</v>
      </c>
      <c r="I851" s="196" t="s">
        <v>605</v>
      </c>
      <c r="J851" s="196" t="s">
        <v>606</v>
      </c>
      <c r="K851" s="196" t="s">
        <v>4931</v>
      </c>
      <c r="L851" s="200"/>
      <c r="M851" s="200"/>
      <c r="N851" s="202">
        <v>600</v>
      </c>
      <c r="O851" s="201" t="s">
        <v>4932</v>
      </c>
      <c r="P851" s="196" t="s">
        <v>3933</v>
      </c>
      <c r="Q851" s="196" t="s">
        <v>68</v>
      </c>
      <c r="R851" s="196" t="s">
        <v>4933</v>
      </c>
    </row>
    <row r="852" spans="1:18" x14ac:dyDescent="0.3">
      <c r="A852" s="195">
        <v>45914</v>
      </c>
      <c r="B852" s="63" t="s">
        <v>4934</v>
      </c>
      <c r="C852" s="196" t="s">
        <v>4935</v>
      </c>
      <c r="D852" s="196" t="s">
        <v>4936</v>
      </c>
      <c r="E852" s="197" t="s">
        <v>4937</v>
      </c>
      <c r="F852" s="197" t="s">
        <v>4938</v>
      </c>
      <c r="G852" s="197" t="s">
        <v>1833</v>
      </c>
      <c r="H852" s="199">
        <v>3</v>
      </c>
      <c r="I852" s="196" t="s">
        <v>605</v>
      </c>
      <c r="J852" s="196" t="s">
        <v>606</v>
      </c>
      <c r="K852" s="196" t="s">
        <v>4939</v>
      </c>
      <c r="L852" s="200"/>
      <c r="M852" s="200"/>
      <c r="N852" s="202">
        <v>700</v>
      </c>
      <c r="O852" s="201" t="s">
        <v>4940</v>
      </c>
      <c r="P852" s="196" t="s">
        <v>62</v>
      </c>
      <c r="Q852" s="196" t="s">
        <v>61</v>
      </c>
      <c r="R852" s="196" t="s">
        <v>2811</v>
      </c>
    </row>
    <row r="853" spans="1:18" x14ac:dyDescent="0.3">
      <c r="A853" s="210">
        <v>45919</v>
      </c>
      <c r="B853" s="211" t="s">
        <v>4941</v>
      </c>
      <c r="C853" s="205" t="s">
        <v>4942</v>
      </c>
      <c r="D853" s="205" t="s">
        <v>4943</v>
      </c>
      <c r="E853" s="212" t="s">
        <v>4944</v>
      </c>
      <c r="F853" s="212" t="s">
        <v>4945</v>
      </c>
      <c r="G853" s="212" t="s">
        <v>1840</v>
      </c>
      <c r="H853" s="213">
        <v>4</v>
      </c>
      <c r="I853" s="205" t="s">
        <v>3946</v>
      </c>
      <c r="J853" s="205" t="s">
        <v>4946</v>
      </c>
      <c r="K853" s="205" t="s">
        <v>4947</v>
      </c>
      <c r="L853" s="214"/>
      <c r="M853" s="214"/>
      <c r="N853" s="215">
        <v>1000</v>
      </c>
      <c r="O853" s="216" t="s">
        <v>4948</v>
      </c>
      <c r="P853" s="205" t="s">
        <v>62</v>
      </c>
      <c r="Q853" s="205" t="s">
        <v>62</v>
      </c>
      <c r="R853" s="205" t="s">
        <v>2811</v>
      </c>
    </row>
    <row r="854" spans="1:18" x14ac:dyDescent="0.3">
      <c r="A854" s="195">
        <v>45919</v>
      </c>
      <c r="B854" s="63" t="s">
        <v>4949</v>
      </c>
      <c r="C854" s="196" t="s">
        <v>4950</v>
      </c>
      <c r="D854" s="196" t="s">
        <v>4951</v>
      </c>
      <c r="E854" s="197" t="s">
        <v>4952</v>
      </c>
      <c r="F854" s="197" t="s">
        <v>4953</v>
      </c>
      <c r="G854" s="197" t="s">
        <v>1840</v>
      </c>
      <c r="H854" s="199">
        <v>10</v>
      </c>
      <c r="I854" s="196" t="s">
        <v>605</v>
      </c>
      <c r="J854" s="196" t="s">
        <v>4954</v>
      </c>
      <c r="K854" s="196" t="s">
        <v>4955</v>
      </c>
      <c r="L854" s="200"/>
      <c r="M854" s="200"/>
      <c r="N854" s="202">
        <v>3990</v>
      </c>
      <c r="O854" s="201" t="s">
        <v>4956</v>
      </c>
      <c r="P854" s="196" t="s">
        <v>3948</v>
      </c>
      <c r="Q854" s="196" t="s">
        <v>214</v>
      </c>
      <c r="R854" s="217" t="s">
        <v>4957</v>
      </c>
    </row>
    <row r="855" spans="1:18" x14ac:dyDescent="0.3">
      <c r="A855" s="195">
        <v>45919</v>
      </c>
      <c r="B855" s="63" t="s">
        <v>4958</v>
      </c>
      <c r="C855" s="196" t="s">
        <v>4959</v>
      </c>
      <c r="D855" s="196" t="s">
        <v>4960</v>
      </c>
      <c r="E855" s="197" t="s">
        <v>4961</v>
      </c>
      <c r="F855" s="197" t="s">
        <v>4962</v>
      </c>
      <c r="G855" s="197" t="s">
        <v>1962</v>
      </c>
      <c r="H855" s="199">
        <v>8</v>
      </c>
      <c r="I855" s="196" t="s">
        <v>3946</v>
      </c>
      <c r="J855" s="196" t="s">
        <v>606</v>
      </c>
      <c r="K855" s="196" t="s">
        <v>4963</v>
      </c>
      <c r="L855" s="200"/>
      <c r="M855" s="200"/>
      <c r="N855" s="202">
        <v>2990</v>
      </c>
      <c r="O855" s="201" t="s">
        <v>4964</v>
      </c>
      <c r="P855" s="196" t="s">
        <v>4003</v>
      </c>
      <c r="Q855" s="196" t="s">
        <v>68</v>
      </c>
      <c r="R855" s="196" t="s">
        <v>4965</v>
      </c>
    </row>
    <row r="856" spans="1:18" x14ac:dyDescent="0.3">
      <c r="A856" s="195">
        <v>45919</v>
      </c>
      <c r="B856" s="63" t="s">
        <v>4966</v>
      </c>
      <c r="C856" s="196" t="s">
        <v>4967</v>
      </c>
      <c r="D856" s="196" t="s">
        <v>4968</v>
      </c>
      <c r="E856" s="197" t="s">
        <v>4969</v>
      </c>
      <c r="F856" s="197" t="s">
        <v>4970</v>
      </c>
      <c r="G856" s="197" t="s">
        <v>1833</v>
      </c>
      <c r="H856" s="199">
        <v>3</v>
      </c>
      <c r="I856" s="196" t="s">
        <v>3946</v>
      </c>
      <c r="J856" s="196" t="s">
        <v>606</v>
      </c>
      <c r="K856" s="196" t="s">
        <v>4971</v>
      </c>
      <c r="L856" s="200"/>
      <c r="M856" s="200"/>
      <c r="N856" s="202">
        <v>700</v>
      </c>
      <c r="O856" s="201" t="s">
        <v>4972</v>
      </c>
      <c r="P856" s="196" t="s">
        <v>4302</v>
      </c>
      <c r="Q856" s="196" t="s">
        <v>61</v>
      </c>
      <c r="R856" s="196" t="s">
        <v>2811</v>
      </c>
    </row>
    <row r="857" spans="1:18" x14ac:dyDescent="0.3">
      <c r="A857" s="195">
        <v>45919</v>
      </c>
      <c r="B857" s="63" t="s">
        <v>4973</v>
      </c>
      <c r="C857" s="196" t="s">
        <v>4974</v>
      </c>
      <c r="D857" s="196" t="s">
        <v>4975</v>
      </c>
      <c r="E857" s="197" t="s">
        <v>4976</v>
      </c>
      <c r="F857" s="197" t="s">
        <v>4977</v>
      </c>
      <c r="G857" s="197" t="s">
        <v>1926</v>
      </c>
      <c r="H857" s="199">
        <v>3</v>
      </c>
      <c r="I857" s="196" t="s">
        <v>3946</v>
      </c>
      <c r="J857" s="196" t="s">
        <v>606</v>
      </c>
      <c r="K857" s="196" t="s">
        <v>4978</v>
      </c>
      <c r="L857" s="200"/>
      <c r="M857" s="200"/>
      <c r="N857" s="202">
        <v>700</v>
      </c>
      <c r="O857" s="201" t="s">
        <v>4979</v>
      </c>
      <c r="P857" s="196" t="s">
        <v>4142</v>
      </c>
      <c r="Q857" s="196" t="s">
        <v>68</v>
      </c>
      <c r="R857" s="196" t="s">
        <v>2811</v>
      </c>
    </row>
    <row r="858" spans="1:18" x14ac:dyDescent="0.3">
      <c r="A858" s="195">
        <v>45919</v>
      </c>
      <c r="B858" s="63" t="s">
        <v>4980</v>
      </c>
      <c r="C858" s="196" t="s">
        <v>4981</v>
      </c>
      <c r="D858" s="196" t="s">
        <v>4982</v>
      </c>
      <c r="E858" s="197" t="s">
        <v>4983</v>
      </c>
      <c r="F858" s="197" t="s">
        <v>4984</v>
      </c>
      <c r="G858" s="197" t="s">
        <v>1833</v>
      </c>
      <c r="H858" s="199">
        <v>3</v>
      </c>
      <c r="I858" s="196" t="s">
        <v>3946</v>
      </c>
      <c r="J858" s="196" t="s">
        <v>606</v>
      </c>
      <c r="K858" s="196" t="s">
        <v>4985</v>
      </c>
      <c r="L858" s="200"/>
      <c r="M858" s="200"/>
      <c r="N858" s="218">
        <v>1150</v>
      </c>
      <c r="O858" s="219" t="s">
        <v>4986</v>
      </c>
      <c r="P858" s="196" t="s">
        <v>4302</v>
      </c>
      <c r="Q858" s="196" t="s">
        <v>61</v>
      </c>
      <c r="R858" s="196" t="s">
        <v>2811</v>
      </c>
    </row>
    <row r="859" spans="1:18" x14ac:dyDescent="0.3">
      <c r="A859" s="195">
        <v>45920</v>
      </c>
      <c r="B859" s="63" t="s">
        <v>4987</v>
      </c>
      <c r="C859" s="196" t="s">
        <v>2446</v>
      </c>
      <c r="D859" s="196" t="s">
        <v>4988</v>
      </c>
      <c r="E859" s="197" t="s">
        <v>4989</v>
      </c>
      <c r="F859" s="197" t="s">
        <v>4990</v>
      </c>
      <c r="G859" s="197" t="s">
        <v>2153</v>
      </c>
      <c r="H859" s="199" t="s">
        <v>4991</v>
      </c>
      <c r="I859" s="196" t="s">
        <v>605</v>
      </c>
      <c r="J859" s="207" t="s">
        <v>4992</v>
      </c>
      <c r="K859" s="226" t="s">
        <v>4993</v>
      </c>
      <c r="L859" s="200"/>
      <c r="M859" s="200"/>
      <c r="N859" s="202">
        <v>8990</v>
      </c>
      <c r="O859" s="201" t="s">
        <v>4994</v>
      </c>
      <c r="P859" s="196" t="s">
        <v>3948</v>
      </c>
      <c r="Q859" s="196" t="s">
        <v>214</v>
      </c>
      <c r="R859" s="196" t="s">
        <v>2811</v>
      </c>
    </row>
    <row r="860" spans="1:18" x14ac:dyDescent="0.3">
      <c r="A860" s="195">
        <v>45920</v>
      </c>
      <c r="B860" s="63" t="s">
        <v>4995</v>
      </c>
      <c r="C860" s="196" t="s">
        <v>4996</v>
      </c>
      <c r="D860" s="196" t="s">
        <v>4997</v>
      </c>
      <c r="E860" s="197" t="s">
        <v>4998</v>
      </c>
      <c r="F860" s="197" t="s">
        <v>4999</v>
      </c>
      <c r="G860" s="197" t="s">
        <v>1833</v>
      </c>
      <c r="H860" s="199">
        <v>5</v>
      </c>
      <c r="I860" s="196" t="s">
        <v>3946</v>
      </c>
      <c r="J860" s="196" t="s">
        <v>606</v>
      </c>
      <c r="K860" s="196" t="s">
        <v>5000</v>
      </c>
      <c r="L860" s="200"/>
      <c r="M860" s="200"/>
      <c r="N860" s="202">
        <v>1990</v>
      </c>
      <c r="O860" s="201" t="s">
        <v>5001</v>
      </c>
      <c r="P860" s="196" t="s">
        <v>624</v>
      </c>
      <c r="Q860" s="196" t="s">
        <v>61</v>
      </c>
      <c r="R860" s="196" t="s">
        <v>2811</v>
      </c>
    </row>
    <row r="861" spans="1:18" x14ac:dyDescent="0.3">
      <c r="A861" s="195">
        <v>45920</v>
      </c>
      <c r="B861" s="63" t="s">
        <v>5002</v>
      </c>
      <c r="C861" s="196" t="s">
        <v>5003</v>
      </c>
      <c r="D861" s="196" t="s">
        <v>5004</v>
      </c>
      <c r="E861" s="197" t="s">
        <v>5005</v>
      </c>
      <c r="F861" s="197" t="s">
        <v>5006</v>
      </c>
      <c r="G861" s="197" t="s">
        <v>1926</v>
      </c>
      <c r="H861" s="199">
        <v>10</v>
      </c>
      <c r="I861" s="196" t="s">
        <v>3946</v>
      </c>
      <c r="J861" s="196" t="s">
        <v>4794</v>
      </c>
      <c r="K861" s="196" t="s">
        <v>5007</v>
      </c>
      <c r="L861" s="200"/>
      <c r="M861" s="200"/>
      <c r="N861" s="202">
        <v>700</v>
      </c>
      <c r="O861" s="201" t="s">
        <v>5008</v>
      </c>
      <c r="P861" s="196" t="s">
        <v>3948</v>
      </c>
      <c r="Q861" s="196" t="s">
        <v>62</v>
      </c>
      <c r="R861" s="196" t="s">
        <v>5009</v>
      </c>
    </row>
    <row r="862" spans="1:18" x14ac:dyDescent="0.3">
      <c r="A862" s="195">
        <v>45920</v>
      </c>
      <c r="B862" s="63" t="s">
        <v>5010</v>
      </c>
      <c r="C862" s="196" t="s">
        <v>5011</v>
      </c>
      <c r="D862" s="196" t="s">
        <v>5012</v>
      </c>
      <c r="E862" s="197" t="s">
        <v>5013</v>
      </c>
      <c r="F862" s="197" t="s">
        <v>5014</v>
      </c>
      <c r="G862" s="197" t="s">
        <v>1833</v>
      </c>
      <c r="H862" s="199">
        <v>3</v>
      </c>
      <c r="I862" s="196" t="s">
        <v>605</v>
      </c>
      <c r="J862" s="196" t="s">
        <v>4794</v>
      </c>
      <c r="K862" s="196" t="s">
        <v>5015</v>
      </c>
      <c r="L862" s="200"/>
      <c r="M862" s="200"/>
      <c r="N862" s="202">
        <v>1000</v>
      </c>
      <c r="O862" s="201" t="s">
        <v>5016</v>
      </c>
      <c r="P862" s="196" t="s">
        <v>4302</v>
      </c>
      <c r="Q862" s="196" t="s">
        <v>68</v>
      </c>
      <c r="R862" s="196" t="s">
        <v>2811</v>
      </c>
    </row>
    <row r="863" spans="1:18" x14ac:dyDescent="0.3">
      <c r="A863" s="195">
        <v>45924</v>
      </c>
      <c r="B863" s="63" t="s">
        <v>5017</v>
      </c>
      <c r="C863" s="196" t="s">
        <v>5018</v>
      </c>
      <c r="D863" s="196" t="s">
        <v>5019</v>
      </c>
      <c r="E863" s="197" t="s">
        <v>5020</v>
      </c>
      <c r="F863" s="197" t="s">
        <v>5021</v>
      </c>
      <c r="G863" s="197" t="s">
        <v>1826</v>
      </c>
      <c r="H863" s="199">
        <v>4</v>
      </c>
      <c r="I863" s="196" t="s">
        <v>3946</v>
      </c>
      <c r="J863" s="196" t="s">
        <v>606</v>
      </c>
      <c r="K863" s="196" t="s">
        <v>4915</v>
      </c>
      <c r="L863" s="200"/>
      <c r="M863" s="200"/>
      <c r="N863" s="202">
        <v>800</v>
      </c>
      <c r="O863" s="27" t="s">
        <v>5022</v>
      </c>
      <c r="P863" s="196" t="s">
        <v>3948</v>
      </c>
      <c r="Q863" s="196" t="s">
        <v>4003</v>
      </c>
      <c r="R863" s="220" t="s">
        <v>5023</v>
      </c>
    </row>
    <row r="864" spans="1:18" x14ac:dyDescent="0.3">
      <c r="A864" s="195">
        <v>45924</v>
      </c>
      <c r="B864" s="63" t="s">
        <v>5024</v>
      </c>
      <c r="C864" s="196" t="s">
        <v>5025</v>
      </c>
      <c r="D864" s="196" t="s">
        <v>5026</v>
      </c>
      <c r="E864" s="197" t="s">
        <v>5027</v>
      </c>
      <c r="F864" s="197" t="s">
        <v>5028</v>
      </c>
      <c r="G864" s="197" t="s">
        <v>2223</v>
      </c>
      <c r="H864" s="199">
        <v>15</v>
      </c>
      <c r="I864" s="196" t="s">
        <v>3946</v>
      </c>
      <c r="J864" s="196" t="s">
        <v>4794</v>
      </c>
      <c r="K864" s="196" t="s">
        <v>5029</v>
      </c>
      <c r="L864" s="200"/>
      <c r="M864" s="200"/>
      <c r="N864" s="202">
        <v>700</v>
      </c>
      <c r="O864" s="27" t="s">
        <v>5030</v>
      </c>
      <c r="P864" s="196" t="s">
        <v>62</v>
      </c>
      <c r="Q864" s="196" t="s">
        <v>68</v>
      </c>
      <c r="R864" s="221" t="s">
        <v>5031</v>
      </c>
    </row>
    <row r="865" spans="1:19" x14ac:dyDescent="0.3">
      <c r="A865" s="195">
        <v>45924</v>
      </c>
      <c r="B865" s="63" t="s">
        <v>5032</v>
      </c>
      <c r="C865" s="196" t="s">
        <v>5033</v>
      </c>
      <c r="D865" s="196" t="s">
        <v>5034</v>
      </c>
      <c r="E865" s="197" t="s">
        <v>5035</v>
      </c>
      <c r="F865" s="197" t="s">
        <v>5036</v>
      </c>
      <c r="G865" s="197" t="s">
        <v>1840</v>
      </c>
      <c r="H865" s="222">
        <v>3</v>
      </c>
      <c r="I865" s="223" t="s">
        <v>3946</v>
      </c>
      <c r="J865" s="224" t="s">
        <v>5037</v>
      </c>
      <c r="K865" s="223" t="s">
        <v>4651</v>
      </c>
      <c r="L865" s="200"/>
      <c r="M865" s="200"/>
      <c r="N865" s="202">
        <v>500</v>
      </c>
      <c r="O865" s="49" t="s">
        <v>5038</v>
      </c>
      <c r="P865" s="225" t="s">
        <v>3948</v>
      </c>
      <c r="Q865" s="196" t="s">
        <v>216</v>
      </c>
      <c r="R865" s="221" t="s">
        <v>5039</v>
      </c>
    </row>
    <row r="866" spans="1:19" x14ac:dyDescent="0.3">
      <c r="A866" s="195">
        <v>45925</v>
      </c>
      <c r="B866" s="63" t="s">
        <v>5040</v>
      </c>
      <c r="C866" s="196" t="s">
        <v>5041</v>
      </c>
      <c r="D866" s="196" t="s">
        <v>5042</v>
      </c>
      <c r="E866" s="197" t="s">
        <v>5043</v>
      </c>
      <c r="F866" s="197" t="s">
        <v>5044</v>
      </c>
      <c r="G866" s="197" t="s">
        <v>1926</v>
      </c>
      <c r="H866" s="199">
        <v>3</v>
      </c>
      <c r="I866" s="196" t="s">
        <v>605</v>
      </c>
      <c r="J866" s="223" t="s">
        <v>606</v>
      </c>
      <c r="K866" s="228" t="s">
        <v>4270</v>
      </c>
      <c r="L866" s="200"/>
      <c r="M866" s="200"/>
      <c r="N866" s="202">
        <v>700</v>
      </c>
      <c r="O866" s="27" t="s">
        <v>5045</v>
      </c>
      <c r="P866" s="225" t="s">
        <v>624</v>
      </c>
      <c r="Q866" s="225" t="s">
        <v>68</v>
      </c>
      <c r="R866" s="196" t="s">
        <v>5046</v>
      </c>
      <c r="S866" s="196" t="s">
        <v>2811</v>
      </c>
    </row>
    <row r="867" spans="1:19" x14ac:dyDescent="0.3">
      <c r="A867" s="195">
        <v>45925</v>
      </c>
      <c r="B867" s="63" t="s">
        <v>5047</v>
      </c>
      <c r="C867" s="196" t="s">
        <v>5048</v>
      </c>
      <c r="D867" s="196" t="s">
        <v>5049</v>
      </c>
      <c r="E867" s="197" t="s">
        <v>5050</v>
      </c>
      <c r="F867" s="197" t="s">
        <v>5051</v>
      </c>
      <c r="G867" s="197" t="s">
        <v>1833</v>
      </c>
      <c r="H867" s="199">
        <v>5</v>
      </c>
      <c r="I867" s="196" t="s">
        <v>3946</v>
      </c>
      <c r="J867" s="223" t="s">
        <v>5052</v>
      </c>
      <c r="K867" s="228" t="s">
        <v>5053</v>
      </c>
      <c r="L867" s="200"/>
      <c r="M867" s="200"/>
      <c r="N867" s="202">
        <v>1150</v>
      </c>
      <c r="O867" s="27" t="s">
        <v>5054</v>
      </c>
      <c r="P867" s="225" t="s">
        <v>3933</v>
      </c>
      <c r="Q867" s="225" t="s">
        <v>61</v>
      </c>
      <c r="R867" s="196" t="s">
        <v>5055</v>
      </c>
      <c r="S867" s="196" t="s">
        <v>2811</v>
      </c>
    </row>
    <row r="868" spans="1:19" x14ac:dyDescent="0.3">
      <c r="A868" s="195">
        <v>45925</v>
      </c>
      <c r="B868" s="63" t="s">
        <v>5056</v>
      </c>
      <c r="C868" s="196" t="s">
        <v>5057</v>
      </c>
      <c r="D868" s="196" t="s">
        <v>5058</v>
      </c>
      <c r="E868" s="197" t="s">
        <v>5059</v>
      </c>
      <c r="F868" s="197" t="s">
        <v>5060</v>
      </c>
      <c r="G868" s="197" t="s">
        <v>1919</v>
      </c>
      <c r="H868" s="199">
        <v>2</v>
      </c>
      <c r="I868" s="196" t="s">
        <v>3946</v>
      </c>
      <c r="J868" s="229" t="s">
        <v>606</v>
      </c>
      <c r="K868" s="229" t="s">
        <v>4270</v>
      </c>
      <c r="L868" s="200"/>
      <c r="M868" s="200"/>
      <c r="N868" s="202">
        <v>700</v>
      </c>
      <c r="O868" s="27" t="s">
        <v>5061</v>
      </c>
      <c r="P868" s="225" t="s">
        <v>4003</v>
      </c>
      <c r="Q868" s="225" t="s">
        <v>214</v>
      </c>
      <c r="R868" s="196" t="s">
        <v>5046</v>
      </c>
      <c r="S868" s="196" t="s">
        <v>2811</v>
      </c>
    </row>
    <row r="869" spans="1:19" x14ac:dyDescent="0.3">
      <c r="A869" s="195">
        <v>45927</v>
      </c>
      <c r="B869" s="63" t="s">
        <v>5062</v>
      </c>
      <c r="C869" s="196" t="s">
        <v>5063</v>
      </c>
      <c r="D869" s="196" t="s">
        <v>5064</v>
      </c>
      <c r="E869" s="197" t="s">
        <v>5065</v>
      </c>
      <c r="F869" s="197" t="s">
        <v>5066</v>
      </c>
      <c r="G869" s="197" t="s">
        <v>1833</v>
      </c>
      <c r="H869" s="199">
        <v>4</v>
      </c>
      <c r="I869" s="196" t="s">
        <v>3946</v>
      </c>
      <c r="J869" s="223" t="s">
        <v>606</v>
      </c>
      <c r="K869" s="223" t="s">
        <v>4270</v>
      </c>
      <c r="L869" s="200"/>
      <c r="M869" s="200"/>
      <c r="N869" s="202">
        <v>700</v>
      </c>
      <c r="O869" s="27" t="s">
        <v>5067</v>
      </c>
      <c r="P869" s="225" t="s">
        <v>4003</v>
      </c>
      <c r="Q869" s="225" t="s">
        <v>61</v>
      </c>
      <c r="R869" s="196" t="s">
        <v>5068</v>
      </c>
      <c r="S869" s="196" t="s">
        <v>2811</v>
      </c>
    </row>
    <row r="870" spans="1:19" x14ac:dyDescent="0.3">
      <c r="A870" s="20">
        <v>45932</v>
      </c>
      <c r="B870" s="25" t="s">
        <v>5069</v>
      </c>
      <c r="C870" s="25" t="s">
        <v>5070</v>
      </c>
      <c r="D870" s="25" t="s">
        <v>5071</v>
      </c>
      <c r="E870" s="44" t="s">
        <v>5072</v>
      </c>
      <c r="F870" s="44" t="s">
        <v>5073</v>
      </c>
      <c r="G870" s="44" t="s">
        <v>1919</v>
      </c>
      <c r="H870" s="29">
        <v>3</v>
      </c>
      <c r="I870" s="25" t="s">
        <v>3946</v>
      </c>
      <c r="J870" s="25" t="s">
        <v>606</v>
      </c>
      <c r="K870" s="25" t="s">
        <v>5074</v>
      </c>
      <c r="L870" s="167"/>
      <c r="M870" s="167"/>
      <c r="N870" s="118">
        <v>700</v>
      </c>
      <c r="O870" s="230" t="s">
        <v>5075</v>
      </c>
      <c r="P870" s="231" t="s">
        <v>69</v>
      </c>
      <c r="Q870" s="231" t="s">
        <v>68</v>
      </c>
      <c r="R870" s="232" t="s">
        <v>2811</v>
      </c>
    </row>
    <row r="871" spans="1:19" x14ac:dyDescent="0.3">
      <c r="A871" s="20">
        <v>45934</v>
      </c>
      <c r="B871" s="32" t="s">
        <v>5076</v>
      </c>
      <c r="C871" s="25" t="s">
        <v>5077</v>
      </c>
      <c r="D871" s="25" t="s">
        <v>5078</v>
      </c>
      <c r="E871" s="44" t="s">
        <v>5079</v>
      </c>
      <c r="F871" s="44" t="s">
        <v>5080</v>
      </c>
      <c r="G871" s="44" t="s">
        <v>1833</v>
      </c>
      <c r="H871" s="29">
        <v>3</v>
      </c>
      <c r="I871" s="25" t="s">
        <v>3946</v>
      </c>
      <c r="J871" s="25" t="s">
        <v>4794</v>
      </c>
      <c r="K871" s="25" t="s">
        <v>5081</v>
      </c>
      <c r="L871" s="167"/>
      <c r="M871" s="167"/>
      <c r="N871" s="118">
        <v>1300</v>
      </c>
      <c r="O871" s="27" t="s">
        <v>5082</v>
      </c>
      <c r="P871" s="25" t="s">
        <v>62</v>
      </c>
      <c r="Q871" s="25" t="s">
        <v>61</v>
      </c>
      <c r="R871" s="233" t="s">
        <v>2811</v>
      </c>
    </row>
    <row r="872" spans="1:19" x14ac:dyDescent="0.3">
      <c r="A872" s="20">
        <v>45934</v>
      </c>
      <c r="B872" s="32" t="s">
        <v>5083</v>
      </c>
      <c r="C872" s="25" t="s">
        <v>5084</v>
      </c>
      <c r="D872" s="25" t="s">
        <v>5085</v>
      </c>
      <c r="E872" s="44" t="s">
        <v>5086</v>
      </c>
      <c r="F872" s="44" t="s">
        <v>5087</v>
      </c>
      <c r="G872" s="44" t="s">
        <v>1833</v>
      </c>
      <c r="H872" s="29">
        <v>8</v>
      </c>
      <c r="I872" s="25" t="s">
        <v>3946</v>
      </c>
      <c r="J872" s="25" t="s">
        <v>606</v>
      </c>
      <c r="K872" s="25" t="s">
        <v>4517</v>
      </c>
      <c r="L872" s="167"/>
      <c r="M872" s="167"/>
      <c r="N872" s="118">
        <v>2990</v>
      </c>
      <c r="O872" s="27" t="s">
        <v>5088</v>
      </c>
      <c r="P872" s="25" t="s">
        <v>62</v>
      </c>
      <c r="Q872" s="25" t="s">
        <v>61</v>
      </c>
      <c r="R872" s="233" t="s">
        <v>2811</v>
      </c>
    </row>
    <row r="873" spans="1:19" x14ac:dyDescent="0.3">
      <c r="A873" s="20">
        <v>45934</v>
      </c>
      <c r="B873" s="32" t="s">
        <v>5089</v>
      </c>
      <c r="C873" s="43" t="s">
        <v>5090</v>
      </c>
      <c r="D873" s="43" t="s">
        <v>5091</v>
      </c>
      <c r="E873" s="51" t="s">
        <v>5092</v>
      </c>
      <c r="F873" s="51" t="s">
        <v>5093</v>
      </c>
      <c r="G873" s="51" t="s">
        <v>1833</v>
      </c>
      <c r="H873" s="52">
        <v>3</v>
      </c>
      <c r="I873" s="43" t="s">
        <v>3946</v>
      </c>
      <c r="J873" s="43" t="s">
        <v>4794</v>
      </c>
      <c r="K873" s="43" t="s">
        <v>5094</v>
      </c>
      <c r="L873" s="167"/>
      <c r="M873" s="167"/>
      <c r="N873" s="118">
        <v>900</v>
      </c>
      <c r="O873" s="53" t="s">
        <v>5095</v>
      </c>
      <c r="P873" s="43" t="s">
        <v>3933</v>
      </c>
      <c r="Q873" s="43" t="s">
        <v>61</v>
      </c>
      <c r="R873" s="132" t="s">
        <v>2811</v>
      </c>
    </row>
    <row r="874" spans="1:19" x14ac:dyDescent="0.3">
      <c r="A874" s="20">
        <v>45934</v>
      </c>
      <c r="B874" s="32" t="s">
        <v>5096</v>
      </c>
      <c r="C874" s="25" t="s">
        <v>997</v>
      </c>
      <c r="D874" s="25" t="s">
        <v>5097</v>
      </c>
      <c r="E874" s="44" t="s">
        <v>5098</v>
      </c>
      <c r="F874" s="44" t="s">
        <v>5099</v>
      </c>
      <c r="G874" s="44" t="s">
        <v>1833</v>
      </c>
      <c r="H874" s="29">
        <v>5</v>
      </c>
      <c r="I874" s="25" t="s">
        <v>3946</v>
      </c>
      <c r="J874" s="25" t="s">
        <v>606</v>
      </c>
      <c r="K874" s="25" t="s">
        <v>5100</v>
      </c>
      <c r="L874" s="167"/>
      <c r="M874" s="167"/>
      <c r="N874" s="118">
        <v>1990</v>
      </c>
      <c r="O874" s="27" t="s">
        <v>5101</v>
      </c>
      <c r="P874" s="25" t="s">
        <v>3948</v>
      </c>
      <c r="Q874" s="25" t="s">
        <v>214</v>
      </c>
      <c r="R874" s="233" t="s">
        <v>2811</v>
      </c>
    </row>
    <row r="875" spans="1:19" x14ac:dyDescent="0.3">
      <c r="A875" s="20">
        <v>45938</v>
      </c>
      <c r="B875" s="32" t="s">
        <v>5102</v>
      </c>
      <c r="C875" s="25" t="s">
        <v>5103</v>
      </c>
      <c r="D875" s="25" t="s">
        <v>5104</v>
      </c>
      <c r="E875" s="44" t="s">
        <v>5105</v>
      </c>
      <c r="F875" s="44" t="s">
        <v>5106</v>
      </c>
      <c r="G875" s="44" t="s">
        <v>1926</v>
      </c>
      <c r="H875" s="29">
        <v>2</v>
      </c>
      <c r="I875" s="25" t="s">
        <v>3946</v>
      </c>
      <c r="J875" s="25" t="s">
        <v>606</v>
      </c>
      <c r="K875" s="25" t="s">
        <v>4651</v>
      </c>
      <c r="L875" s="167"/>
      <c r="M875" s="167"/>
      <c r="N875" s="118">
        <v>700</v>
      </c>
      <c r="O875" s="27" t="s">
        <v>5107</v>
      </c>
      <c r="P875" s="25" t="s">
        <v>624</v>
      </c>
      <c r="Q875" s="25" t="s">
        <v>62</v>
      </c>
      <c r="R875" s="233" t="s">
        <v>2811</v>
      </c>
    </row>
    <row r="876" spans="1:19" x14ac:dyDescent="0.3">
      <c r="A876" s="20">
        <v>45938</v>
      </c>
      <c r="B876" s="32" t="s">
        <v>5108</v>
      </c>
      <c r="C876" s="25" t="s">
        <v>5109</v>
      </c>
      <c r="D876" s="25" t="s">
        <v>5110</v>
      </c>
      <c r="E876" s="44" t="s">
        <v>5111</v>
      </c>
      <c r="F876" s="44" t="s">
        <v>5112</v>
      </c>
      <c r="G876" s="44" t="s">
        <v>1919</v>
      </c>
      <c r="H876" s="29">
        <v>3</v>
      </c>
      <c r="I876" s="25" t="s">
        <v>3946</v>
      </c>
      <c r="J876" s="25" t="s">
        <v>4946</v>
      </c>
      <c r="K876" s="25" t="s">
        <v>5113</v>
      </c>
      <c r="L876" s="167"/>
      <c r="M876" s="167"/>
      <c r="N876" s="118">
        <v>1000</v>
      </c>
      <c r="O876" s="27" t="s">
        <v>5114</v>
      </c>
      <c r="P876" s="25" t="s">
        <v>4003</v>
      </c>
      <c r="Q876" s="25" t="s">
        <v>69</v>
      </c>
      <c r="R876" s="233" t="s">
        <v>2811</v>
      </c>
    </row>
    <row r="877" spans="1:19" x14ac:dyDescent="0.3">
      <c r="A877" s="20">
        <v>45939</v>
      </c>
      <c r="B877" s="32" t="s">
        <v>5115</v>
      </c>
      <c r="C877" s="25" t="s">
        <v>5116</v>
      </c>
      <c r="D877" s="25" t="s">
        <v>5117</v>
      </c>
      <c r="E877" s="44" t="s">
        <v>5118</v>
      </c>
      <c r="F877" s="44" t="s">
        <v>5119</v>
      </c>
      <c r="G877" s="44" t="s">
        <v>1919</v>
      </c>
      <c r="H877" s="29">
        <v>3</v>
      </c>
      <c r="I877" s="25" t="s">
        <v>3946</v>
      </c>
      <c r="J877" s="25" t="s">
        <v>606</v>
      </c>
      <c r="K877" s="25" t="s">
        <v>5120</v>
      </c>
      <c r="L877" s="167"/>
      <c r="M877" s="167"/>
      <c r="N877" s="118">
        <v>790</v>
      </c>
      <c r="O877" s="27" t="s">
        <v>5121</v>
      </c>
      <c r="P877" s="25" t="s">
        <v>3948</v>
      </c>
      <c r="Q877" s="25" t="s">
        <v>214</v>
      </c>
      <c r="R877" s="233" t="s">
        <v>5122</v>
      </c>
    </row>
    <row r="878" spans="1:19" x14ac:dyDescent="0.3">
      <c r="A878" s="20">
        <v>45939</v>
      </c>
      <c r="B878" s="32" t="s">
        <v>5123</v>
      </c>
      <c r="C878" s="25" t="s">
        <v>5124</v>
      </c>
      <c r="D878" s="25" t="s">
        <v>5125</v>
      </c>
      <c r="E878" s="44" t="s">
        <v>5126</v>
      </c>
      <c r="F878" s="44" t="s">
        <v>5127</v>
      </c>
      <c r="G878" s="44" t="s">
        <v>1840</v>
      </c>
      <c r="H878" s="29">
        <v>4</v>
      </c>
      <c r="I878" s="25" t="s">
        <v>3946</v>
      </c>
      <c r="J878" s="25" t="s">
        <v>4148</v>
      </c>
      <c r="K878" s="25" t="s">
        <v>5128</v>
      </c>
      <c r="L878" s="167"/>
      <c r="M878" s="167"/>
      <c r="N878" s="118">
        <v>1500</v>
      </c>
      <c r="O878" s="27" t="s">
        <v>5129</v>
      </c>
      <c r="P878" s="25" t="s">
        <v>624</v>
      </c>
      <c r="Q878" s="25" t="s">
        <v>61</v>
      </c>
      <c r="R878" s="233" t="s">
        <v>2811</v>
      </c>
    </row>
    <row r="879" spans="1:19" x14ac:dyDescent="0.3">
      <c r="A879" s="20">
        <v>45939</v>
      </c>
      <c r="B879" s="32" t="s">
        <v>5130</v>
      </c>
      <c r="C879" s="25" t="s">
        <v>5131</v>
      </c>
      <c r="D879" s="25" t="s">
        <v>5132</v>
      </c>
      <c r="E879" s="44" t="s">
        <v>5133</v>
      </c>
      <c r="F879" s="44" t="s">
        <v>5134</v>
      </c>
      <c r="G879" s="44" t="s">
        <v>1826</v>
      </c>
      <c r="H879" s="29">
        <v>7</v>
      </c>
      <c r="I879" s="25" t="s">
        <v>3946</v>
      </c>
      <c r="J879" s="25" t="s">
        <v>606</v>
      </c>
      <c r="K879" s="25" t="s">
        <v>4651</v>
      </c>
      <c r="L879" s="167"/>
      <c r="M879" s="167"/>
      <c r="N879" s="118">
        <v>1000</v>
      </c>
      <c r="O879" s="27" t="s">
        <v>5135</v>
      </c>
      <c r="P879" s="25" t="s">
        <v>4003</v>
      </c>
      <c r="Q879" s="25" t="s">
        <v>4003</v>
      </c>
      <c r="R879" s="233" t="s">
        <v>5136</v>
      </c>
    </row>
    <row r="880" spans="1:19" x14ac:dyDescent="0.3">
      <c r="A880" s="234">
        <v>45939</v>
      </c>
      <c r="B880" s="32" t="s">
        <v>5137</v>
      </c>
      <c r="C880" s="32" t="s">
        <v>5138</v>
      </c>
      <c r="D880" s="32" t="s">
        <v>5139</v>
      </c>
      <c r="E880" s="44" t="s">
        <v>5140</v>
      </c>
      <c r="F880" s="44" t="s">
        <v>5141</v>
      </c>
      <c r="G880" s="44" t="s">
        <v>1840</v>
      </c>
      <c r="H880" s="29">
        <v>5</v>
      </c>
      <c r="I880" s="32" t="s">
        <v>3946</v>
      </c>
      <c r="J880" s="32" t="s">
        <v>4794</v>
      </c>
      <c r="K880" s="32" t="s">
        <v>5142</v>
      </c>
      <c r="L880" s="167"/>
      <c r="M880" s="167"/>
      <c r="N880" s="118">
        <v>1000</v>
      </c>
      <c r="O880" s="235" t="s">
        <v>5143</v>
      </c>
      <c r="P880" s="32" t="s">
        <v>5144</v>
      </c>
      <c r="Q880" s="32" t="s">
        <v>61</v>
      </c>
      <c r="R880" s="233" t="s">
        <v>5145</v>
      </c>
    </row>
    <row r="881" spans="1:18" x14ac:dyDescent="0.3">
      <c r="A881" s="234">
        <v>45940</v>
      </c>
      <c r="B881" s="32" t="s">
        <v>5146</v>
      </c>
      <c r="C881" s="32" t="s">
        <v>5147</v>
      </c>
      <c r="D881" s="32" t="s">
        <v>5148</v>
      </c>
      <c r="E881" s="44" t="s">
        <v>5149</v>
      </c>
      <c r="F881" s="44" t="s">
        <v>5150</v>
      </c>
      <c r="G881" s="44" t="s">
        <v>1919</v>
      </c>
      <c r="H881" s="29">
        <v>5</v>
      </c>
      <c r="I881" s="32" t="s">
        <v>3946</v>
      </c>
      <c r="J881" s="32" t="s">
        <v>606</v>
      </c>
      <c r="K881" s="32" t="s">
        <v>5081</v>
      </c>
      <c r="L881" s="167"/>
      <c r="M881" s="167"/>
      <c r="N881" s="118">
        <v>1990</v>
      </c>
      <c r="O881" s="235" t="s">
        <v>5151</v>
      </c>
      <c r="P881" s="32" t="s">
        <v>3948</v>
      </c>
      <c r="Q881" s="32" t="s">
        <v>69</v>
      </c>
      <c r="R881" s="233" t="s">
        <v>2811</v>
      </c>
    </row>
    <row r="882" spans="1:18" x14ac:dyDescent="0.3">
      <c r="A882" s="234">
        <v>45941</v>
      </c>
      <c r="B882" s="32" t="s">
        <v>5152</v>
      </c>
      <c r="C882" s="32" t="s">
        <v>5153</v>
      </c>
      <c r="D882" s="32" t="s">
        <v>5154</v>
      </c>
      <c r="E882" s="44" t="s">
        <v>5155</v>
      </c>
      <c r="F882" s="44" t="s">
        <v>5156</v>
      </c>
      <c r="G882" s="44" t="s">
        <v>2153</v>
      </c>
      <c r="H882" s="29">
        <v>5</v>
      </c>
      <c r="I882" s="32" t="s">
        <v>3946</v>
      </c>
      <c r="J882" s="32" t="s">
        <v>4794</v>
      </c>
      <c r="K882" s="32" t="s">
        <v>5157</v>
      </c>
      <c r="L882" s="167"/>
      <c r="M882" s="167"/>
      <c r="N882" s="118">
        <v>2990</v>
      </c>
      <c r="O882" s="235" t="s">
        <v>5158</v>
      </c>
      <c r="P882" s="32" t="s">
        <v>62</v>
      </c>
      <c r="Q882" s="32" t="s">
        <v>214</v>
      </c>
      <c r="R882" s="233" t="s">
        <v>2811</v>
      </c>
    </row>
    <row r="883" spans="1:18" x14ac:dyDescent="0.3">
      <c r="A883" s="234">
        <v>45945</v>
      </c>
      <c r="B883" s="32" t="s">
        <v>5159</v>
      </c>
      <c r="C883" s="32" t="s">
        <v>5160</v>
      </c>
      <c r="D883" s="32" t="s">
        <v>5161</v>
      </c>
      <c r="E883" s="44" t="s">
        <v>5162</v>
      </c>
      <c r="F883" s="44" t="s">
        <v>5163</v>
      </c>
      <c r="G883" s="44" t="s">
        <v>1833</v>
      </c>
      <c r="H883" s="29">
        <v>5</v>
      </c>
      <c r="I883" s="32" t="s">
        <v>3946</v>
      </c>
      <c r="J883" s="32" t="s">
        <v>4148</v>
      </c>
      <c r="K883" s="32" t="s">
        <v>5164</v>
      </c>
      <c r="L883" s="167"/>
      <c r="M883" s="167"/>
      <c r="N883" s="118">
        <v>1000</v>
      </c>
      <c r="O883" s="235" t="s">
        <v>5165</v>
      </c>
      <c r="P883" s="32" t="s">
        <v>4003</v>
      </c>
      <c r="Q883" s="32" t="s">
        <v>4003</v>
      </c>
      <c r="R883" s="29" t="s">
        <v>5166</v>
      </c>
    </row>
    <row r="884" spans="1:18" x14ac:dyDescent="0.3">
      <c r="A884" s="234">
        <v>45946</v>
      </c>
      <c r="B884" s="32" t="s">
        <v>5167</v>
      </c>
      <c r="C884" s="32" t="s">
        <v>5168</v>
      </c>
      <c r="D884" s="32" t="s">
        <v>5169</v>
      </c>
      <c r="E884" s="44" t="s">
        <v>5170</v>
      </c>
      <c r="F884" s="44" t="s">
        <v>5171</v>
      </c>
      <c r="G884" s="44" t="s">
        <v>1826</v>
      </c>
      <c r="H884" s="29">
        <v>5</v>
      </c>
      <c r="I884" s="32" t="s">
        <v>3946</v>
      </c>
      <c r="J884" s="32"/>
      <c r="K884" s="32"/>
      <c r="L884" s="167"/>
      <c r="M884" s="167"/>
      <c r="N884" s="118">
        <v>0</v>
      </c>
      <c r="O884" s="235" t="s">
        <v>5172</v>
      </c>
      <c r="P884" s="32"/>
      <c r="Q884" s="32"/>
      <c r="R884" s="29" t="s">
        <v>5173</v>
      </c>
    </row>
    <row r="885" spans="1:18" x14ac:dyDescent="0.3">
      <c r="A885" s="234">
        <v>45946</v>
      </c>
      <c r="B885" s="32" t="s">
        <v>5174</v>
      </c>
      <c r="C885" s="32" t="s">
        <v>5175</v>
      </c>
      <c r="D885" s="32" t="s">
        <v>5176</v>
      </c>
      <c r="E885" s="44" t="s">
        <v>5177</v>
      </c>
      <c r="F885" s="44" t="s">
        <v>5178</v>
      </c>
      <c r="G885" s="44" t="s">
        <v>1840</v>
      </c>
      <c r="H885" s="29">
        <v>7</v>
      </c>
      <c r="I885" s="32" t="s">
        <v>3946</v>
      </c>
      <c r="J885" s="32" t="s">
        <v>606</v>
      </c>
      <c r="K885" s="32" t="s">
        <v>5179</v>
      </c>
      <c r="L885" s="167"/>
      <c r="M885" s="167"/>
      <c r="N885" s="118">
        <v>1800</v>
      </c>
      <c r="O885" s="235" t="s">
        <v>5180</v>
      </c>
      <c r="P885" s="32" t="s">
        <v>3948</v>
      </c>
      <c r="Q885" s="32" t="s">
        <v>5181</v>
      </c>
      <c r="R885" s="29" t="s">
        <v>5182</v>
      </c>
    </row>
    <row r="886" spans="1:18" x14ac:dyDescent="0.3">
      <c r="A886" s="234">
        <v>45947</v>
      </c>
      <c r="B886" s="32" t="s">
        <v>5183</v>
      </c>
      <c r="C886" s="32" t="s">
        <v>5184</v>
      </c>
      <c r="D886" s="32" t="s">
        <v>5185</v>
      </c>
      <c r="E886" s="44" t="s">
        <v>5186</v>
      </c>
      <c r="F886" s="44" t="s">
        <v>5187</v>
      </c>
      <c r="G886" s="44" t="s">
        <v>1826</v>
      </c>
      <c r="H886" s="29">
        <v>5</v>
      </c>
      <c r="I886" s="32" t="s">
        <v>3946</v>
      </c>
      <c r="J886" s="32" t="s">
        <v>606</v>
      </c>
      <c r="K886" s="32" t="s">
        <v>5188</v>
      </c>
      <c r="L886" s="167"/>
      <c r="M886" s="167"/>
      <c r="N886" s="118">
        <v>4590</v>
      </c>
      <c r="O886" s="235" t="s">
        <v>5189</v>
      </c>
      <c r="P886" s="32" t="s">
        <v>4003</v>
      </c>
      <c r="Q886" s="32" t="s">
        <v>61</v>
      </c>
      <c r="R886" s="29" t="s">
        <v>2811</v>
      </c>
    </row>
    <row r="887" spans="1:18" x14ac:dyDescent="0.3">
      <c r="A887" s="234">
        <v>45951</v>
      </c>
      <c r="B887" s="32" t="s">
        <v>5190</v>
      </c>
      <c r="C887" s="32" t="s">
        <v>5191</v>
      </c>
      <c r="D887" s="32" t="s">
        <v>5192</v>
      </c>
      <c r="E887" s="44" t="s">
        <v>5193</v>
      </c>
      <c r="F887" s="44" t="s">
        <v>5194</v>
      </c>
      <c r="G887" s="44" t="s">
        <v>1840</v>
      </c>
      <c r="H887" s="29">
        <v>5</v>
      </c>
      <c r="I887" s="32" t="s">
        <v>3946</v>
      </c>
      <c r="J887" s="32" t="s">
        <v>4457</v>
      </c>
      <c r="K887" s="32" t="s">
        <v>4457</v>
      </c>
      <c r="L887" s="167"/>
      <c r="M887" s="167"/>
      <c r="N887" s="118">
        <v>300</v>
      </c>
      <c r="O887" s="235" t="s">
        <v>5195</v>
      </c>
      <c r="P887" s="32" t="s">
        <v>62</v>
      </c>
      <c r="Q887" s="32" t="s">
        <v>61</v>
      </c>
      <c r="R887" s="97" t="s">
        <v>5196</v>
      </c>
    </row>
    <row r="888" spans="1:18" x14ac:dyDescent="0.3">
      <c r="A888" s="236">
        <v>45951</v>
      </c>
      <c r="B888" s="184" t="s">
        <v>5197</v>
      </c>
      <c r="C888" s="184" t="s">
        <v>5198</v>
      </c>
      <c r="D888" s="184" t="s">
        <v>5199</v>
      </c>
      <c r="E888" s="237" t="s">
        <v>5200</v>
      </c>
      <c r="F888" s="237" t="s">
        <v>5201</v>
      </c>
      <c r="G888" s="237" t="s">
        <v>1840</v>
      </c>
      <c r="H888" s="238">
        <v>7</v>
      </c>
      <c r="I888" s="184" t="s">
        <v>3946</v>
      </c>
      <c r="J888" s="184" t="s">
        <v>4148</v>
      </c>
      <c r="K888" s="184" t="s">
        <v>5202</v>
      </c>
      <c r="L888" s="189"/>
      <c r="M888" s="189"/>
      <c r="N888" s="239">
        <v>200</v>
      </c>
      <c r="O888" s="240" t="s">
        <v>5203</v>
      </c>
      <c r="P888" s="184" t="s">
        <v>4003</v>
      </c>
      <c r="Q888" s="184" t="s">
        <v>69</v>
      </c>
      <c r="R888" s="238" t="s">
        <v>5204</v>
      </c>
    </row>
    <row r="889" spans="1:18" x14ac:dyDescent="0.3">
      <c r="A889" s="59">
        <v>45952</v>
      </c>
      <c r="B889" s="32" t="s">
        <v>5205</v>
      </c>
      <c r="C889" s="32" t="s">
        <v>5206</v>
      </c>
      <c r="D889" s="32" t="s">
        <v>5207</v>
      </c>
      <c r="E889" s="44" t="s">
        <v>5208</v>
      </c>
      <c r="F889" s="44" t="s">
        <v>5209</v>
      </c>
      <c r="G889" s="44" t="s">
        <v>1826</v>
      </c>
      <c r="H889" s="29">
        <v>3</v>
      </c>
      <c r="I889" s="32" t="s">
        <v>3946</v>
      </c>
      <c r="J889" s="32" t="s">
        <v>606</v>
      </c>
      <c r="K889" s="32" t="s">
        <v>5210</v>
      </c>
      <c r="L889" s="167"/>
      <c r="M889" s="167"/>
      <c r="N889" s="118">
        <v>1000</v>
      </c>
      <c r="O889" s="235" t="s">
        <v>5211</v>
      </c>
      <c r="P889" s="32" t="s">
        <v>62</v>
      </c>
      <c r="Q889" s="32" t="s">
        <v>62</v>
      </c>
      <c r="R889" s="29" t="s">
        <v>2811</v>
      </c>
    </row>
    <row r="890" spans="1:18" x14ac:dyDescent="0.3">
      <c r="A890" s="59">
        <v>45953</v>
      </c>
      <c r="B890" s="32" t="s">
        <v>5212</v>
      </c>
      <c r="C890" s="32" t="s">
        <v>5213</v>
      </c>
      <c r="D890" s="32" t="s">
        <v>5214</v>
      </c>
      <c r="E890" s="44" t="s">
        <v>5215</v>
      </c>
      <c r="F890" s="44" t="s">
        <v>5216</v>
      </c>
      <c r="G890" s="44" t="s">
        <v>1833</v>
      </c>
      <c r="H890" s="29">
        <v>4</v>
      </c>
      <c r="I890" s="241" t="s">
        <v>3946</v>
      </c>
      <c r="J890" s="242" t="s">
        <v>606</v>
      </c>
      <c r="K890" s="242" t="s">
        <v>5217</v>
      </c>
      <c r="L890" s="167"/>
      <c r="M890" s="167"/>
      <c r="N890" s="118">
        <v>1050</v>
      </c>
      <c r="O890" s="235" t="s">
        <v>5218</v>
      </c>
      <c r="P890" s="32" t="s">
        <v>62</v>
      </c>
      <c r="Q890" s="32" t="s">
        <v>62</v>
      </c>
      <c r="R890" s="29" t="s">
        <v>2811</v>
      </c>
    </row>
    <row r="891" spans="1:18" x14ac:dyDescent="0.3">
      <c r="A891" s="59">
        <v>45953</v>
      </c>
      <c r="B891" s="32" t="s">
        <v>5219</v>
      </c>
      <c r="C891" s="32" t="s">
        <v>5220</v>
      </c>
      <c r="D891" s="32" t="s">
        <v>5221</v>
      </c>
      <c r="E891" s="44" t="s">
        <v>5222</v>
      </c>
      <c r="F891" s="44" t="s">
        <v>5223</v>
      </c>
      <c r="G891" s="44" t="s">
        <v>1919</v>
      </c>
      <c r="H891" s="29">
        <v>3</v>
      </c>
      <c r="I891" s="32" t="s">
        <v>3946</v>
      </c>
      <c r="J891" s="32" t="s">
        <v>606</v>
      </c>
      <c r="K891" s="32" t="s">
        <v>4867</v>
      </c>
      <c r="L891" s="167"/>
      <c r="M891" s="167"/>
      <c r="N891" s="118">
        <v>1990</v>
      </c>
      <c r="O891" s="235" t="s">
        <v>5224</v>
      </c>
      <c r="P891" s="32" t="s">
        <v>69</v>
      </c>
      <c r="Q891" s="32" t="s">
        <v>4142</v>
      </c>
      <c r="R891" s="29" t="s">
        <v>2811</v>
      </c>
    </row>
    <row r="892" spans="1:18" x14ac:dyDescent="0.3">
      <c r="A892" s="59">
        <v>45954</v>
      </c>
      <c r="B892" s="32" t="s">
        <v>5225</v>
      </c>
      <c r="C892" s="32" t="s">
        <v>5226</v>
      </c>
      <c r="D892" s="32" t="s">
        <v>5227</v>
      </c>
      <c r="E892" s="44" t="s">
        <v>5228</v>
      </c>
      <c r="F892" s="44" t="s">
        <v>5229</v>
      </c>
      <c r="G892" s="44" t="s">
        <v>1826</v>
      </c>
      <c r="H892" s="29">
        <v>8</v>
      </c>
      <c r="I892" s="32" t="s">
        <v>3946</v>
      </c>
      <c r="J892" s="32" t="s">
        <v>5230</v>
      </c>
      <c r="K892" s="32" t="s">
        <v>5164</v>
      </c>
      <c r="L892" s="167"/>
      <c r="M892" s="167"/>
      <c r="N892" s="118">
        <v>1000</v>
      </c>
      <c r="O892" s="235" t="s">
        <v>5231</v>
      </c>
      <c r="P892" s="32" t="s">
        <v>3933</v>
      </c>
      <c r="Q892" s="32" t="s">
        <v>61</v>
      </c>
      <c r="R892" s="29" t="s">
        <v>5232</v>
      </c>
    </row>
    <row r="893" spans="1:18" x14ac:dyDescent="0.3">
      <c r="A893" s="59">
        <v>45954</v>
      </c>
      <c r="B893" s="32" t="s">
        <v>5233</v>
      </c>
      <c r="C893" s="32" t="s">
        <v>5234</v>
      </c>
      <c r="D893" s="32" t="s">
        <v>5235</v>
      </c>
      <c r="E893" s="44" t="s">
        <v>5236</v>
      </c>
      <c r="F893" s="44" t="s">
        <v>5237</v>
      </c>
      <c r="G893" s="44" t="s">
        <v>1833</v>
      </c>
      <c r="H893" s="29">
        <v>5</v>
      </c>
      <c r="I893" s="32" t="s">
        <v>3946</v>
      </c>
      <c r="J893" s="32" t="s">
        <v>606</v>
      </c>
      <c r="K893" s="32" t="s">
        <v>5238</v>
      </c>
      <c r="L893" s="167"/>
      <c r="M893" s="167"/>
      <c r="N893" s="118">
        <v>1990</v>
      </c>
      <c r="O893" s="235" t="s">
        <v>5239</v>
      </c>
      <c r="P893" s="32" t="s">
        <v>624</v>
      </c>
      <c r="Q893" s="32" t="s">
        <v>69</v>
      </c>
      <c r="R893" s="29" t="s">
        <v>2811</v>
      </c>
    </row>
    <row r="894" spans="1:18" x14ac:dyDescent="0.3">
      <c r="A894" s="59">
        <v>45954</v>
      </c>
      <c r="B894" s="32" t="s">
        <v>5240</v>
      </c>
      <c r="C894" s="32" t="s">
        <v>5241</v>
      </c>
      <c r="D894" s="32" t="s">
        <v>5242</v>
      </c>
      <c r="E894" s="44" t="s">
        <v>5243</v>
      </c>
      <c r="F894" s="44" t="s">
        <v>5244</v>
      </c>
      <c r="G894" s="44" t="s">
        <v>1833</v>
      </c>
      <c r="H894" s="29">
        <v>5</v>
      </c>
      <c r="I894" s="32" t="s">
        <v>3946</v>
      </c>
      <c r="J894" s="32" t="s">
        <v>606</v>
      </c>
      <c r="K894" s="32" t="s">
        <v>4651</v>
      </c>
      <c r="L894" s="167"/>
      <c r="M894" s="167"/>
      <c r="N894" s="118">
        <v>1800</v>
      </c>
      <c r="O894" s="235" t="s">
        <v>5245</v>
      </c>
      <c r="P894" s="32" t="s">
        <v>3933</v>
      </c>
      <c r="Q894" s="32" t="s">
        <v>61</v>
      </c>
      <c r="R894" s="29" t="s">
        <v>2811</v>
      </c>
    </row>
    <row r="895" spans="1:18" x14ac:dyDescent="0.3">
      <c r="A895" s="59">
        <v>45955</v>
      </c>
      <c r="B895" s="32" t="s">
        <v>5246</v>
      </c>
      <c r="C895" s="32" t="s">
        <v>5247</v>
      </c>
      <c r="D895" s="32" t="s">
        <v>5248</v>
      </c>
      <c r="E895" s="29">
        <v>965506223</v>
      </c>
      <c r="F895" s="44" t="s">
        <v>5249</v>
      </c>
      <c r="G895" s="29">
        <v>6</v>
      </c>
      <c r="H895" s="29">
        <v>2</v>
      </c>
      <c r="I895" s="32" t="s">
        <v>3946</v>
      </c>
      <c r="J895" s="32" t="s">
        <v>5230</v>
      </c>
      <c r="K895" s="32" t="s">
        <v>5164</v>
      </c>
      <c r="L895" s="167"/>
      <c r="M895" s="167"/>
      <c r="N895" s="118">
        <v>300</v>
      </c>
      <c r="O895" s="235" t="s">
        <v>5250</v>
      </c>
      <c r="P895" s="32" t="s">
        <v>5251</v>
      </c>
      <c r="Q895" s="32" t="s">
        <v>61</v>
      </c>
      <c r="R895" s="29" t="s">
        <v>5252</v>
      </c>
    </row>
    <row r="896" spans="1:18" x14ac:dyDescent="0.3">
      <c r="A896" s="59">
        <v>45955</v>
      </c>
      <c r="B896" s="32" t="s">
        <v>5253</v>
      </c>
      <c r="C896" s="32" t="s">
        <v>5254</v>
      </c>
      <c r="D896" s="32" t="s">
        <v>5255</v>
      </c>
      <c r="E896" s="44" t="s">
        <v>5256</v>
      </c>
      <c r="F896" s="44" t="s">
        <v>5257</v>
      </c>
      <c r="G896" s="44" t="s">
        <v>1962</v>
      </c>
      <c r="H896" s="29">
        <v>5</v>
      </c>
      <c r="I896" s="32" t="s">
        <v>3946</v>
      </c>
      <c r="J896" s="32" t="s">
        <v>5258</v>
      </c>
      <c r="K896" s="32" t="s">
        <v>5259</v>
      </c>
      <c r="L896" s="167"/>
      <c r="M896" s="167"/>
      <c r="N896" s="118">
        <v>1990</v>
      </c>
      <c r="O896" s="235" t="s">
        <v>5260</v>
      </c>
      <c r="P896" s="32" t="s">
        <v>3948</v>
      </c>
      <c r="Q896" s="32" t="s">
        <v>4003</v>
      </c>
      <c r="R896" s="29" t="s">
        <v>2811</v>
      </c>
    </row>
    <row r="897" spans="1:18" x14ac:dyDescent="0.3">
      <c r="A897" s="59">
        <v>45959</v>
      </c>
      <c r="B897" s="32" t="s">
        <v>5261</v>
      </c>
      <c r="C897" s="32" t="s">
        <v>5262</v>
      </c>
      <c r="D897" s="32" t="s">
        <v>5263</v>
      </c>
      <c r="E897" s="44" t="s">
        <v>5264</v>
      </c>
      <c r="F897" s="44" t="s">
        <v>5265</v>
      </c>
      <c r="G897" s="44" t="s">
        <v>1833</v>
      </c>
      <c r="H897" s="29">
        <v>5</v>
      </c>
      <c r="I897" s="32" t="s">
        <v>3946</v>
      </c>
      <c r="J897" s="32" t="s">
        <v>5037</v>
      </c>
      <c r="K897" s="32" t="s">
        <v>4781</v>
      </c>
      <c r="L897" s="167"/>
      <c r="M897" s="167"/>
      <c r="N897" s="118">
        <v>1990</v>
      </c>
      <c r="O897" s="235" t="s">
        <v>5266</v>
      </c>
      <c r="P897" s="32" t="s">
        <v>624</v>
      </c>
      <c r="Q897" s="32" t="s">
        <v>61</v>
      </c>
      <c r="R897" s="29" t="s">
        <v>2811</v>
      </c>
    </row>
    <row r="898" spans="1:18" x14ac:dyDescent="0.3">
      <c r="A898" s="59">
        <v>45958</v>
      </c>
      <c r="B898" s="32" t="s">
        <v>5267</v>
      </c>
      <c r="C898" s="32" t="s">
        <v>5268</v>
      </c>
      <c r="D898" s="32" t="s">
        <v>5269</v>
      </c>
      <c r="E898" s="44" t="s">
        <v>5270</v>
      </c>
      <c r="F898" s="44" t="s">
        <v>5271</v>
      </c>
      <c r="G898" s="44" t="s">
        <v>1833</v>
      </c>
      <c r="H898" s="29">
        <v>3</v>
      </c>
      <c r="I898" s="32" t="s">
        <v>3946</v>
      </c>
      <c r="J898" s="32" t="s">
        <v>606</v>
      </c>
      <c r="K898" s="32" t="s">
        <v>5272</v>
      </c>
      <c r="L898" s="167"/>
      <c r="M898" s="167"/>
      <c r="N898" s="118">
        <v>900</v>
      </c>
      <c r="O898" s="235" t="s">
        <v>5273</v>
      </c>
      <c r="P898" s="32" t="s">
        <v>5251</v>
      </c>
      <c r="Q898" s="32" t="s">
        <v>62</v>
      </c>
      <c r="R898" s="29" t="s">
        <v>5274</v>
      </c>
    </row>
    <row r="899" spans="1:18" x14ac:dyDescent="0.3">
      <c r="A899" s="59">
        <v>45958</v>
      </c>
      <c r="B899" s="32" t="s">
        <v>5275</v>
      </c>
      <c r="C899" s="32" t="s">
        <v>5276</v>
      </c>
      <c r="D899" s="32" t="s">
        <v>5277</v>
      </c>
      <c r="E899" s="44" t="s">
        <v>5278</v>
      </c>
      <c r="F899" s="44" t="s">
        <v>5279</v>
      </c>
      <c r="G899" s="44" t="s">
        <v>1826</v>
      </c>
      <c r="H899" s="29">
        <v>6</v>
      </c>
      <c r="I899" s="32" t="s">
        <v>3946</v>
      </c>
      <c r="J899" s="32" t="s">
        <v>5280</v>
      </c>
      <c r="K899" s="32"/>
      <c r="L899" s="167"/>
      <c r="M899" s="167"/>
      <c r="N899" s="118">
        <v>0</v>
      </c>
      <c r="O899" s="235"/>
      <c r="P899" s="32" t="s">
        <v>5251</v>
      </c>
      <c r="Q899" s="32" t="s">
        <v>3948</v>
      </c>
      <c r="R899" s="29" t="s">
        <v>5281</v>
      </c>
    </row>
    <row r="900" spans="1:18" x14ac:dyDescent="0.3">
      <c r="A900" s="59">
        <v>45959</v>
      </c>
      <c r="B900" s="32" t="s">
        <v>5282</v>
      </c>
      <c r="C900" s="32" t="s">
        <v>5283</v>
      </c>
      <c r="D900" s="32" t="s">
        <v>5284</v>
      </c>
      <c r="E900" s="44" t="s">
        <v>5285</v>
      </c>
      <c r="F900" s="44" t="s">
        <v>5286</v>
      </c>
      <c r="G900" s="44" t="s">
        <v>1840</v>
      </c>
      <c r="H900" s="29">
        <v>10</v>
      </c>
      <c r="I900" s="32" t="s">
        <v>3946</v>
      </c>
      <c r="J900" s="32" t="s">
        <v>606</v>
      </c>
      <c r="K900" s="32" t="s">
        <v>5287</v>
      </c>
      <c r="L900" s="167"/>
      <c r="M900" s="167"/>
      <c r="N900" s="118">
        <v>4500</v>
      </c>
      <c r="O900" s="235" t="s">
        <v>5288</v>
      </c>
      <c r="P900" s="32" t="s">
        <v>3933</v>
      </c>
      <c r="Q900" s="32" t="s">
        <v>4003</v>
      </c>
      <c r="R900" s="29" t="s">
        <v>5289</v>
      </c>
    </row>
    <row r="901" spans="1:18" x14ac:dyDescent="0.3">
      <c r="A901" s="59">
        <v>45960</v>
      </c>
      <c r="B901" s="32" t="s">
        <v>5290</v>
      </c>
      <c r="C901" s="32" t="s">
        <v>5291</v>
      </c>
      <c r="D901" s="32" t="s">
        <v>5292</v>
      </c>
      <c r="E901" s="44" t="s">
        <v>5293</v>
      </c>
      <c r="F901" s="44" t="s">
        <v>5294</v>
      </c>
      <c r="G901" s="44" t="s">
        <v>1833</v>
      </c>
      <c r="H901" s="29">
        <v>5</v>
      </c>
      <c r="I901" s="32" t="s">
        <v>3946</v>
      </c>
      <c r="J901" s="32" t="s">
        <v>4794</v>
      </c>
      <c r="K901" s="32" t="s">
        <v>5295</v>
      </c>
      <c r="L901" s="167"/>
      <c r="M901" s="167"/>
      <c r="N901" s="118">
        <v>1050</v>
      </c>
      <c r="O901" s="235" t="s">
        <v>5296</v>
      </c>
      <c r="P901" s="32" t="s">
        <v>624</v>
      </c>
      <c r="Q901" s="32" t="s">
        <v>61</v>
      </c>
      <c r="R901" s="29" t="s">
        <v>2811</v>
      </c>
    </row>
    <row r="902" spans="1:18" x14ac:dyDescent="0.3">
      <c r="A902" s="59">
        <v>45960</v>
      </c>
      <c r="B902" s="32" t="s">
        <v>5297</v>
      </c>
      <c r="C902" s="32" t="s">
        <v>5298</v>
      </c>
      <c r="D902" s="32" t="s">
        <v>5299</v>
      </c>
      <c r="E902" s="44" t="s">
        <v>5300</v>
      </c>
      <c r="F902" s="44" t="s">
        <v>5301</v>
      </c>
      <c r="G902" s="44" t="s">
        <v>1826</v>
      </c>
      <c r="H902" s="29">
        <v>8</v>
      </c>
      <c r="I902" s="32" t="s">
        <v>3946</v>
      </c>
      <c r="J902" s="32" t="s">
        <v>606</v>
      </c>
      <c r="K902" s="32" t="s">
        <v>5302</v>
      </c>
      <c r="L902" s="167"/>
      <c r="M902" s="167"/>
      <c r="N902" s="118">
        <v>3990</v>
      </c>
      <c r="O902" s="235" t="s">
        <v>5303</v>
      </c>
      <c r="P902" s="32" t="s">
        <v>5251</v>
      </c>
      <c r="Q902" s="32" t="s">
        <v>62</v>
      </c>
      <c r="R902" s="29" t="s">
        <v>2811</v>
      </c>
    </row>
    <row r="903" spans="1:18" x14ac:dyDescent="0.3">
      <c r="A903" s="59">
        <v>45960</v>
      </c>
      <c r="B903" s="32" t="s">
        <v>5304</v>
      </c>
      <c r="C903" s="32" t="s">
        <v>5305</v>
      </c>
      <c r="D903" s="32" t="s">
        <v>5306</v>
      </c>
      <c r="E903" s="44" t="s">
        <v>5307</v>
      </c>
      <c r="F903" s="44" t="s">
        <v>5308</v>
      </c>
      <c r="G903" s="44" t="s">
        <v>1826</v>
      </c>
      <c r="H903" s="29">
        <v>3</v>
      </c>
      <c r="I903" s="32" t="s">
        <v>3946</v>
      </c>
      <c r="J903" s="32" t="s">
        <v>4794</v>
      </c>
      <c r="K903" s="32" t="s">
        <v>5309</v>
      </c>
      <c r="L903" s="167"/>
      <c r="M903" s="167"/>
      <c r="N903" s="118">
        <v>1000</v>
      </c>
      <c r="O903" s="235" t="s">
        <v>5310</v>
      </c>
      <c r="P903" s="32" t="s">
        <v>3948</v>
      </c>
      <c r="Q903" s="32" t="s">
        <v>5311</v>
      </c>
      <c r="R903" s="29" t="s">
        <v>2811</v>
      </c>
    </row>
    <row r="904" spans="1:18" x14ac:dyDescent="0.3">
      <c r="A904" s="243">
        <v>45967</v>
      </c>
      <c r="B904" s="233" t="s">
        <v>5312</v>
      </c>
      <c r="C904" s="233" t="s">
        <v>5313</v>
      </c>
      <c r="D904" s="233" t="s">
        <v>5314</v>
      </c>
      <c r="E904" s="244" t="s">
        <v>4708</v>
      </c>
      <c r="F904" s="244" t="s">
        <v>5315</v>
      </c>
      <c r="G904" s="244" t="s">
        <v>5316</v>
      </c>
      <c r="H904" s="233">
        <v>3</v>
      </c>
      <c r="I904" s="233" t="s">
        <v>605</v>
      </c>
      <c r="J904" s="233"/>
      <c r="K904" s="233"/>
      <c r="L904" s="245"/>
      <c r="M904" s="245"/>
      <c r="N904" s="246"/>
      <c r="O904" s="247" t="s">
        <v>5317</v>
      </c>
      <c r="P904" s="233" t="s">
        <v>5318</v>
      </c>
      <c r="Q904" s="233" t="s">
        <v>5311</v>
      </c>
      <c r="R904" s="233" t="s">
        <v>5319</v>
      </c>
    </row>
    <row r="905" spans="1:18" x14ac:dyDescent="0.3">
      <c r="A905" s="243">
        <v>45967</v>
      </c>
      <c r="B905" s="233" t="s">
        <v>5320</v>
      </c>
      <c r="C905" s="233" t="s">
        <v>5321</v>
      </c>
      <c r="D905" s="233" t="s">
        <v>5322</v>
      </c>
      <c r="E905" s="244" t="s">
        <v>5323</v>
      </c>
      <c r="F905" s="244" t="s">
        <v>5324</v>
      </c>
      <c r="G905" s="244" t="s">
        <v>1833</v>
      </c>
      <c r="H905" s="233">
        <v>3</v>
      </c>
      <c r="I905" s="233" t="s">
        <v>605</v>
      </c>
      <c r="J905" s="233" t="s">
        <v>5325</v>
      </c>
      <c r="K905" s="233" t="s">
        <v>5326</v>
      </c>
      <c r="L905" s="245">
        <v>1500</v>
      </c>
      <c r="M905" s="245"/>
      <c r="N905" s="246">
        <v>1500</v>
      </c>
      <c r="O905" s="247" t="s">
        <v>5327</v>
      </c>
      <c r="P905" s="233" t="s">
        <v>624</v>
      </c>
      <c r="Q905" s="233" t="s">
        <v>61</v>
      </c>
      <c r="R905" s="233" t="s">
        <v>2811</v>
      </c>
    </row>
    <row r="906" spans="1:18" x14ac:dyDescent="0.3">
      <c r="A906" s="243">
        <v>45968</v>
      </c>
      <c r="B906" s="233" t="s">
        <v>5328</v>
      </c>
      <c r="C906" s="233" t="s">
        <v>5329</v>
      </c>
      <c r="D906" s="233" t="s">
        <v>5330</v>
      </c>
      <c r="E906" s="244" t="s">
        <v>5331</v>
      </c>
      <c r="F906" s="244" t="s">
        <v>5332</v>
      </c>
      <c r="G906" s="244" t="s">
        <v>1833</v>
      </c>
      <c r="H906" s="233">
        <v>3</v>
      </c>
      <c r="I906" s="233" t="s">
        <v>605</v>
      </c>
      <c r="J906" s="233" t="s">
        <v>5333</v>
      </c>
      <c r="K906" s="233" t="s">
        <v>4823</v>
      </c>
      <c r="L906" s="245">
        <v>1000</v>
      </c>
      <c r="M906" s="245"/>
      <c r="N906" s="246">
        <v>1000</v>
      </c>
      <c r="O906" s="247" t="s">
        <v>5334</v>
      </c>
      <c r="P906" s="233" t="s">
        <v>69</v>
      </c>
      <c r="Q906" s="233" t="s">
        <v>61</v>
      </c>
      <c r="R906" s="233" t="s">
        <v>2811</v>
      </c>
    </row>
    <row r="907" spans="1:18" x14ac:dyDescent="0.3">
      <c r="A907" s="243">
        <v>45969</v>
      </c>
      <c r="B907" s="233" t="s">
        <v>5335</v>
      </c>
      <c r="C907" s="132" t="s">
        <v>5336</v>
      </c>
      <c r="D907" s="132" t="s">
        <v>5337</v>
      </c>
      <c r="E907" s="248" t="s">
        <v>5338</v>
      </c>
      <c r="F907" s="248" t="s">
        <v>5339</v>
      </c>
      <c r="G907" s="248" t="s">
        <v>1833</v>
      </c>
      <c r="H907" s="132">
        <v>7</v>
      </c>
      <c r="I907" s="132" t="s">
        <v>605</v>
      </c>
      <c r="J907" s="233" t="s">
        <v>606</v>
      </c>
      <c r="K907" s="233" t="s">
        <v>4931</v>
      </c>
      <c r="L907" s="245">
        <v>2200</v>
      </c>
      <c r="M907" s="245"/>
      <c r="N907" s="246">
        <v>2200</v>
      </c>
      <c r="O907" s="249" t="s">
        <v>5340</v>
      </c>
      <c r="P907" s="132" t="s">
        <v>624</v>
      </c>
      <c r="Q907" s="132" t="s">
        <v>5311</v>
      </c>
      <c r="R907" s="132" t="s">
        <v>2811</v>
      </c>
    </row>
    <row r="908" spans="1:18" x14ac:dyDescent="0.3">
      <c r="A908" s="243" t="s">
        <v>5341</v>
      </c>
      <c r="B908" s="233" t="s">
        <v>5342</v>
      </c>
      <c r="C908" s="233" t="s">
        <v>5343</v>
      </c>
      <c r="D908" s="233" t="s">
        <v>5344</v>
      </c>
      <c r="E908" s="244" t="s">
        <v>5345</v>
      </c>
      <c r="F908" s="244" t="s">
        <v>5346</v>
      </c>
      <c r="G908" s="244" t="s">
        <v>1833</v>
      </c>
      <c r="H908" s="233">
        <v>2</v>
      </c>
      <c r="I908" s="233" t="s">
        <v>3946</v>
      </c>
      <c r="J908" s="233" t="s">
        <v>606</v>
      </c>
      <c r="K908" s="233" t="s">
        <v>5347</v>
      </c>
      <c r="L908" s="245">
        <v>700</v>
      </c>
      <c r="M908" s="245"/>
      <c r="N908" s="246">
        <v>700</v>
      </c>
      <c r="O908" s="247" t="s">
        <v>5348</v>
      </c>
      <c r="P908" s="233" t="s">
        <v>4142</v>
      </c>
      <c r="Q908" s="233" t="s">
        <v>61</v>
      </c>
      <c r="R908" s="233" t="s">
        <v>2811</v>
      </c>
    </row>
    <row r="909" spans="1:18" x14ac:dyDescent="0.3">
      <c r="A909" s="243">
        <v>45971</v>
      </c>
      <c r="B909" s="233" t="s">
        <v>5349</v>
      </c>
      <c r="C909" s="233" t="s">
        <v>5226</v>
      </c>
      <c r="D909" s="233" t="s">
        <v>5350</v>
      </c>
      <c r="E909" s="244" t="s">
        <v>5351</v>
      </c>
      <c r="F909" s="244" t="s">
        <v>5352</v>
      </c>
      <c r="G909" s="244" t="s">
        <v>1840</v>
      </c>
      <c r="H909" s="233">
        <v>5</v>
      </c>
      <c r="I909" s="233" t="s">
        <v>605</v>
      </c>
      <c r="J909" s="233" t="s">
        <v>5353</v>
      </c>
      <c r="K909" s="233" t="s">
        <v>4120</v>
      </c>
      <c r="L909" s="245">
        <v>2000</v>
      </c>
      <c r="M909" s="245"/>
      <c r="N909" s="246">
        <v>2000</v>
      </c>
      <c r="O909" s="247"/>
      <c r="P909" s="233" t="s">
        <v>3948</v>
      </c>
      <c r="Q909" s="233" t="s">
        <v>61</v>
      </c>
      <c r="R909" s="233" t="s">
        <v>2811</v>
      </c>
    </row>
    <row r="910" spans="1:18" x14ac:dyDescent="0.3">
      <c r="A910" s="59">
        <v>45296</v>
      </c>
      <c r="B910" s="33" t="s">
        <v>5354</v>
      </c>
      <c r="C910" s="32" t="s">
        <v>5355</v>
      </c>
      <c r="D910" s="32" t="s">
        <v>5356</v>
      </c>
      <c r="E910" s="44" t="s">
        <v>5357</v>
      </c>
      <c r="F910" s="44" t="s">
        <v>5358</v>
      </c>
      <c r="G910" s="44" t="s">
        <v>1919</v>
      </c>
      <c r="H910" s="29">
        <v>4</v>
      </c>
      <c r="I910" s="29" t="s">
        <v>617</v>
      </c>
      <c r="J910" s="29" t="s">
        <v>5359</v>
      </c>
      <c r="K910" s="29" t="s">
        <v>199</v>
      </c>
      <c r="L910" s="23">
        <f t="shared" ref="L910:L973" si="34">+N910/1.12</f>
        <v>1383.9285714285713</v>
      </c>
      <c r="M910" s="23">
        <f t="shared" ref="M910:M973" si="35">+L910*12%</f>
        <v>166.07142857142856</v>
      </c>
      <c r="N910" s="60">
        <v>1550</v>
      </c>
      <c r="O910" s="61" t="s">
        <v>5360</v>
      </c>
      <c r="P910" s="29" t="s">
        <v>2140</v>
      </c>
      <c r="Q910" s="29" t="s">
        <v>2524</v>
      </c>
      <c r="R910" s="29"/>
    </row>
    <row r="911" spans="1:18" x14ac:dyDescent="0.3">
      <c r="A911" s="59">
        <v>45296</v>
      </c>
      <c r="B911" s="33" t="s">
        <v>5361</v>
      </c>
      <c r="C911" s="32" t="s">
        <v>5362</v>
      </c>
      <c r="D911" s="32" t="s">
        <v>5363</v>
      </c>
      <c r="E911" s="44" t="s">
        <v>5364</v>
      </c>
      <c r="F911" s="44" t="s">
        <v>5365</v>
      </c>
      <c r="G911" s="44" t="s">
        <v>1962</v>
      </c>
      <c r="H911" s="29">
        <v>3</v>
      </c>
      <c r="I911" s="29" t="s">
        <v>605</v>
      </c>
      <c r="J911" s="29" t="s">
        <v>539</v>
      </c>
      <c r="K911" s="29" t="s">
        <v>5366</v>
      </c>
      <c r="L911" s="23">
        <f t="shared" si="34"/>
        <v>982.142857142857</v>
      </c>
      <c r="M911" s="23">
        <f t="shared" si="35"/>
        <v>117.85714285714283</v>
      </c>
      <c r="N911" s="60">
        <v>1100</v>
      </c>
      <c r="O911" s="61" t="s">
        <v>5367</v>
      </c>
      <c r="P911" s="29" t="s">
        <v>2256</v>
      </c>
      <c r="Q911" s="29" t="s">
        <v>2256</v>
      </c>
      <c r="R911" s="29"/>
    </row>
    <row r="912" spans="1:18" x14ac:dyDescent="0.3">
      <c r="A912" s="59">
        <v>45296</v>
      </c>
      <c r="B912" s="33" t="s">
        <v>5368</v>
      </c>
      <c r="C912" s="33" t="s">
        <v>5369</v>
      </c>
      <c r="D912" s="32" t="s">
        <v>5370</v>
      </c>
      <c r="E912" s="44" t="s">
        <v>5371</v>
      </c>
      <c r="F912" s="44" t="s">
        <v>5372</v>
      </c>
      <c r="G912" s="44" t="s">
        <v>1840</v>
      </c>
      <c r="H912" s="29">
        <v>7</v>
      </c>
      <c r="I912" s="29" t="s">
        <v>5373</v>
      </c>
      <c r="J912" s="29" t="s">
        <v>539</v>
      </c>
      <c r="K912" s="29" t="s">
        <v>5374</v>
      </c>
      <c r="L912" s="23">
        <f t="shared" si="34"/>
        <v>1964.285714285714</v>
      </c>
      <c r="M912" s="23">
        <f t="shared" si="35"/>
        <v>235.71428571428567</v>
      </c>
      <c r="N912" s="60">
        <v>2200</v>
      </c>
      <c r="O912" s="61" t="s">
        <v>5375</v>
      </c>
      <c r="P912" s="29" t="s">
        <v>2256</v>
      </c>
      <c r="Q912" s="29" t="s">
        <v>2524</v>
      </c>
      <c r="R912" s="29"/>
    </row>
    <row r="913" spans="1:18" x14ac:dyDescent="0.3">
      <c r="A913" s="59">
        <v>45296</v>
      </c>
      <c r="B913" s="33" t="s">
        <v>5376</v>
      </c>
      <c r="C913" s="32" t="s">
        <v>5377</v>
      </c>
      <c r="D913" s="32" t="s">
        <v>5378</v>
      </c>
      <c r="E913" s="44" t="s">
        <v>5379</v>
      </c>
      <c r="F913" s="44" t="s">
        <v>5380</v>
      </c>
      <c r="G913" s="44" t="s">
        <v>1919</v>
      </c>
      <c r="H913" s="29">
        <v>3</v>
      </c>
      <c r="I913" s="29" t="s">
        <v>605</v>
      </c>
      <c r="J913" s="29" t="s">
        <v>539</v>
      </c>
      <c r="K913" s="29" t="s">
        <v>5374</v>
      </c>
      <c r="L913" s="23">
        <f t="shared" si="34"/>
        <v>624.99999999999989</v>
      </c>
      <c r="M913" s="23">
        <f t="shared" si="35"/>
        <v>74.999999999999986</v>
      </c>
      <c r="N913" s="60">
        <v>700</v>
      </c>
      <c r="O913" s="61" t="s">
        <v>5381</v>
      </c>
      <c r="P913" s="29" t="s">
        <v>2344</v>
      </c>
      <c r="Q913" s="29" t="s">
        <v>2337</v>
      </c>
      <c r="R913" s="29"/>
    </row>
    <row r="914" spans="1:18" x14ac:dyDescent="0.3">
      <c r="A914" s="59">
        <v>45297</v>
      </c>
      <c r="B914" s="33" t="s">
        <v>5382</v>
      </c>
      <c r="C914" s="32" t="s">
        <v>264</v>
      </c>
      <c r="D914" s="32" t="s">
        <v>5383</v>
      </c>
      <c r="E914" s="44" t="s">
        <v>5384</v>
      </c>
      <c r="F914" s="44" t="s">
        <v>5385</v>
      </c>
      <c r="G914" s="44" t="s">
        <v>1840</v>
      </c>
      <c r="H914" s="29">
        <v>4</v>
      </c>
      <c r="I914" s="29" t="s">
        <v>605</v>
      </c>
      <c r="J914" s="29" t="s">
        <v>539</v>
      </c>
      <c r="K914" s="29" t="s">
        <v>5386</v>
      </c>
      <c r="L914" s="23">
        <f t="shared" si="34"/>
        <v>1276.7857142857142</v>
      </c>
      <c r="M914" s="23">
        <f t="shared" si="35"/>
        <v>153.21428571428569</v>
      </c>
      <c r="N914" s="60">
        <v>1430</v>
      </c>
      <c r="O914" s="61" t="s">
        <v>5387</v>
      </c>
      <c r="P914" s="29" t="s">
        <v>2022</v>
      </c>
      <c r="Q914" s="29" t="s">
        <v>2022</v>
      </c>
      <c r="R914" s="29"/>
    </row>
    <row r="915" spans="1:18" x14ac:dyDescent="0.3">
      <c r="A915" s="59">
        <v>45297</v>
      </c>
      <c r="B915" s="33" t="s">
        <v>5388</v>
      </c>
      <c r="C915" s="32" t="s">
        <v>1595</v>
      </c>
      <c r="D915" s="32" t="s">
        <v>5389</v>
      </c>
      <c r="E915" s="44" t="s">
        <v>5390</v>
      </c>
      <c r="F915" s="44" t="s">
        <v>5391</v>
      </c>
      <c r="G915" s="44" t="s">
        <v>1919</v>
      </c>
      <c r="H915" s="29">
        <v>5</v>
      </c>
      <c r="I915" s="29" t="s">
        <v>871</v>
      </c>
      <c r="J915" s="29" t="s">
        <v>5392</v>
      </c>
      <c r="K915" s="29" t="s">
        <v>200</v>
      </c>
      <c r="L915" s="23">
        <f t="shared" si="34"/>
        <v>1339.2857142857142</v>
      </c>
      <c r="M915" s="23">
        <f t="shared" si="35"/>
        <v>160.71428571428569</v>
      </c>
      <c r="N915" s="60">
        <v>1500</v>
      </c>
      <c r="O915" s="61" t="s">
        <v>5393</v>
      </c>
      <c r="P915" s="29" t="s">
        <v>2344</v>
      </c>
      <c r="Q915" s="29" t="s">
        <v>2337</v>
      </c>
      <c r="R915" s="29"/>
    </row>
    <row r="916" spans="1:18" x14ac:dyDescent="0.3">
      <c r="A916" s="59">
        <v>45297</v>
      </c>
      <c r="B916" s="33" t="s">
        <v>5394</v>
      </c>
      <c r="C916" s="32" t="s">
        <v>1885</v>
      </c>
      <c r="D916" s="32" t="s">
        <v>5395</v>
      </c>
      <c r="E916" s="44" t="s">
        <v>5396</v>
      </c>
      <c r="F916" s="44" t="s">
        <v>5397</v>
      </c>
      <c r="G916" s="44" t="s">
        <v>1919</v>
      </c>
      <c r="H916" s="29">
        <v>3</v>
      </c>
      <c r="I916" s="29" t="s">
        <v>605</v>
      </c>
      <c r="J916" s="29" t="s">
        <v>5359</v>
      </c>
      <c r="K916" s="29" t="s">
        <v>200</v>
      </c>
      <c r="L916" s="23">
        <f t="shared" si="34"/>
        <v>624.99999999999989</v>
      </c>
      <c r="M916" s="23">
        <f t="shared" si="35"/>
        <v>74.999999999999986</v>
      </c>
      <c r="N916" s="60">
        <v>700</v>
      </c>
      <c r="O916" s="61" t="s">
        <v>5398</v>
      </c>
      <c r="P916" s="29" t="s">
        <v>2140</v>
      </c>
      <c r="Q916" s="29" t="s">
        <v>58</v>
      </c>
      <c r="R916" s="29"/>
    </row>
    <row r="917" spans="1:18" x14ac:dyDescent="0.3">
      <c r="A917" s="59">
        <v>45303</v>
      </c>
      <c r="B917" s="32" t="s">
        <v>5399</v>
      </c>
      <c r="C917" s="32" t="s">
        <v>5400</v>
      </c>
      <c r="D917" s="32" t="s">
        <v>5401</v>
      </c>
      <c r="E917" s="44" t="s">
        <v>5402</v>
      </c>
      <c r="F917" s="44" t="s">
        <v>5403</v>
      </c>
      <c r="G917" s="44" t="s">
        <v>1833</v>
      </c>
      <c r="H917" s="29">
        <v>4</v>
      </c>
      <c r="I917" s="29" t="s">
        <v>871</v>
      </c>
      <c r="J917" s="29" t="s">
        <v>539</v>
      </c>
      <c r="K917" s="29" t="s">
        <v>200</v>
      </c>
      <c r="L917" s="23">
        <f t="shared" si="34"/>
        <v>937.49999999999989</v>
      </c>
      <c r="M917" s="23">
        <f t="shared" si="35"/>
        <v>112.49999999999999</v>
      </c>
      <c r="N917" s="60">
        <v>1050</v>
      </c>
      <c r="O917" s="61" t="s">
        <v>5404</v>
      </c>
      <c r="P917" s="29" t="s">
        <v>335</v>
      </c>
      <c r="Q917" s="29" t="s">
        <v>782</v>
      </c>
      <c r="R917" s="29"/>
    </row>
    <row r="918" spans="1:18" x14ac:dyDescent="0.3">
      <c r="A918" s="59">
        <v>45304</v>
      </c>
      <c r="B918" s="32" t="s">
        <v>5405</v>
      </c>
      <c r="C918" s="32" t="s">
        <v>267</v>
      </c>
      <c r="D918" s="32" t="s">
        <v>5406</v>
      </c>
      <c r="E918" s="44" t="s">
        <v>5407</v>
      </c>
      <c r="F918" s="44" t="s">
        <v>5408</v>
      </c>
      <c r="G918" s="44" t="s">
        <v>1833</v>
      </c>
      <c r="H918" s="29">
        <v>4</v>
      </c>
      <c r="I918" s="29" t="s">
        <v>871</v>
      </c>
      <c r="J918" s="29" t="s">
        <v>539</v>
      </c>
      <c r="K918" s="29" t="s">
        <v>199</v>
      </c>
      <c r="L918" s="23">
        <f t="shared" si="34"/>
        <v>937.49999999999989</v>
      </c>
      <c r="M918" s="23">
        <f t="shared" si="35"/>
        <v>112.49999999999999</v>
      </c>
      <c r="N918" s="60">
        <v>1050</v>
      </c>
      <c r="O918" s="61" t="s">
        <v>5409</v>
      </c>
      <c r="P918" s="29" t="s">
        <v>731</v>
      </c>
      <c r="Q918" s="29" t="s">
        <v>782</v>
      </c>
      <c r="R918" s="29"/>
    </row>
    <row r="919" spans="1:18" x14ac:dyDescent="0.3">
      <c r="A919" s="59">
        <v>45304</v>
      </c>
      <c r="B919" s="32" t="s">
        <v>5410</v>
      </c>
      <c r="C919" s="32" t="s">
        <v>2873</v>
      </c>
      <c r="D919" s="32" t="s">
        <v>5411</v>
      </c>
      <c r="E919" s="44" t="s">
        <v>5412</v>
      </c>
      <c r="F919" s="44" t="s">
        <v>5413</v>
      </c>
      <c r="G919" s="44"/>
      <c r="H919" s="29">
        <v>10</v>
      </c>
      <c r="I919" s="29" t="s">
        <v>5414</v>
      </c>
      <c r="J919" s="29"/>
      <c r="K919" s="29"/>
      <c r="L919" s="23">
        <f t="shared" si="34"/>
        <v>0</v>
      </c>
      <c r="M919" s="23">
        <f t="shared" si="35"/>
        <v>0</v>
      </c>
      <c r="N919" s="62"/>
      <c r="O919" s="61" t="s">
        <v>5415</v>
      </c>
      <c r="P919" s="29" t="s">
        <v>680</v>
      </c>
      <c r="Q919" s="29" t="s">
        <v>65</v>
      </c>
      <c r="R919" s="29"/>
    </row>
    <row r="920" spans="1:18" x14ac:dyDescent="0.3">
      <c r="A920" s="59">
        <v>45304</v>
      </c>
      <c r="B920" s="32" t="s">
        <v>5416</v>
      </c>
      <c r="C920" s="32" t="s">
        <v>5417</v>
      </c>
      <c r="D920" s="32" t="s">
        <v>5418</v>
      </c>
      <c r="E920" s="44" t="s">
        <v>5419</v>
      </c>
      <c r="F920" s="44" t="s">
        <v>5420</v>
      </c>
      <c r="G920" s="44" t="s">
        <v>1919</v>
      </c>
      <c r="H920" s="29">
        <v>3</v>
      </c>
      <c r="I920" s="29" t="s">
        <v>617</v>
      </c>
      <c r="J920" s="250" t="s">
        <v>5421</v>
      </c>
      <c r="K920" s="251"/>
      <c r="L920" s="23">
        <f t="shared" si="34"/>
        <v>1428.5714285714284</v>
      </c>
      <c r="M920" s="23">
        <f t="shared" si="35"/>
        <v>171.42857142857142</v>
      </c>
      <c r="N920" s="62">
        <v>1600</v>
      </c>
      <c r="O920" s="61" t="s">
        <v>5422</v>
      </c>
      <c r="P920" s="29" t="s">
        <v>2022</v>
      </c>
      <c r="Q920" s="29" t="s">
        <v>2022</v>
      </c>
      <c r="R920" s="29"/>
    </row>
    <row r="921" spans="1:18" x14ac:dyDescent="0.3">
      <c r="A921" s="59">
        <v>45307</v>
      </c>
      <c r="B921" s="32" t="s">
        <v>5423</v>
      </c>
      <c r="C921" s="32" t="s">
        <v>5424</v>
      </c>
      <c r="D921" s="32" t="s">
        <v>5425</v>
      </c>
      <c r="E921" s="44" t="s">
        <v>5426</v>
      </c>
      <c r="F921" s="44" t="s">
        <v>5427</v>
      </c>
      <c r="G921" s="44" t="s">
        <v>1919</v>
      </c>
      <c r="H921" s="29">
        <v>3</v>
      </c>
      <c r="I921" s="29" t="s">
        <v>605</v>
      </c>
      <c r="J921" s="29" t="s">
        <v>539</v>
      </c>
      <c r="K921" s="29" t="s">
        <v>199</v>
      </c>
      <c r="L921" s="23">
        <f t="shared" si="34"/>
        <v>624.99999999999989</v>
      </c>
      <c r="M921" s="23">
        <f t="shared" si="35"/>
        <v>74.999999999999986</v>
      </c>
      <c r="N921" s="60">
        <v>700</v>
      </c>
      <c r="O921" s="61" t="s">
        <v>5428</v>
      </c>
      <c r="P921" s="29" t="s">
        <v>731</v>
      </c>
      <c r="Q921" s="29" t="s">
        <v>225</v>
      </c>
      <c r="R921" s="29"/>
    </row>
    <row r="922" spans="1:18" x14ac:dyDescent="0.3">
      <c r="A922" s="59">
        <v>45308</v>
      </c>
      <c r="B922" s="32" t="s">
        <v>5429</v>
      </c>
      <c r="C922" s="32" t="s">
        <v>5430</v>
      </c>
      <c r="D922" s="32" t="s">
        <v>5431</v>
      </c>
      <c r="E922" s="44" t="s">
        <v>5432</v>
      </c>
      <c r="F922" s="44" t="s">
        <v>5433</v>
      </c>
      <c r="G922" s="44" t="s">
        <v>1962</v>
      </c>
      <c r="H922" s="29">
        <v>5</v>
      </c>
      <c r="I922" s="29" t="s">
        <v>617</v>
      </c>
      <c r="J922" s="29" t="s">
        <v>5359</v>
      </c>
      <c r="K922" s="29" t="s">
        <v>199</v>
      </c>
      <c r="L922" s="23">
        <f t="shared" si="34"/>
        <v>892.85714285714278</v>
      </c>
      <c r="M922" s="23">
        <f t="shared" si="35"/>
        <v>107.14285714285712</v>
      </c>
      <c r="N922" s="60">
        <v>1000</v>
      </c>
      <c r="O922" s="61" t="s">
        <v>5434</v>
      </c>
      <c r="P922" s="29" t="s">
        <v>1482</v>
      </c>
      <c r="Q922" s="29" t="s">
        <v>65</v>
      </c>
      <c r="R922" s="29"/>
    </row>
    <row r="923" spans="1:18" x14ac:dyDescent="0.3">
      <c r="A923" s="59">
        <v>45308</v>
      </c>
      <c r="B923" s="32" t="s">
        <v>5435</v>
      </c>
      <c r="C923" s="32" t="s">
        <v>5436</v>
      </c>
      <c r="D923" s="32" t="s">
        <v>5437</v>
      </c>
      <c r="E923" s="44" t="s">
        <v>5438</v>
      </c>
      <c r="F923" s="44" t="s">
        <v>5439</v>
      </c>
      <c r="G923" s="44" t="s">
        <v>1833</v>
      </c>
      <c r="H923" s="29">
        <v>6</v>
      </c>
      <c r="I923" s="29" t="s">
        <v>617</v>
      </c>
      <c r="J923" s="29" t="s">
        <v>539</v>
      </c>
      <c r="K923" s="29" t="s">
        <v>199</v>
      </c>
      <c r="L923" s="23">
        <f t="shared" si="34"/>
        <v>1071.4285714285713</v>
      </c>
      <c r="M923" s="23">
        <f t="shared" si="35"/>
        <v>128.57142857142856</v>
      </c>
      <c r="N923" s="60">
        <v>1200</v>
      </c>
      <c r="O923" s="61" t="s">
        <v>5440</v>
      </c>
      <c r="P923" s="29" t="s">
        <v>680</v>
      </c>
      <c r="Q923" s="29" t="s">
        <v>225</v>
      </c>
      <c r="R923" s="233" t="s">
        <v>5441</v>
      </c>
    </row>
    <row r="924" spans="1:18" x14ac:dyDescent="0.3">
      <c r="A924" s="59">
        <v>45308</v>
      </c>
      <c r="B924" s="32" t="s">
        <v>5442</v>
      </c>
      <c r="C924" s="32" t="s">
        <v>1540</v>
      </c>
      <c r="D924" s="32" t="s">
        <v>5443</v>
      </c>
      <c r="E924" s="44" t="s">
        <v>5444</v>
      </c>
      <c r="F924" s="44" t="s">
        <v>5445</v>
      </c>
      <c r="G924" s="44" t="s">
        <v>1995</v>
      </c>
      <c r="H924" s="29">
        <v>10</v>
      </c>
      <c r="I924" s="29" t="s">
        <v>617</v>
      </c>
      <c r="J924" s="29" t="s">
        <v>539</v>
      </c>
      <c r="K924" s="29" t="s">
        <v>199</v>
      </c>
      <c r="L924" s="23">
        <f t="shared" si="34"/>
        <v>2723.2142857142853</v>
      </c>
      <c r="M924" s="23">
        <f t="shared" si="35"/>
        <v>326.78571428571422</v>
      </c>
      <c r="N924" s="60">
        <v>3050</v>
      </c>
      <c r="O924" s="61" t="s">
        <v>5446</v>
      </c>
      <c r="P924" s="29" t="s">
        <v>1482</v>
      </c>
      <c r="Q924" s="29" t="s">
        <v>225</v>
      </c>
      <c r="R924" s="29"/>
    </row>
    <row r="925" spans="1:18" x14ac:dyDescent="0.3">
      <c r="A925" s="59">
        <v>45308</v>
      </c>
      <c r="B925" s="32" t="s">
        <v>5447</v>
      </c>
      <c r="C925" s="32" t="s">
        <v>5448</v>
      </c>
      <c r="D925" s="32" t="s">
        <v>5449</v>
      </c>
      <c r="E925" s="44" t="s">
        <v>5450</v>
      </c>
      <c r="F925" s="44" t="s">
        <v>5451</v>
      </c>
      <c r="G925" s="44" t="s">
        <v>1919</v>
      </c>
      <c r="H925" s="29">
        <v>3</v>
      </c>
      <c r="I925" s="29" t="s">
        <v>605</v>
      </c>
      <c r="J925" s="29" t="s">
        <v>5359</v>
      </c>
      <c r="K925" s="29" t="s">
        <v>199</v>
      </c>
      <c r="L925" s="23">
        <f t="shared" si="34"/>
        <v>624.99999999999989</v>
      </c>
      <c r="M925" s="23">
        <f t="shared" si="35"/>
        <v>74.999999999999986</v>
      </c>
      <c r="N925" s="60">
        <v>700</v>
      </c>
      <c r="O925" s="61" t="s">
        <v>5452</v>
      </c>
      <c r="P925" s="29" t="s">
        <v>2330</v>
      </c>
      <c r="Q925" s="29" t="s">
        <v>225</v>
      </c>
      <c r="R925" s="29"/>
    </row>
    <row r="926" spans="1:18" x14ac:dyDescent="0.3">
      <c r="A926" s="59">
        <v>45308</v>
      </c>
      <c r="B926" s="32" t="s">
        <v>5453</v>
      </c>
      <c r="C926" s="32" t="s">
        <v>5454</v>
      </c>
      <c r="D926" s="32" t="s">
        <v>5455</v>
      </c>
      <c r="E926" s="44" t="s">
        <v>5456</v>
      </c>
      <c r="F926" s="44" t="s">
        <v>5457</v>
      </c>
      <c r="G926" s="44" t="s">
        <v>1840</v>
      </c>
      <c r="H926" s="29">
        <v>4</v>
      </c>
      <c r="I926" s="29" t="s">
        <v>617</v>
      </c>
      <c r="J926" s="29" t="s">
        <v>539</v>
      </c>
      <c r="K926" s="29" t="s">
        <v>200</v>
      </c>
      <c r="L926" s="23">
        <f t="shared" si="34"/>
        <v>937.49999999999989</v>
      </c>
      <c r="M926" s="23">
        <f t="shared" si="35"/>
        <v>112.49999999999999</v>
      </c>
      <c r="N926" s="60">
        <v>1050</v>
      </c>
      <c r="O926" s="61" t="s">
        <v>5458</v>
      </c>
      <c r="P926" s="29" t="s">
        <v>348</v>
      </c>
      <c r="Q926" s="29" t="s">
        <v>348</v>
      </c>
      <c r="R926" s="29"/>
    </row>
    <row r="927" spans="1:18" x14ac:dyDescent="0.3">
      <c r="A927" s="59">
        <v>45309</v>
      </c>
      <c r="B927" s="32" t="s">
        <v>5459</v>
      </c>
      <c r="C927" s="32" t="s">
        <v>5460</v>
      </c>
      <c r="D927" s="32" t="s">
        <v>5461</v>
      </c>
      <c r="E927" s="44" t="s">
        <v>5462</v>
      </c>
      <c r="F927" s="44" t="s">
        <v>5463</v>
      </c>
      <c r="G927" s="44" t="s">
        <v>1962</v>
      </c>
      <c r="H927" s="29">
        <v>10</v>
      </c>
      <c r="I927" s="29" t="s">
        <v>5464</v>
      </c>
      <c r="J927" s="29" t="s">
        <v>539</v>
      </c>
      <c r="K927" s="29" t="s">
        <v>199</v>
      </c>
      <c r="L927" s="23">
        <f t="shared" si="34"/>
        <v>2669.6428571428569</v>
      </c>
      <c r="M927" s="23">
        <f t="shared" si="35"/>
        <v>320.35714285714283</v>
      </c>
      <c r="N927" s="60">
        <v>2990</v>
      </c>
      <c r="O927" s="61" t="s">
        <v>5465</v>
      </c>
      <c r="P927" s="29" t="s">
        <v>548</v>
      </c>
      <c r="Q927" s="29" t="s">
        <v>65</v>
      </c>
      <c r="R927" s="29"/>
    </row>
    <row r="928" spans="1:18" x14ac:dyDescent="0.3">
      <c r="A928" s="59">
        <v>45309</v>
      </c>
      <c r="B928" s="32" t="s">
        <v>5466</v>
      </c>
      <c r="C928" s="32" t="s">
        <v>5467</v>
      </c>
      <c r="D928" s="32" t="s">
        <v>5468</v>
      </c>
      <c r="E928" s="44" t="s">
        <v>5469</v>
      </c>
      <c r="F928" s="44" t="s">
        <v>5470</v>
      </c>
      <c r="G928" s="44" t="s">
        <v>1840</v>
      </c>
      <c r="H928" s="29">
        <v>5</v>
      </c>
      <c r="I928" s="29" t="s">
        <v>617</v>
      </c>
      <c r="J928" s="29" t="s">
        <v>539</v>
      </c>
      <c r="K928" s="29" t="s">
        <v>1005</v>
      </c>
      <c r="L928" s="23">
        <f t="shared" si="34"/>
        <v>1419.6428571428571</v>
      </c>
      <c r="M928" s="23">
        <f t="shared" si="35"/>
        <v>170.35714285714283</v>
      </c>
      <c r="N928" s="60">
        <v>1590</v>
      </c>
      <c r="O928" s="61" t="s">
        <v>5471</v>
      </c>
      <c r="P928" s="29" t="s">
        <v>2524</v>
      </c>
      <c r="Q928" s="29" t="s">
        <v>2524</v>
      </c>
      <c r="R928" s="29"/>
    </row>
    <row r="929" spans="1:18" x14ac:dyDescent="0.3">
      <c r="A929" s="59">
        <v>45310</v>
      </c>
      <c r="B929" s="32" t="s">
        <v>5472</v>
      </c>
      <c r="C929" s="32" t="s">
        <v>5473</v>
      </c>
      <c r="D929" s="32" t="s">
        <v>5474</v>
      </c>
      <c r="E929" s="44" t="s">
        <v>5475</v>
      </c>
      <c r="F929" s="44" t="s">
        <v>5476</v>
      </c>
      <c r="G929" s="44" t="s">
        <v>1919</v>
      </c>
      <c r="H929" s="29">
        <v>3</v>
      </c>
      <c r="I929" s="227" t="s">
        <v>617</v>
      </c>
      <c r="J929" s="29" t="s">
        <v>5359</v>
      </c>
      <c r="K929" s="29" t="s">
        <v>980</v>
      </c>
      <c r="L929" s="273">
        <f t="shared" si="34"/>
        <v>937.49999999999989</v>
      </c>
      <c r="M929" s="23">
        <f t="shared" si="35"/>
        <v>112.49999999999999</v>
      </c>
      <c r="N929" s="60">
        <v>1050</v>
      </c>
      <c r="O929" s="61" t="s">
        <v>5477</v>
      </c>
      <c r="P929" s="29" t="s">
        <v>2524</v>
      </c>
      <c r="Q929" s="29" t="s">
        <v>2524</v>
      </c>
      <c r="R929" s="29"/>
    </row>
    <row r="930" spans="1:18" x14ac:dyDescent="0.3">
      <c r="A930" s="59">
        <v>45311</v>
      </c>
      <c r="B930" s="32" t="s">
        <v>5478</v>
      </c>
      <c r="C930" s="32" t="s">
        <v>5479</v>
      </c>
      <c r="D930" s="32" t="s">
        <v>5480</v>
      </c>
      <c r="E930" s="44" t="s">
        <v>5481</v>
      </c>
      <c r="F930" s="44" t="s">
        <v>5482</v>
      </c>
      <c r="G930" s="44" t="s">
        <v>1919</v>
      </c>
      <c r="H930" s="29">
        <v>4</v>
      </c>
      <c r="I930" s="227" t="s">
        <v>617</v>
      </c>
      <c r="J930" s="233" t="s">
        <v>539</v>
      </c>
      <c r="K930" s="233" t="s">
        <v>200</v>
      </c>
      <c r="L930" s="273">
        <f t="shared" si="34"/>
        <v>1776.7857142857142</v>
      </c>
      <c r="M930" s="23">
        <f t="shared" si="35"/>
        <v>213.21428571428569</v>
      </c>
      <c r="N930" s="60">
        <v>1990</v>
      </c>
      <c r="O930" s="61" t="s">
        <v>5483</v>
      </c>
      <c r="P930" s="29" t="s">
        <v>2022</v>
      </c>
      <c r="Q930" s="29" t="s">
        <v>2022</v>
      </c>
      <c r="R930" s="29"/>
    </row>
    <row r="931" spans="1:18" x14ac:dyDescent="0.3">
      <c r="A931" s="59">
        <v>45311</v>
      </c>
      <c r="B931" s="32" t="s">
        <v>5484</v>
      </c>
      <c r="C931" s="32" t="s">
        <v>5485</v>
      </c>
      <c r="D931" s="32" t="s">
        <v>5486</v>
      </c>
      <c r="E931" s="44" t="s">
        <v>5487</v>
      </c>
      <c r="F931" s="44" t="s">
        <v>5488</v>
      </c>
      <c r="G931" s="44" t="s">
        <v>1919</v>
      </c>
      <c r="H931" s="29">
        <v>2</v>
      </c>
      <c r="I931" s="29" t="s">
        <v>605</v>
      </c>
      <c r="J931" s="104" t="s">
        <v>539</v>
      </c>
      <c r="K931" s="104" t="s">
        <v>199</v>
      </c>
      <c r="L931" s="23">
        <f t="shared" si="34"/>
        <v>267.85714285714283</v>
      </c>
      <c r="M931" s="23">
        <f t="shared" si="35"/>
        <v>32.142857142857139</v>
      </c>
      <c r="N931" s="60">
        <v>300</v>
      </c>
      <c r="O931" s="61" t="s">
        <v>5489</v>
      </c>
      <c r="P931" s="29" t="s">
        <v>337</v>
      </c>
      <c r="Q931" s="29" t="s">
        <v>225</v>
      </c>
      <c r="R931" s="29"/>
    </row>
    <row r="932" spans="1:18" x14ac:dyDescent="0.3">
      <c r="A932" s="59">
        <v>45314</v>
      </c>
      <c r="B932" s="32" t="s">
        <v>5490</v>
      </c>
      <c r="C932" s="32" t="s">
        <v>5491</v>
      </c>
      <c r="D932" s="32" t="s">
        <v>5492</v>
      </c>
      <c r="E932" s="44" t="s">
        <v>5493</v>
      </c>
      <c r="F932" s="44" t="s">
        <v>5494</v>
      </c>
      <c r="G932" s="44" t="s">
        <v>1833</v>
      </c>
      <c r="H932" s="29">
        <v>2</v>
      </c>
      <c r="I932" s="29" t="s">
        <v>605</v>
      </c>
      <c r="J932" s="29" t="s">
        <v>539</v>
      </c>
      <c r="K932" s="29" t="s">
        <v>1586</v>
      </c>
      <c r="L932" s="23">
        <f t="shared" si="34"/>
        <v>624.99999999999989</v>
      </c>
      <c r="M932" s="23">
        <f t="shared" si="35"/>
        <v>74.999999999999986</v>
      </c>
      <c r="N932" s="60">
        <v>700</v>
      </c>
      <c r="O932" s="61" t="s">
        <v>5495</v>
      </c>
      <c r="P932" s="29" t="s">
        <v>339</v>
      </c>
      <c r="Q932" s="29" t="s">
        <v>782</v>
      </c>
      <c r="R932" s="29"/>
    </row>
    <row r="933" spans="1:18" x14ac:dyDescent="0.3">
      <c r="A933" s="59">
        <v>45315</v>
      </c>
      <c r="B933" s="32" t="s">
        <v>5496</v>
      </c>
      <c r="C933" s="32" t="s">
        <v>5497</v>
      </c>
      <c r="D933" s="32" t="s">
        <v>5498</v>
      </c>
      <c r="E933" s="44" t="s">
        <v>5499</v>
      </c>
      <c r="F933" s="44" t="s">
        <v>5500</v>
      </c>
      <c r="G933" s="44" t="s">
        <v>1919</v>
      </c>
      <c r="H933" s="29">
        <v>3</v>
      </c>
      <c r="I933" s="29" t="s">
        <v>605</v>
      </c>
      <c r="J933" s="29" t="s">
        <v>539</v>
      </c>
      <c r="K933" s="29" t="s">
        <v>2114</v>
      </c>
      <c r="L933" s="23">
        <f t="shared" si="34"/>
        <v>937.49999999999989</v>
      </c>
      <c r="M933" s="23">
        <f t="shared" si="35"/>
        <v>112.49999999999999</v>
      </c>
      <c r="N933" s="60">
        <v>1050</v>
      </c>
      <c r="O933" s="61"/>
      <c r="P933" s="29" t="s">
        <v>335</v>
      </c>
      <c r="Q933" s="29" t="s">
        <v>2344</v>
      </c>
      <c r="R933" s="29"/>
    </row>
    <row r="934" spans="1:18" x14ac:dyDescent="0.3">
      <c r="A934" s="59">
        <v>45315</v>
      </c>
      <c r="B934" s="32" t="s">
        <v>5501</v>
      </c>
      <c r="C934" s="32" t="s">
        <v>5502</v>
      </c>
      <c r="D934" s="32" t="s">
        <v>5503</v>
      </c>
      <c r="E934" s="44" t="s">
        <v>5504</v>
      </c>
      <c r="F934" s="44" t="s">
        <v>5505</v>
      </c>
      <c r="G934" s="44" t="s">
        <v>1826</v>
      </c>
      <c r="H934" s="29">
        <v>10</v>
      </c>
      <c r="I934" s="29" t="s">
        <v>871</v>
      </c>
      <c r="J934" s="29" t="s">
        <v>539</v>
      </c>
      <c r="K934" s="29" t="s">
        <v>199</v>
      </c>
      <c r="L934" s="23">
        <f t="shared" si="34"/>
        <v>2678.5714285714284</v>
      </c>
      <c r="M934" s="23">
        <f t="shared" si="35"/>
        <v>321.42857142857139</v>
      </c>
      <c r="N934" s="60">
        <v>3000</v>
      </c>
      <c r="O934" s="61" t="s">
        <v>5506</v>
      </c>
      <c r="P934" s="29" t="s">
        <v>5507</v>
      </c>
      <c r="Q934" s="29" t="s">
        <v>2337</v>
      </c>
      <c r="R934" s="29"/>
    </row>
    <row r="935" spans="1:18" x14ac:dyDescent="0.3">
      <c r="A935" s="59">
        <v>45315</v>
      </c>
      <c r="B935" s="32" t="s">
        <v>5508</v>
      </c>
      <c r="C935" s="32" t="s">
        <v>5509</v>
      </c>
      <c r="D935" s="32" t="s">
        <v>5510</v>
      </c>
      <c r="E935" s="44" t="s">
        <v>5511</v>
      </c>
      <c r="F935" s="44" t="s">
        <v>5512</v>
      </c>
      <c r="G935" s="44" t="s">
        <v>1840</v>
      </c>
      <c r="H935" s="29">
        <v>5</v>
      </c>
      <c r="I935" s="29" t="s">
        <v>605</v>
      </c>
      <c r="J935" s="29" t="s">
        <v>5359</v>
      </c>
      <c r="K935" s="29" t="s">
        <v>199</v>
      </c>
      <c r="L935" s="23">
        <f t="shared" si="34"/>
        <v>2321.4285714285711</v>
      </c>
      <c r="M935" s="23">
        <f t="shared" si="35"/>
        <v>278.5714285714285</v>
      </c>
      <c r="N935" s="60">
        <v>2600</v>
      </c>
      <c r="O935" s="61" t="s">
        <v>5513</v>
      </c>
      <c r="P935" s="29" t="s">
        <v>337</v>
      </c>
      <c r="Q935" s="29" t="s">
        <v>65</v>
      </c>
      <c r="R935" s="29"/>
    </row>
    <row r="936" spans="1:18" x14ac:dyDescent="0.3">
      <c r="A936" s="59">
        <v>45315</v>
      </c>
      <c r="B936" s="32" t="s">
        <v>5514</v>
      </c>
      <c r="C936" s="32" t="s">
        <v>5515</v>
      </c>
      <c r="D936" s="32" t="s">
        <v>5516</v>
      </c>
      <c r="E936" s="44" t="s">
        <v>5517</v>
      </c>
      <c r="F936" s="44" t="s">
        <v>5518</v>
      </c>
      <c r="G936" s="44" t="s">
        <v>1840</v>
      </c>
      <c r="H936" s="29">
        <v>5</v>
      </c>
      <c r="I936" s="29" t="s">
        <v>605</v>
      </c>
      <c r="J936" s="29" t="s">
        <v>5359</v>
      </c>
      <c r="K936" s="29" t="s">
        <v>199</v>
      </c>
      <c r="L936" s="23">
        <f t="shared" si="34"/>
        <v>1784.8214285714284</v>
      </c>
      <c r="M936" s="23">
        <f t="shared" si="35"/>
        <v>214.17857142857142</v>
      </c>
      <c r="N936" s="60">
        <v>1999</v>
      </c>
      <c r="O936" s="61" t="s">
        <v>5519</v>
      </c>
      <c r="P936" s="29" t="s">
        <v>339</v>
      </c>
      <c r="Q936" s="29" t="s">
        <v>58</v>
      </c>
      <c r="R936" s="29"/>
    </row>
    <row r="937" spans="1:18" x14ac:dyDescent="0.3">
      <c r="A937" s="59">
        <v>45316</v>
      </c>
      <c r="B937" s="32" t="s">
        <v>5520</v>
      </c>
      <c r="C937" s="32" t="s">
        <v>5521</v>
      </c>
      <c r="D937" s="32" t="s">
        <v>5522</v>
      </c>
      <c r="E937" s="44" t="s">
        <v>5523</v>
      </c>
      <c r="F937" s="44" t="s">
        <v>5524</v>
      </c>
      <c r="G937" s="44" t="s">
        <v>1919</v>
      </c>
      <c r="H937" s="29">
        <v>3</v>
      </c>
      <c r="I937" s="29" t="s">
        <v>617</v>
      </c>
      <c r="J937" s="29" t="s">
        <v>539</v>
      </c>
      <c r="K937" s="29" t="s">
        <v>1005</v>
      </c>
      <c r="L937" s="23">
        <f t="shared" si="34"/>
        <v>937.49999999999989</v>
      </c>
      <c r="M937" s="23">
        <f t="shared" si="35"/>
        <v>112.49999999999999</v>
      </c>
      <c r="N937" s="60">
        <v>1050</v>
      </c>
      <c r="O937" s="61" t="s">
        <v>5525</v>
      </c>
      <c r="P937" s="29" t="s">
        <v>335</v>
      </c>
      <c r="Q937" s="29" t="s">
        <v>2344</v>
      </c>
      <c r="R937" s="29"/>
    </row>
    <row r="938" spans="1:18" x14ac:dyDescent="0.3">
      <c r="A938" s="59">
        <v>45317</v>
      </c>
      <c r="B938" s="32" t="s">
        <v>5526</v>
      </c>
      <c r="C938" s="32" t="s">
        <v>5527</v>
      </c>
      <c r="D938" s="32" t="s">
        <v>5528</v>
      </c>
      <c r="E938" s="44" t="s">
        <v>5529</v>
      </c>
      <c r="F938" s="44" t="s">
        <v>5530</v>
      </c>
      <c r="G938" s="44" t="s">
        <v>1919</v>
      </c>
      <c r="H938" s="29">
        <v>3</v>
      </c>
      <c r="I938" s="29"/>
      <c r="J938" s="29"/>
      <c r="K938" s="29"/>
      <c r="L938" s="23">
        <f t="shared" si="34"/>
        <v>0</v>
      </c>
      <c r="M938" s="23">
        <f t="shared" si="35"/>
        <v>0</v>
      </c>
      <c r="N938" s="60"/>
      <c r="O938" s="61" t="s">
        <v>5531</v>
      </c>
      <c r="P938" s="29" t="s">
        <v>339</v>
      </c>
      <c r="Q938" s="29" t="s">
        <v>65</v>
      </c>
      <c r="R938" s="29"/>
    </row>
    <row r="939" spans="1:18" x14ac:dyDescent="0.3">
      <c r="A939" s="59">
        <v>45317</v>
      </c>
      <c r="B939" s="32" t="s">
        <v>5532</v>
      </c>
      <c r="C939" s="32" t="s">
        <v>5533</v>
      </c>
      <c r="D939" s="32" t="s">
        <v>5534</v>
      </c>
      <c r="E939" s="44" t="s">
        <v>5535</v>
      </c>
      <c r="F939" s="44" t="s">
        <v>5536</v>
      </c>
      <c r="G939" s="44" t="s">
        <v>2153</v>
      </c>
      <c r="H939" s="29">
        <v>10</v>
      </c>
      <c r="I939" s="29" t="s">
        <v>617</v>
      </c>
      <c r="J939" s="29" t="s">
        <v>539</v>
      </c>
      <c r="K939" s="29" t="s">
        <v>199</v>
      </c>
      <c r="L939" s="23">
        <f t="shared" si="34"/>
        <v>3571.4285714285711</v>
      </c>
      <c r="M939" s="23">
        <f t="shared" si="35"/>
        <v>428.5714285714285</v>
      </c>
      <c r="N939" s="60">
        <v>4000</v>
      </c>
      <c r="O939" s="61" t="s">
        <v>5537</v>
      </c>
      <c r="P939" s="29" t="s">
        <v>5538</v>
      </c>
      <c r="Q939" s="29" t="s">
        <v>2344</v>
      </c>
      <c r="R939" s="29"/>
    </row>
    <row r="940" spans="1:18" x14ac:dyDescent="0.3">
      <c r="A940" s="59">
        <v>45318</v>
      </c>
      <c r="B940" s="32" t="s">
        <v>5539</v>
      </c>
      <c r="C940" s="32" t="s">
        <v>5540</v>
      </c>
      <c r="D940" s="32" t="s">
        <v>5541</v>
      </c>
      <c r="E940" s="44" t="s">
        <v>5542</v>
      </c>
      <c r="F940" s="44" t="s">
        <v>5543</v>
      </c>
      <c r="G940" s="44" t="s">
        <v>1833</v>
      </c>
      <c r="H940" s="29">
        <v>4</v>
      </c>
      <c r="I940" s="29" t="s">
        <v>605</v>
      </c>
      <c r="J940" s="29" t="s">
        <v>539</v>
      </c>
      <c r="K940" s="29" t="s">
        <v>1005</v>
      </c>
      <c r="L940" s="23">
        <f t="shared" si="34"/>
        <v>892.85714285714278</v>
      </c>
      <c r="M940" s="23">
        <f t="shared" si="35"/>
        <v>107.14285714285712</v>
      </c>
      <c r="N940" s="60">
        <v>1000</v>
      </c>
      <c r="O940" s="61" t="s">
        <v>5544</v>
      </c>
      <c r="P940" s="29" t="s">
        <v>1482</v>
      </c>
      <c r="Q940" s="29" t="s">
        <v>782</v>
      </c>
      <c r="R940" s="29"/>
    </row>
    <row r="941" spans="1:18" x14ac:dyDescent="0.3">
      <c r="A941" s="59">
        <v>45319</v>
      </c>
      <c r="B941" s="32" t="s">
        <v>5545</v>
      </c>
      <c r="C941" s="32" t="s">
        <v>385</v>
      </c>
      <c r="D941" s="32" t="s">
        <v>5546</v>
      </c>
      <c r="E941" s="44" t="s">
        <v>5547</v>
      </c>
      <c r="F941" s="44" t="s">
        <v>5548</v>
      </c>
      <c r="G941" s="44" t="s">
        <v>1962</v>
      </c>
      <c r="H941" s="29">
        <v>5</v>
      </c>
      <c r="I941" s="29" t="s">
        <v>605</v>
      </c>
      <c r="J941" s="29" t="s">
        <v>539</v>
      </c>
      <c r="K941" s="29" t="s">
        <v>199</v>
      </c>
      <c r="L941" s="23">
        <f t="shared" si="34"/>
        <v>1874.9999999999998</v>
      </c>
      <c r="M941" s="23">
        <f t="shared" si="35"/>
        <v>224.99999999999997</v>
      </c>
      <c r="N941" s="60">
        <v>2100</v>
      </c>
      <c r="O941" s="61" t="s">
        <v>5549</v>
      </c>
      <c r="P941" s="29" t="s">
        <v>335</v>
      </c>
      <c r="Q941" s="29" t="s">
        <v>782</v>
      </c>
      <c r="R941" s="29"/>
    </row>
    <row r="942" spans="1:18" x14ac:dyDescent="0.3">
      <c r="A942" s="59">
        <v>45321</v>
      </c>
      <c r="B942" s="32" t="s">
        <v>5550</v>
      </c>
      <c r="C942" s="32" t="s">
        <v>5551</v>
      </c>
      <c r="D942" s="32" t="s">
        <v>5552</v>
      </c>
      <c r="E942" s="44" t="s">
        <v>5553</v>
      </c>
      <c r="F942" s="44" t="s">
        <v>5554</v>
      </c>
      <c r="G942" s="44" t="s">
        <v>1840</v>
      </c>
      <c r="H942" s="29">
        <v>5</v>
      </c>
      <c r="I942" s="29" t="s">
        <v>605</v>
      </c>
      <c r="J942" s="29" t="s">
        <v>539</v>
      </c>
      <c r="K942" s="29" t="s">
        <v>200</v>
      </c>
      <c r="L942" s="23">
        <f t="shared" si="34"/>
        <v>1776.7857142857142</v>
      </c>
      <c r="M942" s="23">
        <f t="shared" si="35"/>
        <v>213.21428571428569</v>
      </c>
      <c r="N942" s="60">
        <v>1990</v>
      </c>
      <c r="O942" s="61" t="s">
        <v>5555</v>
      </c>
      <c r="P942" s="29" t="s">
        <v>1482</v>
      </c>
      <c r="Q942" s="29" t="s">
        <v>65</v>
      </c>
      <c r="R942" s="29"/>
    </row>
    <row r="943" spans="1:18" x14ac:dyDescent="0.3">
      <c r="A943" s="59">
        <v>45321</v>
      </c>
      <c r="B943" s="32" t="s">
        <v>5556</v>
      </c>
      <c r="C943" s="32" t="s">
        <v>5557</v>
      </c>
      <c r="D943" s="32" t="s">
        <v>5558</v>
      </c>
      <c r="E943" s="44" t="s">
        <v>5559</v>
      </c>
      <c r="F943" s="44" t="s">
        <v>5560</v>
      </c>
      <c r="G943" s="44" t="s">
        <v>1919</v>
      </c>
      <c r="H943" s="29">
        <v>2</v>
      </c>
      <c r="I943" s="29" t="s">
        <v>605</v>
      </c>
      <c r="J943" s="29" t="s">
        <v>539</v>
      </c>
      <c r="K943" s="29" t="s">
        <v>1005</v>
      </c>
      <c r="L943" s="23">
        <f t="shared" si="34"/>
        <v>624.99999999999989</v>
      </c>
      <c r="M943" s="23">
        <f t="shared" si="35"/>
        <v>74.999999999999986</v>
      </c>
      <c r="N943" s="60">
        <v>700</v>
      </c>
      <c r="O943" s="61" t="s">
        <v>5561</v>
      </c>
      <c r="P943" s="29" t="s">
        <v>225</v>
      </c>
      <c r="Q943" s="29" t="s">
        <v>225</v>
      </c>
      <c r="R943" s="29"/>
    </row>
    <row r="944" spans="1:18" x14ac:dyDescent="0.3">
      <c r="A944" s="59">
        <v>45322</v>
      </c>
      <c r="B944" s="32" t="s">
        <v>5562</v>
      </c>
      <c r="C944" s="32" t="s">
        <v>5563</v>
      </c>
      <c r="D944" s="32" t="s">
        <v>5564</v>
      </c>
      <c r="E944" s="44" t="s">
        <v>5565</v>
      </c>
      <c r="F944" s="44" t="s">
        <v>5566</v>
      </c>
      <c r="G944" s="44" t="s">
        <v>1833</v>
      </c>
      <c r="H944" s="29">
        <v>3</v>
      </c>
      <c r="I944" s="29" t="s">
        <v>605</v>
      </c>
      <c r="J944" s="29" t="s">
        <v>5359</v>
      </c>
      <c r="K944" s="29" t="s">
        <v>199</v>
      </c>
      <c r="L944" s="23">
        <f t="shared" si="34"/>
        <v>624.99999999999989</v>
      </c>
      <c r="M944" s="23">
        <f t="shared" si="35"/>
        <v>74.999999999999986</v>
      </c>
      <c r="N944" s="60">
        <v>700</v>
      </c>
      <c r="O944" s="61" t="s">
        <v>5567</v>
      </c>
      <c r="P944" s="29" t="s">
        <v>339</v>
      </c>
      <c r="Q944" s="29" t="s">
        <v>782</v>
      </c>
      <c r="R944" s="29"/>
    </row>
    <row r="945" spans="1:18" x14ac:dyDescent="0.3">
      <c r="A945" s="59">
        <v>45322</v>
      </c>
      <c r="B945" s="32" t="s">
        <v>5568</v>
      </c>
      <c r="C945" s="32" t="s">
        <v>5569</v>
      </c>
      <c r="D945" s="32" t="s">
        <v>5570</v>
      </c>
      <c r="E945" s="44" t="s">
        <v>5571</v>
      </c>
      <c r="F945" s="44" t="s">
        <v>5572</v>
      </c>
      <c r="G945" s="44" t="s">
        <v>1919</v>
      </c>
      <c r="H945" s="47">
        <v>5</v>
      </c>
      <c r="I945" s="47" t="s">
        <v>605</v>
      </c>
      <c r="J945" s="67" t="s">
        <v>539</v>
      </c>
      <c r="K945" s="67" t="s">
        <v>327</v>
      </c>
      <c r="L945" s="23">
        <f t="shared" si="34"/>
        <v>1339.2857142857142</v>
      </c>
      <c r="M945" s="23">
        <f t="shared" si="35"/>
        <v>160.71428571428569</v>
      </c>
      <c r="N945" s="68">
        <v>1500</v>
      </c>
      <c r="O945" s="61" t="s">
        <v>5573</v>
      </c>
      <c r="P945" s="29" t="s">
        <v>335</v>
      </c>
      <c r="Q945" s="29" t="s">
        <v>225</v>
      </c>
      <c r="R945" s="274"/>
    </row>
    <row r="946" spans="1:18" x14ac:dyDescent="0.3">
      <c r="A946" s="59">
        <v>45322</v>
      </c>
      <c r="B946" s="32" t="s">
        <v>5574</v>
      </c>
      <c r="C946" s="32" t="s">
        <v>5575</v>
      </c>
      <c r="D946" s="32" t="s">
        <v>5576</v>
      </c>
      <c r="E946" s="44" t="s">
        <v>5577</v>
      </c>
      <c r="F946" s="44" t="s">
        <v>5578</v>
      </c>
      <c r="G946" s="44" t="s">
        <v>1833</v>
      </c>
      <c r="H946" s="29">
        <v>3</v>
      </c>
      <c r="I946" s="29" t="s">
        <v>605</v>
      </c>
      <c r="J946" s="67" t="s">
        <v>5359</v>
      </c>
      <c r="K946" s="67" t="s">
        <v>199</v>
      </c>
      <c r="L946" s="23">
        <f t="shared" si="34"/>
        <v>892.85714285714278</v>
      </c>
      <c r="M946" s="23">
        <f t="shared" si="35"/>
        <v>107.14285714285712</v>
      </c>
      <c r="N946" s="62">
        <v>1000</v>
      </c>
      <c r="O946" s="61" t="s">
        <v>5579</v>
      </c>
      <c r="P946" s="29" t="s">
        <v>58</v>
      </c>
      <c r="Q946" s="29" t="s">
        <v>225</v>
      </c>
      <c r="R946" s="29"/>
    </row>
    <row r="947" spans="1:18" x14ac:dyDescent="0.3">
      <c r="A947" s="59">
        <v>45323</v>
      </c>
      <c r="B947" s="32" t="s">
        <v>5580</v>
      </c>
      <c r="C947" s="32" t="s">
        <v>5581</v>
      </c>
      <c r="D947" s="32" t="s">
        <v>5582</v>
      </c>
      <c r="E947" s="44" t="s">
        <v>5583</v>
      </c>
      <c r="F947" s="44" t="s">
        <v>5584</v>
      </c>
      <c r="G947" s="275" t="s">
        <v>1214</v>
      </c>
      <c r="H947" s="276"/>
      <c r="I947" s="276"/>
      <c r="J947" s="276"/>
      <c r="K947" s="277"/>
      <c r="L947" s="23">
        <f t="shared" si="34"/>
        <v>714.28571428571422</v>
      </c>
      <c r="M947" s="23">
        <f t="shared" si="35"/>
        <v>85.714285714285708</v>
      </c>
      <c r="N947" s="60">
        <v>800</v>
      </c>
      <c r="O947" s="61" t="s">
        <v>5585</v>
      </c>
      <c r="P947" s="29" t="s">
        <v>1482</v>
      </c>
      <c r="Q947" s="29" t="s">
        <v>65</v>
      </c>
      <c r="R947" s="29"/>
    </row>
    <row r="948" spans="1:18" x14ac:dyDescent="0.3">
      <c r="A948" s="59">
        <v>45323</v>
      </c>
      <c r="B948" s="32" t="s">
        <v>5586</v>
      </c>
      <c r="C948" s="32" t="s">
        <v>5587</v>
      </c>
      <c r="D948" s="32" t="s">
        <v>5588</v>
      </c>
      <c r="E948" s="44" t="s">
        <v>5589</v>
      </c>
      <c r="F948" s="44" t="s">
        <v>5590</v>
      </c>
      <c r="G948" s="44" t="s">
        <v>1926</v>
      </c>
      <c r="H948" s="29">
        <v>3</v>
      </c>
      <c r="I948" s="29" t="s">
        <v>605</v>
      </c>
      <c r="J948" s="29" t="s">
        <v>539</v>
      </c>
      <c r="K948" s="29" t="s">
        <v>200</v>
      </c>
      <c r="L948" s="23">
        <f t="shared" si="34"/>
        <v>892.85714285714278</v>
      </c>
      <c r="M948" s="23">
        <f t="shared" si="35"/>
        <v>107.14285714285712</v>
      </c>
      <c r="N948" s="60">
        <v>1000</v>
      </c>
      <c r="O948" s="61" t="s">
        <v>5591</v>
      </c>
      <c r="P948" s="29" t="s">
        <v>66</v>
      </c>
      <c r="Q948" s="29" t="s">
        <v>225</v>
      </c>
      <c r="R948" s="29"/>
    </row>
    <row r="949" spans="1:18" x14ac:dyDescent="0.3">
      <c r="A949" s="59">
        <v>45323</v>
      </c>
      <c r="B949" s="32" t="s">
        <v>5592</v>
      </c>
      <c r="C949" s="33" t="s">
        <v>5593</v>
      </c>
      <c r="D949" s="32" t="s">
        <v>5594</v>
      </c>
      <c r="E949" s="44" t="s">
        <v>5595</v>
      </c>
      <c r="F949" s="44" t="s">
        <v>5596</v>
      </c>
      <c r="G949" s="44" t="s">
        <v>1833</v>
      </c>
      <c r="H949" s="29">
        <v>3</v>
      </c>
      <c r="I949" s="29" t="s">
        <v>605</v>
      </c>
      <c r="J949" s="29" t="s">
        <v>539</v>
      </c>
      <c r="K949" s="29" t="s">
        <v>199</v>
      </c>
      <c r="L949" s="23">
        <f t="shared" si="34"/>
        <v>892.85714285714278</v>
      </c>
      <c r="M949" s="23">
        <f t="shared" si="35"/>
        <v>107.14285714285712</v>
      </c>
      <c r="N949" s="60">
        <v>1000</v>
      </c>
      <c r="O949" s="61" t="s">
        <v>5597</v>
      </c>
      <c r="P949" s="29" t="s">
        <v>58</v>
      </c>
      <c r="Q949" s="29" t="s">
        <v>58</v>
      </c>
      <c r="R949" s="29"/>
    </row>
    <row r="950" spans="1:18" x14ac:dyDescent="0.3">
      <c r="A950" s="59">
        <v>45324</v>
      </c>
      <c r="B950" s="32" t="s">
        <v>5598</v>
      </c>
      <c r="C950" s="32"/>
      <c r="D950" s="32"/>
      <c r="E950" s="44"/>
      <c r="F950" s="44"/>
      <c r="G950" s="44"/>
      <c r="H950" s="29"/>
      <c r="I950" s="29"/>
      <c r="J950" s="29"/>
      <c r="K950" s="29"/>
      <c r="L950" s="23">
        <f t="shared" si="34"/>
        <v>0</v>
      </c>
      <c r="M950" s="23">
        <f t="shared" si="35"/>
        <v>0</v>
      </c>
      <c r="N950" s="60"/>
      <c r="O950" s="61"/>
      <c r="P950" s="29"/>
      <c r="Q950" s="29"/>
      <c r="R950" s="29"/>
    </row>
    <row r="951" spans="1:18" x14ac:dyDescent="0.3">
      <c r="A951" s="59">
        <v>45324</v>
      </c>
      <c r="B951" s="32" t="s">
        <v>5599</v>
      </c>
      <c r="C951" s="32" t="s">
        <v>5600</v>
      </c>
      <c r="D951" s="32" t="s">
        <v>5601</v>
      </c>
      <c r="E951" s="44" t="s">
        <v>5602</v>
      </c>
      <c r="F951" s="44" t="s">
        <v>5603</v>
      </c>
      <c r="G951" s="44" t="s">
        <v>1919</v>
      </c>
      <c r="H951" s="29">
        <v>5</v>
      </c>
      <c r="I951" s="29" t="s">
        <v>871</v>
      </c>
      <c r="J951" s="29" t="s">
        <v>539</v>
      </c>
      <c r="K951" s="29" t="s">
        <v>1586</v>
      </c>
      <c r="L951" s="23">
        <f t="shared" si="34"/>
        <v>982.142857142857</v>
      </c>
      <c r="M951" s="23">
        <f t="shared" si="35"/>
        <v>117.85714285714283</v>
      </c>
      <c r="N951" s="60">
        <v>1100</v>
      </c>
      <c r="O951" s="61" t="s">
        <v>5604</v>
      </c>
      <c r="P951" s="29" t="s">
        <v>335</v>
      </c>
      <c r="Q951" s="29" t="s">
        <v>2022</v>
      </c>
      <c r="R951" s="29"/>
    </row>
    <row r="952" spans="1:18" x14ac:dyDescent="0.3">
      <c r="A952" s="59">
        <v>45324</v>
      </c>
      <c r="B952" s="32" t="s">
        <v>5605</v>
      </c>
      <c r="C952" s="32" t="s">
        <v>5606</v>
      </c>
      <c r="D952" s="32" t="s">
        <v>5607</v>
      </c>
      <c r="E952" s="44" t="s">
        <v>5608</v>
      </c>
      <c r="F952" s="44" t="s">
        <v>5609</v>
      </c>
      <c r="G952" s="44" t="s">
        <v>1826</v>
      </c>
      <c r="H952" s="29">
        <v>4</v>
      </c>
      <c r="I952" s="29" t="s">
        <v>605</v>
      </c>
      <c r="J952" s="29" t="s">
        <v>539</v>
      </c>
      <c r="K952" s="29" t="s">
        <v>199</v>
      </c>
      <c r="L952" s="23">
        <f t="shared" si="34"/>
        <v>1205.3571428571427</v>
      </c>
      <c r="M952" s="23">
        <f t="shared" si="35"/>
        <v>144.64285714285711</v>
      </c>
      <c r="N952" s="60">
        <v>1350</v>
      </c>
      <c r="O952" s="61" t="s">
        <v>5610</v>
      </c>
      <c r="P952" s="29" t="s">
        <v>731</v>
      </c>
      <c r="Q952" s="29" t="s">
        <v>58</v>
      </c>
      <c r="R952" s="29"/>
    </row>
    <row r="953" spans="1:18" x14ac:dyDescent="0.3">
      <c r="A953" s="59">
        <v>45325</v>
      </c>
      <c r="B953" s="32" t="s">
        <v>5611</v>
      </c>
      <c r="C953" s="32" t="s">
        <v>5612</v>
      </c>
      <c r="D953" s="32" t="s">
        <v>5613</v>
      </c>
      <c r="E953" s="44" t="s">
        <v>5614</v>
      </c>
      <c r="F953" s="44" t="s">
        <v>5615</v>
      </c>
      <c r="G953" s="44" t="s">
        <v>1833</v>
      </c>
      <c r="H953" s="29">
        <v>4</v>
      </c>
      <c r="I953" s="29" t="s">
        <v>605</v>
      </c>
      <c r="J953" s="29" t="s">
        <v>539</v>
      </c>
      <c r="K953" s="29" t="s">
        <v>199</v>
      </c>
      <c r="L953" s="23">
        <f t="shared" si="34"/>
        <v>714.28571428571422</v>
      </c>
      <c r="M953" s="23">
        <f t="shared" si="35"/>
        <v>85.714285714285708</v>
      </c>
      <c r="N953" s="60">
        <v>800</v>
      </c>
      <c r="O953" s="61" t="s">
        <v>5616</v>
      </c>
      <c r="P953" s="29" t="s">
        <v>731</v>
      </c>
      <c r="Q953" s="29" t="s">
        <v>58</v>
      </c>
      <c r="R953" s="29"/>
    </row>
    <row r="954" spans="1:18" x14ac:dyDescent="0.3">
      <c r="A954" s="59">
        <v>45325</v>
      </c>
      <c r="B954" s="32" t="s">
        <v>5617</v>
      </c>
      <c r="C954" s="32" t="s">
        <v>5618</v>
      </c>
      <c r="D954" s="32" t="s">
        <v>5619</v>
      </c>
      <c r="E954" s="44" t="s">
        <v>5620</v>
      </c>
      <c r="F954" s="44" t="s">
        <v>5621</v>
      </c>
      <c r="G954" s="44" t="s">
        <v>1840</v>
      </c>
      <c r="H954" s="29">
        <v>5</v>
      </c>
      <c r="I954" s="29" t="s">
        <v>871</v>
      </c>
      <c r="J954" s="29" t="s">
        <v>539</v>
      </c>
      <c r="K954" s="29" t="s">
        <v>1586</v>
      </c>
      <c r="L954" s="23">
        <f t="shared" si="34"/>
        <v>1874.9999999999998</v>
      </c>
      <c r="M954" s="23">
        <f t="shared" si="35"/>
        <v>224.99999999999997</v>
      </c>
      <c r="N954" s="60">
        <v>2100</v>
      </c>
      <c r="O954" s="61" t="s">
        <v>5622</v>
      </c>
      <c r="P954" s="29" t="s">
        <v>2022</v>
      </c>
      <c r="Q954" s="29" t="s">
        <v>2022</v>
      </c>
      <c r="R954" s="29"/>
    </row>
    <row r="955" spans="1:18" x14ac:dyDescent="0.3">
      <c r="A955" s="59">
        <v>45325</v>
      </c>
      <c r="B955" s="32" t="s">
        <v>5623</v>
      </c>
      <c r="C955" s="32" t="s">
        <v>5624</v>
      </c>
      <c r="D955" s="32" t="s">
        <v>5625</v>
      </c>
      <c r="E955" s="44" t="s">
        <v>5626</v>
      </c>
      <c r="F955" s="44" t="s">
        <v>5627</v>
      </c>
      <c r="G955" s="44" t="s">
        <v>1919</v>
      </c>
      <c r="H955" s="29">
        <v>5</v>
      </c>
      <c r="I955" s="29" t="s">
        <v>605</v>
      </c>
      <c r="J955" s="29" t="s">
        <v>539</v>
      </c>
      <c r="K955" s="29" t="s">
        <v>199</v>
      </c>
      <c r="L955" s="23">
        <f t="shared" si="34"/>
        <v>1776.7857142857142</v>
      </c>
      <c r="M955" s="23">
        <f t="shared" si="35"/>
        <v>213.21428571428569</v>
      </c>
      <c r="N955" s="60">
        <v>1990</v>
      </c>
      <c r="O955" s="61" t="s">
        <v>5628</v>
      </c>
      <c r="P955" s="29" t="s">
        <v>691</v>
      </c>
      <c r="Q955" s="29" t="s">
        <v>225</v>
      </c>
      <c r="R955" s="29"/>
    </row>
    <row r="956" spans="1:18" x14ac:dyDescent="0.3">
      <c r="A956" s="59">
        <v>45328</v>
      </c>
      <c r="B956" s="32" t="s">
        <v>5629</v>
      </c>
      <c r="C956" s="32"/>
      <c r="D956" s="32"/>
      <c r="E956" s="44"/>
      <c r="F956" s="44"/>
      <c r="G956" s="44"/>
      <c r="H956" s="29"/>
      <c r="I956" s="29"/>
      <c r="J956" s="29"/>
      <c r="K956" s="29"/>
      <c r="L956" s="23">
        <f t="shared" si="34"/>
        <v>0</v>
      </c>
      <c r="M956" s="23">
        <f t="shared" si="35"/>
        <v>0</v>
      </c>
      <c r="N956" s="62"/>
      <c r="O956" s="61"/>
      <c r="P956" s="29"/>
      <c r="Q956" s="29"/>
      <c r="R956" s="29"/>
    </row>
    <row r="957" spans="1:18" x14ac:dyDescent="0.3">
      <c r="A957" s="59">
        <v>45328</v>
      </c>
      <c r="B957" s="32" t="s">
        <v>5630</v>
      </c>
      <c r="C957" s="32" t="s">
        <v>5631</v>
      </c>
      <c r="D957" s="32" t="s">
        <v>5632</v>
      </c>
      <c r="E957" s="44" t="s">
        <v>5633</v>
      </c>
      <c r="F957" s="44" t="s">
        <v>5634</v>
      </c>
      <c r="G957" s="44" t="s">
        <v>1826</v>
      </c>
      <c r="H957" s="29">
        <v>5</v>
      </c>
      <c r="I957" s="29" t="s">
        <v>605</v>
      </c>
      <c r="J957" s="29" t="s">
        <v>539</v>
      </c>
      <c r="K957" s="29" t="s">
        <v>199</v>
      </c>
      <c r="L957" s="23">
        <f t="shared" si="34"/>
        <v>1776.7857142857142</v>
      </c>
      <c r="M957" s="23">
        <f t="shared" si="35"/>
        <v>213.21428571428569</v>
      </c>
      <c r="N957" s="62">
        <v>1990</v>
      </c>
      <c r="O957" s="61" t="s">
        <v>5635</v>
      </c>
      <c r="P957" s="29" t="s">
        <v>731</v>
      </c>
      <c r="Q957" s="29" t="s">
        <v>225</v>
      </c>
      <c r="R957" s="29"/>
    </row>
    <row r="958" spans="1:18" x14ac:dyDescent="0.3">
      <c r="A958" s="59">
        <v>45329</v>
      </c>
      <c r="B958" s="32" t="s">
        <v>5636</v>
      </c>
      <c r="C958" s="32" t="s">
        <v>5637</v>
      </c>
      <c r="D958" s="32" t="s">
        <v>5638</v>
      </c>
      <c r="E958" s="44" t="s">
        <v>5639</v>
      </c>
      <c r="F958" s="44" t="s">
        <v>5640</v>
      </c>
      <c r="G958" s="44" t="s">
        <v>1833</v>
      </c>
      <c r="H958" s="29">
        <v>3</v>
      </c>
      <c r="I958" s="29" t="s">
        <v>605</v>
      </c>
      <c r="J958" s="29" t="s">
        <v>5359</v>
      </c>
      <c r="K958" s="29" t="s">
        <v>199</v>
      </c>
      <c r="L958" s="23">
        <f t="shared" si="34"/>
        <v>982.142857142857</v>
      </c>
      <c r="M958" s="23">
        <f t="shared" si="35"/>
        <v>117.85714285714283</v>
      </c>
      <c r="N958" s="60">
        <v>1100</v>
      </c>
      <c r="O958" s="61" t="s">
        <v>5641</v>
      </c>
      <c r="P958" s="29" t="s">
        <v>1482</v>
      </c>
      <c r="Q958" s="29" t="s">
        <v>225</v>
      </c>
      <c r="R958" s="29"/>
    </row>
    <row r="959" spans="1:18" x14ac:dyDescent="0.3">
      <c r="A959" s="59">
        <v>45329</v>
      </c>
      <c r="B959" s="32" t="s">
        <v>5642</v>
      </c>
      <c r="C959" s="32" t="s">
        <v>5643</v>
      </c>
      <c r="D959" s="32" t="s">
        <v>1088</v>
      </c>
      <c r="E959" s="44" t="s">
        <v>5644</v>
      </c>
      <c r="F959" s="44" t="s">
        <v>5645</v>
      </c>
      <c r="G959" s="44" t="s">
        <v>1840</v>
      </c>
      <c r="H959" s="29">
        <v>3</v>
      </c>
      <c r="I959" s="29" t="s">
        <v>605</v>
      </c>
      <c r="J959" s="29" t="s">
        <v>539</v>
      </c>
      <c r="K959" s="29" t="s">
        <v>2488</v>
      </c>
      <c r="L959" s="23">
        <f t="shared" si="34"/>
        <v>1339.2857142857142</v>
      </c>
      <c r="M959" s="23">
        <f t="shared" si="35"/>
        <v>160.71428571428569</v>
      </c>
      <c r="N959" s="60">
        <v>1500</v>
      </c>
      <c r="O959" s="61" t="s">
        <v>5646</v>
      </c>
      <c r="P959" s="29" t="s">
        <v>224</v>
      </c>
      <c r="Q959" s="29" t="s">
        <v>2022</v>
      </c>
      <c r="R959" s="29"/>
    </row>
    <row r="960" spans="1:18" x14ac:dyDescent="0.3">
      <c r="A960" s="59">
        <v>45330</v>
      </c>
      <c r="B960" s="32" t="s">
        <v>5647</v>
      </c>
      <c r="C960" s="32" t="s">
        <v>5648</v>
      </c>
      <c r="D960" s="32" t="s">
        <v>5649</v>
      </c>
      <c r="E960" s="44" t="s">
        <v>5650</v>
      </c>
      <c r="F960" s="44" t="s">
        <v>5651</v>
      </c>
      <c r="G960" s="44" t="s">
        <v>1919</v>
      </c>
      <c r="H960" s="29">
        <v>3</v>
      </c>
      <c r="I960" s="29" t="s">
        <v>605</v>
      </c>
      <c r="J960" s="29" t="s">
        <v>539</v>
      </c>
      <c r="K960" s="29" t="s">
        <v>1586</v>
      </c>
      <c r="L960" s="23">
        <f t="shared" si="34"/>
        <v>624.99999999999989</v>
      </c>
      <c r="M960" s="23">
        <f t="shared" si="35"/>
        <v>74.999999999999986</v>
      </c>
      <c r="N960" s="60">
        <v>700</v>
      </c>
      <c r="O960" s="61" t="s">
        <v>5652</v>
      </c>
      <c r="P960" s="29" t="s">
        <v>5653</v>
      </c>
      <c r="Q960" s="29" t="s">
        <v>58</v>
      </c>
      <c r="R960" s="29"/>
    </row>
    <row r="961" spans="1:18" x14ac:dyDescent="0.3">
      <c r="A961" s="59">
        <v>45330</v>
      </c>
      <c r="B961" s="32" t="s">
        <v>5654</v>
      </c>
      <c r="C961" s="32" t="s">
        <v>5655</v>
      </c>
      <c r="D961" s="32" t="s">
        <v>5656</v>
      </c>
      <c r="E961" s="44" t="s">
        <v>5657</v>
      </c>
      <c r="F961" s="44" t="s">
        <v>5658</v>
      </c>
      <c r="G961" s="44" t="s">
        <v>1919</v>
      </c>
      <c r="H961" s="29">
        <v>3</v>
      </c>
      <c r="I961" s="29" t="s">
        <v>605</v>
      </c>
      <c r="J961" s="29" t="s">
        <v>539</v>
      </c>
      <c r="K961" s="29" t="s">
        <v>199</v>
      </c>
      <c r="L961" s="23">
        <f t="shared" si="34"/>
        <v>1071.4285714285713</v>
      </c>
      <c r="M961" s="23">
        <f t="shared" si="35"/>
        <v>128.57142857142856</v>
      </c>
      <c r="N961" s="60">
        <v>1200</v>
      </c>
      <c r="O961" s="61" t="s">
        <v>5659</v>
      </c>
      <c r="P961" s="29" t="s">
        <v>335</v>
      </c>
      <c r="Q961" s="29" t="s">
        <v>65</v>
      </c>
      <c r="R961" s="29"/>
    </row>
    <row r="962" spans="1:18" x14ac:dyDescent="0.3">
      <c r="A962" s="59">
        <v>45331</v>
      </c>
      <c r="B962" s="32" t="s">
        <v>5660</v>
      </c>
      <c r="C962" s="32" t="s">
        <v>5661</v>
      </c>
      <c r="D962" s="32" t="s">
        <v>5662</v>
      </c>
      <c r="E962" s="44" t="s">
        <v>5663</v>
      </c>
      <c r="F962" s="44" t="s">
        <v>5664</v>
      </c>
      <c r="G962" s="44" t="s">
        <v>1919</v>
      </c>
      <c r="H962" s="29">
        <v>3</v>
      </c>
      <c r="I962" s="29" t="s">
        <v>605</v>
      </c>
      <c r="J962" s="29" t="s">
        <v>539</v>
      </c>
      <c r="K962" s="29" t="s">
        <v>199</v>
      </c>
      <c r="L962" s="23">
        <f t="shared" si="34"/>
        <v>267.85714285714283</v>
      </c>
      <c r="M962" s="23">
        <f t="shared" si="35"/>
        <v>32.142857142857139</v>
      </c>
      <c r="N962" s="60">
        <v>300</v>
      </c>
      <c r="O962" s="61"/>
      <c r="P962" s="29" t="s">
        <v>782</v>
      </c>
      <c r="Q962" s="29" t="s">
        <v>782</v>
      </c>
      <c r="R962" s="29"/>
    </row>
    <row r="963" spans="1:18" x14ac:dyDescent="0.3">
      <c r="A963" s="59">
        <v>45331</v>
      </c>
      <c r="B963" s="32" t="s">
        <v>5665</v>
      </c>
      <c r="C963" s="32" t="s">
        <v>5666</v>
      </c>
      <c r="D963" s="32" t="s">
        <v>5667</v>
      </c>
      <c r="E963" s="44" t="s">
        <v>5668</v>
      </c>
      <c r="F963" s="44" t="s">
        <v>5669</v>
      </c>
      <c r="G963" s="44" t="s">
        <v>1840</v>
      </c>
      <c r="H963" s="29">
        <v>4</v>
      </c>
      <c r="I963" s="29" t="s">
        <v>605</v>
      </c>
      <c r="J963" s="29" t="s">
        <v>539</v>
      </c>
      <c r="K963" s="29" t="s">
        <v>2488</v>
      </c>
      <c r="L963" s="23">
        <f t="shared" si="34"/>
        <v>803.57142857142844</v>
      </c>
      <c r="M963" s="23">
        <f t="shared" si="35"/>
        <v>96.428571428571416</v>
      </c>
      <c r="N963" s="60">
        <v>900</v>
      </c>
      <c r="O963" s="61" t="s">
        <v>5670</v>
      </c>
      <c r="P963" s="29" t="s">
        <v>58</v>
      </c>
      <c r="Q963" s="29" t="s">
        <v>58</v>
      </c>
      <c r="R963" s="29"/>
    </row>
    <row r="964" spans="1:18" x14ac:dyDescent="0.3">
      <c r="A964" s="59">
        <v>45331</v>
      </c>
      <c r="B964" s="32" t="s">
        <v>5671</v>
      </c>
      <c r="C964" s="32" t="s">
        <v>5672</v>
      </c>
      <c r="D964" s="32" t="s">
        <v>5673</v>
      </c>
      <c r="E964" s="44" t="s">
        <v>5674</v>
      </c>
      <c r="F964" s="44" t="s">
        <v>5675</v>
      </c>
      <c r="G964" s="44" t="s">
        <v>1962</v>
      </c>
      <c r="H964" s="29">
        <v>10</v>
      </c>
      <c r="I964" s="29" t="s">
        <v>605</v>
      </c>
      <c r="J964" s="29" t="s">
        <v>539</v>
      </c>
      <c r="K964" s="29" t="s">
        <v>199</v>
      </c>
      <c r="L964" s="23">
        <f t="shared" si="34"/>
        <v>3035.7142857142853</v>
      </c>
      <c r="M964" s="23">
        <f t="shared" si="35"/>
        <v>364.28571428571422</v>
      </c>
      <c r="N964" s="60">
        <v>3400</v>
      </c>
      <c r="O964" s="61" t="s">
        <v>5676</v>
      </c>
      <c r="P964" s="29" t="s">
        <v>65</v>
      </c>
      <c r="Q964" s="29" t="s">
        <v>65</v>
      </c>
      <c r="R964" s="29"/>
    </row>
    <row r="965" spans="1:18" x14ac:dyDescent="0.3">
      <c r="A965" s="59">
        <v>45332</v>
      </c>
      <c r="B965" s="32" t="s">
        <v>5677</v>
      </c>
      <c r="C965" s="32" t="s">
        <v>5678</v>
      </c>
      <c r="D965" s="32" t="s">
        <v>5679</v>
      </c>
      <c r="E965" s="44" t="s">
        <v>5680</v>
      </c>
      <c r="F965" s="44" t="s">
        <v>5681</v>
      </c>
      <c r="G965" s="44" t="s">
        <v>1833</v>
      </c>
      <c r="H965" s="29">
        <v>3</v>
      </c>
      <c r="I965" s="29" t="s">
        <v>605</v>
      </c>
      <c r="J965" s="29" t="s">
        <v>539</v>
      </c>
      <c r="K965" s="29" t="s">
        <v>199</v>
      </c>
      <c r="L965" s="23">
        <f t="shared" si="34"/>
        <v>982.142857142857</v>
      </c>
      <c r="M965" s="23">
        <f t="shared" si="35"/>
        <v>117.85714285714283</v>
      </c>
      <c r="N965" s="60">
        <v>1100</v>
      </c>
      <c r="O965" s="61" t="s">
        <v>5682</v>
      </c>
      <c r="P965" s="29" t="s">
        <v>224</v>
      </c>
      <c r="Q965" s="29" t="s">
        <v>225</v>
      </c>
      <c r="R965" s="29"/>
    </row>
    <row r="966" spans="1:18" x14ac:dyDescent="0.3">
      <c r="A966" s="59">
        <v>45337</v>
      </c>
      <c r="B966" s="32" t="s">
        <v>5683</v>
      </c>
      <c r="C966" s="32" t="s">
        <v>5684</v>
      </c>
      <c r="D966" s="32" t="s">
        <v>5685</v>
      </c>
      <c r="E966" s="44" t="s">
        <v>5686</v>
      </c>
      <c r="F966" s="44" t="s">
        <v>5687</v>
      </c>
      <c r="G966" s="44" t="s">
        <v>1962</v>
      </c>
      <c r="H966" s="29">
        <v>6</v>
      </c>
      <c r="I966" s="227" t="s">
        <v>605</v>
      </c>
      <c r="J966" s="29" t="s">
        <v>539</v>
      </c>
      <c r="K966" s="29" t="s">
        <v>980</v>
      </c>
      <c r="L966" s="273">
        <f t="shared" si="34"/>
        <v>1160.7142857142856</v>
      </c>
      <c r="M966" s="23">
        <f t="shared" si="35"/>
        <v>139.28571428571425</v>
      </c>
      <c r="N966" s="60">
        <v>1300</v>
      </c>
      <c r="O966" s="61" t="s">
        <v>5688</v>
      </c>
      <c r="P966" s="29" t="s">
        <v>731</v>
      </c>
      <c r="Q966" s="29" t="s">
        <v>65</v>
      </c>
      <c r="R966" s="29"/>
    </row>
    <row r="967" spans="1:18" x14ac:dyDescent="0.3">
      <c r="A967" s="59">
        <v>45337</v>
      </c>
      <c r="B967" s="32" t="s">
        <v>5689</v>
      </c>
      <c r="C967" s="32" t="s">
        <v>5690</v>
      </c>
      <c r="D967" s="32" t="s">
        <v>5691</v>
      </c>
      <c r="E967" s="44" t="s">
        <v>5692</v>
      </c>
      <c r="F967" s="44" t="s">
        <v>5693</v>
      </c>
      <c r="G967" s="44" t="s">
        <v>1833</v>
      </c>
      <c r="H967" s="29">
        <v>3</v>
      </c>
      <c r="I967" s="227" t="s">
        <v>605</v>
      </c>
      <c r="J967" s="233" t="s">
        <v>539</v>
      </c>
      <c r="K967" s="233" t="s">
        <v>200</v>
      </c>
      <c r="L967" s="273">
        <f t="shared" si="34"/>
        <v>892.85714285714278</v>
      </c>
      <c r="M967" s="23">
        <f t="shared" si="35"/>
        <v>107.14285714285712</v>
      </c>
      <c r="N967" s="60">
        <v>1000</v>
      </c>
      <c r="O967" s="61" t="s">
        <v>5694</v>
      </c>
      <c r="P967" s="29" t="s">
        <v>66</v>
      </c>
      <c r="Q967" s="29" t="s">
        <v>225</v>
      </c>
      <c r="R967" s="29"/>
    </row>
    <row r="968" spans="1:18" x14ac:dyDescent="0.3">
      <c r="A968" s="59">
        <v>45338</v>
      </c>
      <c r="B968" s="32" t="s">
        <v>5695</v>
      </c>
      <c r="C968" s="32" t="s">
        <v>5696</v>
      </c>
      <c r="D968" s="32" t="s">
        <v>5697</v>
      </c>
      <c r="E968" s="44" t="s">
        <v>5698</v>
      </c>
      <c r="F968" s="44" t="s">
        <v>5699</v>
      </c>
      <c r="G968" s="44" t="s">
        <v>1919</v>
      </c>
      <c r="H968" s="29">
        <v>3</v>
      </c>
      <c r="I968" s="29" t="s">
        <v>605</v>
      </c>
      <c r="J968" s="104" t="s">
        <v>539</v>
      </c>
      <c r="K968" s="104" t="s">
        <v>199</v>
      </c>
      <c r="L968" s="23">
        <f t="shared" si="34"/>
        <v>892.85714285714278</v>
      </c>
      <c r="M968" s="23">
        <f t="shared" si="35"/>
        <v>107.14285714285712</v>
      </c>
      <c r="N968" s="60">
        <v>1000</v>
      </c>
      <c r="O968" s="61" t="s">
        <v>5700</v>
      </c>
      <c r="P968" s="29" t="s">
        <v>335</v>
      </c>
      <c r="Q968" s="29" t="s">
        <v>225</v>
      </c>
      <c r="R968" s="29"/>
    </row>
    <row r="969" spans="1:18" x14ac:dyDescent="0.3">
      <c r="A969" s="59">
        <v>45338</v>
      </c>
      <c r="B969" s="32" t="s">
        <v>5701</v>
      </c>
      <c r="C969" s="32" t="s">
        <v>5702</v>
      </c>
      <c r="D969" s="32" t="s">
        <v>5703</v>
      </c>
      <c r="E969" s="44" t="s">
        <v>5704</v>
      </c>
      <c r="F969" s="44" t="s">
        <v>5705</v>
      </c>
      <c r="G969" s="44" t="s">
        <v>1840</v>
      </c>
      <c r="H969" s="29">
        <v>5</v>
      </c>
      <c r="I969" s="29" t="s">
        <v>605</v>
      </c>
      <c r="J969" s="29" t="s">
        <v>539</v>
      </c>
      <c r="K969" s="29" t="s">
        <v>2114</v>
      </c>
      <c r="L969" s="23">
        <f t="shared" si="34"/>
        <v>1830.3571428571427</v>
      </c>
      <c r="M969" s="23">
        <f t="shared" si="35"/>
        <v>219.64285714285711</v>
      </c>
      <c r="N969" s="60">
        <v>2050</v>
      </c>
      <c r="O969" s="61" t="s">
        <v>5706</v>
      </c>
      <c r="P969" s="29" t="s">
        <v>335</v>
      </c>
      <c r="Q969" s="29" t="s">
        <v>58</v>
      </c>
      <c r="R969" s="29"/>
    </row>
    <row r="970" spans="1:18" x14ac:dyDescent="0.3">
      <c r="A970" s="59">
        <v>45338</v>
      </c>
      <c r="B970" s="32" t="s">
        <v>5707</v>
      </c>
      <c r="C970" s="32" t="s">
        <v>5708</v>
      </c>
      <c r="D970" s="32" t="s">
        <v>5709</v>
      </c>
      <c r="E970" s="44" t="s">
        <v>5710</v>
      </c>
      <c r="F970" s="44" t="s">
        <v>5711</v>
      </c>
      <c r="G970" s="44" t="s">
        <v>1919</v>
      </c>
      <c r="H970" s="29">
        <v>3</v>
      </c>
      <c r="I970" s="29" t="s">
        <v>605</v>
      </c>
      <c r="J970" s="29" t="s">
        <v>5359</v>
      </c>
      <c r="K970" s="29" t="s">
        <v>199</v>
      </c>
      <c r="L970" s="23">
        <f t="shared" si="34"/>
        <v>223.21428571428569</v>
      </c>
      <c r="M970" s="23">
        <f t="shared" si="35"/>
        <v>26.785714285714281</v>
      </c>
      <c r="N970" s="60">
        <v>250</v>
      </c>
      <c r="O970" s="61" t="s">
        <v>5712</v>
      </c>
      <c r="P970" s="29" t="s">
        <v>731</v>
      </c>
      <c r="Q970" s="29" t="s">
        <v>65</v>
      </c>
      <c r="R970" s="29"/>
    </row>
    <row r="971" spans="1:18" x14ac:dyDescent="0.3">
      <c r="A971" s="59">
        <v>45338</v>
      </c>
      <c r="B971" s="32" t="s">
        <v>5713</v>
      </c>
      <c r="C971" s="32" t="s">
        <v>3085</v>
      </c>
      <c r="D971" s="32" t="s">
        <v>5714</v>
      </c>
      <c r="E971" s="44" t="s">
        <v>5715</v>
      </c>
      <c r="F971" s="44" t="s">
        <v>5716</v>
      </c>
      <c r="G971" s="44" t="s">
        <v>1919</v>
      </c>
      <c r="H971" s="29">
        <v>3</v>
      </c>
      <c r="I971" s="29" t="s">
        <v>605</v>
      </c>
      <c r="J971" s="29" t="s">
        <v>5359</v>
      </c>
      <c r="K971" s="29" t="s">
        <v>199</v>
      </c>
      <c r="L971" s="23">
        <f t="shared" si="34"/>
        <v>624.99999999999989</v>
      </c>
      <c r="M971" s="23">
        <f t="shared" si="35"/>
        <v>74.999999999999986</v>
      </c>
      <c r="N971" s="60">
        <v>700</v>
      </c>
      <c r="O971" s="61" t="s">
        <v>5717</v>
      </c>
      <c r="P971" s="29" t="s">
        <v>1482</v>
      </c>
      <c r="Q971" s="29" t="s">
        <v>2022</v>
      </c>
      <c r="R971" s="29"/>
    </row>
    <row r="972" spans="1:18" x14ac:dyDescent="0.3">
      <c r="A972" s="59">
        <v>45339</v>
      </c>
      <c r="B972" s="32" t="s">
        <v>5718</v>
      </c>
      <c r="C972" s="32" t="s">
        <v>5719</v>
      </c>
      <c r="D972" s="32" t="s">
        <v>5720</v>
      </c>
      <c r="E972" s="44" t="s">
        <v>5721</v>
      </c>
      <c r="F972" s="44" t="s">
        <v>5722</v>
      </c>
      <c r="G972" s="44" t="s">
        <v>1919</v>
      </c>
      <c r="H972" s="29">
        <v>3</v>
      </c>
      <c r="I972" s="29" t="s">
        <v>605</v>
      </c>
      <c r="J972" s="29" t="s">
        <v>539</v>
      </c>
      <c r="K972" s="29" t="s">
        <v>200</v>
      </c>
      <c r="L972" s="23">
        <f t="shared" si="34"/>
        <v>892.85714285714278</v>
      </c>
      <c r="M972" s="23">
        <f t="shared" si="35"/>
        <v>107.14285714285712</v>
      </c>
      <c r="N972" s="60">
        <v>1000</v>
      </c>
      <c r="O972" s="61" t="s">
        <v>5723</v>
      </c>
      <c r="P972" s="29" t="s">
        <v>691</v>
      </c>
      <c r="Q972" s="29" t="s">
        <v>2022</v>
      </c>
      <c r="R972" s="29"/>
    </row>
    <row r="973" spans="1:18" x14ac:dyDescent="0.3">
      <c r="A973" s="59">
        <v>45339</v>
      </c>
      <c r="B973" s="32" t="s">
        <v>5724</v>
      </c>
      <c r="C973" s="32" t="s">
        <v>5725</v>
      </c>
      <c r="D973" s="32" t="s">
        <v>5726</v>
      </c>
      <c r="E973" s="44" t="s">
        <v>5727</v>
      </c>
      <c r="F973" s="44" t="s">
        <v>5728</v>
      </c>
      <c r="G973" s="44" t="s">
        <v>1919</v>
      </c>
      <c r="H973" s="29">
        <v>3</v>
      </c>
      <c r="I973" s="29" t="s">
        <v>605</v>
      </c>
      <c r="J973" s="29" t="s">
        <v>539</v>
      </c>
      <c r="K973" s="29" t="s">
        <v>2597</v>
      </c>
      <c r="L973" s="23">
        <f t="shared" si="34"/>
        <v>624.99999999999989</v>
      </c>
      <c r="M973" s="23">
        <f t="shared" si="35"/>
        <v>74.999999999999986</v>
      </c>
      <c r="N973" s="60">
        <v>700</v>
      </c>
      <c r="O973" s="61" t="s">
        <v>5729</v>
      </c>
      <c r="P973" s="29" t="s">
        <v>5730</v>
      </c>
      <c r="Q973" s="29" t="s">
        <v>58</v>
      </c>
      <c r="R973" s="29"/>
    </row>
    <row r="974" spans="1:18" x14ac:dyDescent="0.3">
      <c r="A974" s="59">
        <v>45339</v>
      </c>
      <c r="B974" s="32" t="s">
        <v>5731</v>
      </c>
      <c r="C974" s="32" t="s">
        <v>5732</v>
      </c>
      <c r="D974" s="32" t="s">
        <v>5733</v>
      </c>
      <c r="E974" s="44" t="s">
        <v>5734</v>
      </c>
      <c r="F974" s="44" t="s">
        <v>5735</v>
      </c>
      <c r="G974" s="44" t="s">
        <v>2223</v>
      </c>
      <c r="H974" s="29">
        <v>10</v>
      </c>
      <c r="I974" s="29" t="s">
        <v>5736</v>
      </c>
      <c r="J974" s="29" t="s">
        <v>539</v>
      </c>
      <c r="K974" s="29" t="s">
        <v>200</v>
      </c>
      <c r="L974" s="23">
        <f t="shared" ref="L974:L1037" si="36">+N974/1.12</f>
        <v>2678.5714285714284</v>
      </c>
      <c r="M974" s="23">
        <f t="shared" ref="M974:M1037" si="37">+L974*12%</f>
        <v>321.42857142857139</v>
      </c>
      <c r="N974" s="60">
        <v>3000</v>
      </c>
      <c r="O974" s="61" t="s">
        <v>5737</v>
      </c>
      <c r="P974" s="29" t="s">
        <v>337</v>
      </c>
      <c r="Q974" s="29" t="s">
        <v>65</v>
      </c>
      <c r="R974" s="29"/>
    </row>
    <row r="975" spans="1:18" x14ac:dyDescent="0.3">
      <c r="A975" s="59">
        <v>45341</v>
      </c>
      <c r="B975" s="32" t="s">
        <v>5738</v>
      </c>
      <c r="C975" s="32" t="s">
        <v>3524</v>
      </c>
      <c r="D975" s="32" t="s">
        <v>5739</v>
      </c>
      <c r="E975" s="44" t="s">
        <v>5740</v>
      </c>
      <c r="F975" s="44" t="s">
        <v>5741</v>
      </c>
      <c r="G975" s="44" t="s">
        <v>1833</v>
      </c>
      <c r="H975" s="29">
        <v>3</v>
      </c>
      <c r="I975" s="29" t="s">
        <v>605</v>
      </c>
      <c r="J975" s="29" t="s">
        <v>539</v>
      </c>
      <c r="K975" s="29" t="s">
        <v>199</v>
      </c>
      <c r="L975" s="23">
        <f t="shared" si="36"/>
        <v>624.99999999999989</v>
      </c>
      <c r="M975" s="23">
        <f t="shared" si="37"/>
        <v>74.999999999999986</v>
      </c>
      <c r="N975" s="60">
        <v>700</v>
      </c>
      <c r="O975" s="61" t="s">
        <v>5742</v>
      </c>
      <c r="P975" s="29" t="s">
        <v>5743</v>
      </c>
      <c r="Q975" s="29" t="s">
        <v>2022</v>
      </c>
      <c r="R975" s="29"/>
    </row>
    <row r="976" spans="1:18" x14ac:dyDescent="0.3">
      <c r="A976" s="59">
        <v>45341</v>
      </c>
      <c r="B976" s="32" t="s">
        <v>5744</v>
      </c>
      <c r="C976" s="32" t="s">
        <v>5745</v>
      </c>
      <c r="D976" s="32" t="s">
        <v>5746</v>
      </c>
      <c r="E976" s="44" t="s">
        <v>5747</v>
      </c>
      <c r="F976" s="44" t="s">
        <v>5748</v>
      </c>
      <c r="G976" s="44" t="s">
        <v>1919</v>
      </c>
      <c r="H976" s="29">
        <v>5</v>
      </c>
      <c r="I976" s="29" t="s">
        <v>605</v>
      </c>
      <c r="J976" s="29" t="s">
        <v>5359</v>
      </c>
      <c r="K976" s="29" t="s">
        <v>199</v>
      </c>
      <c r="L976" s="23">
        <f t="shared" si="36"/>
        <v>624.99999999999989</v>
      </c>
      <c r="M976" s="23">
        <f t="shared" si="37"/>
        <v>74.999999999999986</v>
      </c>
      <c r="N976" s="60">
        <v>700</v>
      </c>
      <c r="O976" s="61" t="s">
        <v>5749</v>
      </c>
      <c r="P976" s="29" t="s">
        <v>337</v>
      </c>
      <c r="Q976" s="29" t="s">
        <v>782</v>
      </c>
      <c r="R976" s="29"/>
    </row>
    <row r="977" spans="1:18" x14ac:dyDescent="0.3">
      <c r="A977" s="59">
        <v>45341</v>
      </c>
      <c r="B977" s="32" t="s">
        <v>5750</v>
      </c>
      <c r="C977" s="32" t="s">
        <v>5751</v>
      </c>
      <c r="D977" s="32" t="s">
        <v>5752</v>
      </c>
      <c r="E977" s="44" t="s">
        <v>5753</v>
      </c>
      <c r="F977" s="44" t="s">
        <v>5754</v>
      </c>
      <c r="G977" s="44" t="s">
        <v>1919</v>
      </c>
      <c r="H977" s="29">
        <v>3</v>
      </c>
      <c r="I977" s="29" t="s">
        <v>605</v>
      </c>
      <c r="J977" s="29" t="s">
        <v>539</v>
      </c>
      <c r="K977" s="29" t="s">
        <v>200</v>
      </c>
      <c r="L977" s="23">
        <f t="shared" si="36"/>
        <v>1071.4285714285713</v>
      </c>
      <c r="M977" s="23">
        <f t="shared" si="37"/>
        <v>128.57142857142856</v>
      </c>
      <c r="N977" s="60">
        <v>1200</v>
      </c>
      <c r="O977" s="61" t="s">
        <v>5755</v>
      </c>
      <c r="P977" s="29" t="s">
        <v>335</v>
      </c>
      <c r="Q977" s="29" t="s">
        <v>65</v>
      </c>
      <c r="R977" s="29"/>
    </row>
    <row r="978" spans="1:18" x14ac:dyDescent="0.3">
      <c r="A978" s="59">
        <v>45341</v>
      </c>
      <c r="B978" s="32" t="s">
        <v>5756</v>
      </c>
      <c r="C978" s="32" t="s">
        <v>5757</v>
      </c>
      <c r="D978" s="32" t="s">
        <v>5758</v>
      </c>
      <c r="E978" s="44" t="s">
        <v>5759</v>
      </c>
      <c r="F978" s="44" t="s">
        <v>5760</v>
      </c>
      <c r="G978" s="44" t="s">
        <v>1962</v>
      </c>
      <c r="H978" s="29">
        <v>10</v>
      </c>
      <c r="I978" s="29" t="s">
        <v>5761</v>
      </c>
      <c r="J978" s="29" t="s">
        <v>539</v>
      </c>
      <c r="K978" s="29" t="s">
        <v>980</v>
      </c>
      <c r="L978" s="23">
        <f t="shared" si="36"/>
        <v>3562.4999999999995</v>
      </c>
      <c r="M978" s="23">
        <f t="shared" si="37"/>
        <v>427.49999999999994</v>
      </c>
      <c r="N978" s="60">
        <v>3990</v>
      </c>
      <c r="O978" s="61" t="s">
        <v>5762</v>
      </c>
      <c r="P978" s="29" t="s">
        <v>5743</v>
      </c>
      <c r="Q978" s="29" t="s">
        <v>340</v>
      </c>
      <c r="R978" s="29"/>
    </row>
    <row r="979" spans="1:18" x14ac:dyDescent="0.3">
      <c r="A979" s="59">
        <v>45342</v>
      </c>
      <c r="B979" s="32" t="s">
        <v>5763</v>
      </c>
      <c r="C979" s="32"/>
      <c r="D979" s="32"/>
      <c r="E979" s="44"/>
      <c r="F979" s="44"/>
      <c r="G979" s="44"/>
      <c r="H979" s="29"/>
      <c r="I979" s="29"/>
      <c r="J979" s="29"/>
      <c r="K979" s="29"/>
      <c r="L979" s="23">
        <f t="shared" si="36"/>
        <v>0</v>
      </c>
      <c r="M979" s="23">
        <f t="shared" si="37"/>
        <v>0</v>
      </c>
      <c r="N979" s="60"/>
      <c r="O979" s="61"/>
      <c r="P979" s="29"/>
      <c r="Q979" s="29"/>
      <c r="R979" s="29"/>
    </row>
    <row r="980" spans="1:18" x14ac:dyDescent="0.3">
      <c r="A980" s="59">
        <v>45342</v>
      </c>
      <c r="B980" s="32" t="s">
        <v>5764</v>
      </c>
      <c r="C980" s="32" t="s">
        <v>5765</v>
      </c>
      <c r="D980" s="32" t="s">
        <v>5766</v>
      </c>
      <c r="E980" s="44" t="s">
        <v>5767</v>
      </c>
      <c r="F980" s="44" t="s">
        <v>5768</v>
      </c>
      <c r="G980" s="44" t="s">
        <v>1833</v>
      </c>
      <c r="H980" s="29">
        <v>7</v>
      </c>
      <c r="I980" s="29" t="s">
        <v>605</v>
      </c>
      <c r="J980" s="29" t="s">
        <v>539</v>
      </c>
      <c r="K980" s="29" t="s">
        <v>2488</v>
      </c>
      <c r="L980" s="23">
        <f t="shared" si="36"/>
        <v>1339.2857142857142</v>
      </c>
      <c r="M980" s="23">
        <f t="shared" si="37"/>
        <v>160.71428571428569</v>
      </c>
      <c r="N980" s="60">
        <v>1500</v>
      </c>
      <c r="O980" s="61" t="s">
        <v>5769</v>
      </c>
      <c r="P980" s="29" t="s">
        <v>1482</v>
      </c>
      <c r="Q980" s="29" t="s">
        <v>5770</v>
      </c>
      <c r="R980" s="29"/>
    </row>
    <row r="981" spans="1:18" x14ac:dyDescent="0.3">
      <c r="A981" s="59">
        <v>45342</v>
      </c>
      <c r="B981" s="32" t="s">
        <v>5771</v>
      </c>
      <c r="C981" s="32" t="s">
        <v>5772</v>
      </c>
      <c r="D981" s="32" t="s">
        <v>5773</v>
      </c>
      <c r="E981" s="44" t="s">
        <v>5774</v>
      </c>
      <c r="F981" s="44" t="s">
        <v>5775</v>
      </c>
      <c r="G981" s="44" t="s">
        <v>1919</v>
      </c>
      <c r="H981" s="29">
        <v>3</v>
      </c>
      <c r="I981" s="29" t="s">
        <v>605</v>
      </c>
      <c r="J981" s="29" t="s">
        <v>539</v>
      </c>
      <c r="K981" s="29" t="s">
        <v>200</v>
      </c>
      <c r="L981" s="23">
        <f t="shared" si="36"/>
        <v>892.85714285714278</v>
      </c>
      <c r="M981" s="23">
        <f t="shared" si="37"/>
        <v>107.14285714285712</v>
      </c>
      <c r="N981" s="60">
        <v>1000</v>
      </c>
      <c r="O981" s="61"/>
      <c r="P981" s="29" t="s">
        <v>731</v>
      </c>
      <c r="Q981" s="29" t="s">
        <v>340</v>
      </c>
      <c r="R981" s="29"/>
    </row>
    <row r="982" spans="1:18" x14ac:dyDescent="0.3">
      <c r="A982" s="59">
        <v>45343</v>
      </c>
      <c r="B982" s="32" t="s">
        <v>5776</v>
      </c>
      <c r="C982" s="32" t="s">
        <v>318</v>
      </c>
      <c r="D982" s="32" t="s">
        <v>5777</v>
      </c>
      <c r="E982" s="44" t="s">
        <v>5778</v>
      </c>
      <c r="F982" s="44" t="s">
        <v>5779</v>
      </c>
      <c r="G982" s="44" t="s">
        <v>1919</v>
      </c>
      <c r="H982" s="47">
        <v>4</v>
      </c>
      <c r="I982" s="47" t="s">
        <v>605</v>
      </c>
      <c r="J982" s="67" t="s">
        <v>539</v>
      </c>
      <c r="K982" s="67" t="s">
        <v>980</v>
      </c>
      <c r="L982" s="23">
        <f t="shared" si="36"/>
        <v>1339.2857142857142</v>
      </c>
      <c r="M982" s="23">
        <f t="shared" si="37"/>
        <v>160.71428571428569</v>
      </c>
      <c r="N982" s="68">
        <v>1500</v>
      </c>
      <c r="O982" s="61"/>
      <c r="P982" s="29" t="s">
        <v>335</v>
      </c>
      <c r="Q982" s="29" t="s">
        <v>2022</v>
      </c>
      <c r="R982" s="274"/>
    </row>
    <row r="983" spans="1:18" x14ac:dyDescent="0.3">
      <c r="A983" s="59">
        <v>45343</v>
      </c>
      <c r="B983" s="32" t="s">
        <v>5780</v>
      </c>
      <c r="C983" s="32" t="s">
        <v>5781</v>
      </c>
      <c r="D983" s="32" t="s">
        <v>5782</v>
      </c>
      <c r="E983" s="44" t="s">
        <v>5783</v>
      </c>
      <c r="F983" s="44" t="s">
        <v>5784</v>
      </c>
      <c r="G983" s="44" t="s">
        <v>1840</v>
      </c>
      <c r="H983" s="29">
        <v>3</v>
      </c>
      <c r="I983" s="29" t="s">
        <v>611</v>
      </c>
      <c r="J983" s="67" t="s">
        <v>539</v>
      </c>
      <c r="K983" s="67" t="s">
        <v>200</v>
      </c>
      <c r="L983" s="23">
        <f t="shared" si="36"/>
        <v>1071.4285714285713</v>
      </c>
      <c r="M983" s="23">
        <f t="shared" si="37"/>
        <v>128.57142857142856</v>
      </c>
      <c r="N983" s="62">
        <v>1200</v>
      </c>
      <c r="O983" s="61" t="s">
        <v>5785</v>
      </c>
      <c r="P983" s="29" t="s">
        <v>66</v>
      </c>
      <c r="Q983" s="29" t="s">
        <v>340</v>
      </c>
      <c r="R983" s="29"/>
    </row>
    <row r="984" spans="1:18" x14ac:dyDescent="0.3">
      <c r="A984" s="59">
        <v>45343</v>
      </c>
      <c r="B984" s="32" t="s">
        <v>5786</v>
      </c>
      <c r="C984" s="32" t="s">
        <v>5787</v>
      </c>
      <c r="D984" s="32" t="s">
        <v>5788</v>
      </c>
      <c r="E984" s="44" t="s">
        <v>5789</v>
      </c>
      <c r="F984" s="44" t="s">
        <v>5790</v>
      </c>
      <c r="G984" s="44" t="s">
        <v>1840</v>
      </c>
      <c r="H984" s="29">
        <v>6</v>
      </c>
      <c r="I984" s="29" t="s">
        <v>605</v>
      </c>
      <c r="J984" s="67" t="s">
        <v>539</v>
      </c>
      <c r="K984" s="67" t="s">
        <v>200</v>
      </c>
      <c r="L984" s="23">
        <f t="shared" si="36"/>
        <v>1776.7857142857142</v>
      </c>
      <c r="M984" s="23">
        <f t="shared" si="37"/>
        <v>213.21428571428569</v>
      </c>
      <c r="N984" s="62">
        <v>1990</v>
      </c>
      <c r="O984" s="61" t="s">
        <v>5791</v>
      </c>
      <c r="P984" s="29" t="s">
        <v>691</v>
      </c>
      <c r="Q984" s="29" t="s">
        <v>225</v>
      </c>
      <c r="R984" s="29"/>
    </row>
    <row r="985" spans="1:18" x14ac:dyDescent="0.3">
      <c r="A985" s="59">
        <v>45344</v>
      </c>
      <c r="B985" s="32" t="s">
        <v>5792</v>
      </c>
      <c r="C985" s="32"/>
      <c r="D985" s="32"/>
      <c r="E985" s="44"/>
      <c r="F985" s="44"/>
      <c r="G985" s="44"/>
      <c r="H985" s="29"/>
      <c r="I985" s="29"/>
      <c r="J985" s="67"/>
      <c r="K985" s="67"/>
      <c r="L985" s="23">
        <f t="shared" si="36"/>
        <v>0</v>
      </c>
      <c r="M985" s="23">
        <f t="shared" si="37"/>
        <v>0</v>
      </c>
      <c r="N985" s="62"/>
      <c r="O985" s="61"/>
      <c r="P985" s="29"/>
      <c r="Q985" s="29"/>
      <c r="R985" s="29"/>
    </row>
    <row r="986" spans="1:18" x14ac:dyDescent="0.3">
      <c r="A986" s="59">
        <v>45344</v>
      </c>
      <c r="B986" s="32" t="s">
        <v>5793</v>
      </c>
      <c r="C986" s="32" t="s">
        <v>5794</v>
      </c>
      <c r="D986" s="32" t="s">
        <v>5795</v>
      </c>
      <c r="E986" s="44" t="s">
        <v>5796</v>
      </c>
      <c r="F986" s="44" t="s">
        <v>5797</v>
      </c>
      <c r="G986" s="44" t="s">
        <v>1919</v>
      </c>
      <c r="H986" s="29">
        <v>3</v>
      </c>
      <c r="I986" s="29" t="s">
        <v>605</v>
      </c>
      <c r="J986" s="67" t="s">
        <v>539</v>
      </c>
      <c r="K986" s="67" t="s">
        <v>200</v>
      </c>
      <c r="L986" s="23">
        <f t="shared" si="36"/>
        <v>892.85714285714278</v>
      </c>
      <c r="M986" s="23">
        <f t="shared" si="37"/>
        <v>107.14285714285712</v>
      </c>
      <c r="N986" s="62">
        <v>1000</v>
      </c>
      <c r="O986" s="61" t="s">
        <v>5798</v>
      </c>
      <c r="P986" s="29" t="s">
        <v>5743</v>
      </c>
      <c r="Q986" s="29" t="s">
        <v>225</v>
      </c>
      <c r="R986" s="29"/>
    </row>
    <row r="987" spans="1:18" x14ac:dyDescent="0.3">
      <c r="A987" s="59">
        <v>45344</v>
      </c>
      <c r="B987" s="32" t="s">
        <v>5799</v>
      </c>
      <c r="C987" s="32" t="s">
        <v>5800</v>
      </c>
      <c r="D987" s="32" t="s">
        <v>5801</v>
      </c>
      <c r="E987" s="44" t="s">
        <v>5802</v>
      </c>
      <c r="F987" s="44" t="s">
        <v>5803</v>
      </c>
      <c r="G987" s="44" t="s">
        <v>1840</v>
      </c>
      <c r="H987" s="29">
        <v>6</v>
      </c>
      <c r="I987" s="29" t="s">
        <v>605</v>
      </c>
      <c r="J987" s="67" t="s">
        <v>539</v>
      </c>
      <c r="K987" s="67" t="s">
        <v>200</v>
      </c>
      <c r="L987" s="23">
        <f t="shared" si="36"/>
        <v>1874.9999999999998</v>
      </c>
      <c r="M987" s="23">
        <f t="shared" si="37"/>
        <v>224.99999999999997</v>
      </c>
      <c r="N987" s="62">
        <v>2100</v>
      </c>
      <c r="O987" s="61" t="s">
        <v>5804</v>
      </c>
      <c r="P987" s="29" t="s">
        <v>337</v>
      </c>
      <c r="Q987" s="29" t="s">
        <v>337</v>
      </c>
      <c r="R987" s="29"/>
    </row>
    <row r="988" spans="1:18" x14ac:dyDescent="0.3">
      <c r="A988" s="59">
        <v>45344</v>
      </c>
      <c r="B988" s="32" t="s">
        <v>5805</v>
      </c>
      <c r="C988" s="32" t="s">
        <v>5806</v>
      </c>
      <c r="D988" s="32" t="s">
        <v>5807</v>
      </c>
      <c r="E988" s="44" t="s">
        <v>5808</v>
      </c>
      <c r="F988" s="44" t="s">
        <v>5809</v>
      </c>
      <c r="G988" s="44" t="s">
        <v>2153</v>
      </c>
      <c r="H988" s="29">
        <v>10</v>
      </c>
      <c r="I988" s="29" t="s">
        <v>605</v>
      </c>
      <c r="J988" s="52" t="s">
        <v>539</v>
      </c>
      <c r="K988" s="52" t="s">
        <v>2488</v>
      </c>
      <c r="L988" s="23">
        <f t="shared" si="36"/>
        <v>4455.3571428571422</v>
      </c>
      <c r="M988" s="23">
        <f t="shared" si="37"/>
        <v>534.642857142857</v>
      </c>
      <c r="N988" s="60">
        <v>4990</v>
      </c>
      <c r="O988" s="61" t="s">
        <v>5810</v>
      </c>
      <c r="P988" s="29" t="s">
        <v>1482</v>
      </c>
      <c r="Q988" s="29" t="s">
        <v>65</v>
      </c>
      <c r="R988" s="29"/>
    </row>
    <row r="989" spans="1:18" x14ac:dyDescent="0.3">
      <c r="A989" s="59">
        <v>45344</v>
      </c>
      <c r="B989" s="32" t="s">
        <v>5811</v>
      </c>
      <c r="C989" s="32" t="s">
        <v>5812</v>
      </c>
      <c r="D989" s="32" t="s">
        <v>5813</v>
      </c>
      <c r="E989" s="44" t="s">
        <v>5814</v>
      </c>
      <c r="F989" s="44" t="s">
        <v>5815</v>
      </c>
      <c r="G989" s="44" t="s">
        <v>1833</v>
      </c>
      <c r="H989" s="29">
        <v>3</v>
      </c>
      <c r="I989" s="29" t="s">
        <v>605</v>
      </c>
      <c r="J989" s="52" t="s">
        <v>539</v>
      </c>
      <c r="K989" s="52" t="s">
        <v>200</v>
      </c>
      <c r="L989" s="23">
        <f t="shared" si="36"/>
        <v>1339.2857142857142</v>
      </c>
      <c r="M989" s="23">
        <f t="shared" si="37"/>
        <v>160.71428571428569</v>
      </c>
      <c r="N989" s="60">
        <v>1500</v>
      </c>
      <c r="O989" s="61" t="s">
        <v>5816</v>
      </c>
      <c r="P989" s="29" t="s">
        <v>731</v>
      </c>
      <c r="Q989" s="29" t="s">
        <v>65</v>
      </c>
      <c r="R989" s="29"/>
    </row>
    <row r="990" spans="1:18" x14ac:dyDescent="0.3">
      <c r="A990" s="59">
        <v>45344</v>
      </c>
      <c r="B990" s="32" t="s">
        <v>5817</v>
      </c>
      <c r="C990" s="32" t="s">
        <v>5818</v>
      </c>
      <c r="D990" s="32" t="s">
        <v>5819</v>
      </c>
      <c r="E990" s="44" t="s">
        <v>5820</v>
      </c>
      <c r="F990" s="44" t="s">
        <v>5821</v>
      </c>
      <c r="G990" s="44" t="s">
        <v>1919</v>
      </c>
      <c r="H990" s="29">
        <v>5</v>
      </c>
      <c r="I990" s="29" t="s">
        <v>605</v>
      </c>
      <c r="J990" s="52" t="s">
        <v>539</v>
      </c>
      <c r="K990" s="52" t="s">
        <v>200</v>
      </c>
      <c r="L990" s="23">
        <f t="shared" si="36"/>
        <v>1339.2857142857142</v>
      </c>
      <c r="M990" s="23">
        <f t="shared" si="37"/>
        <v>160.71428571428569</v>
      </c>
      <c r="N990" s="60">
        <v>1500</v>
      </c>
      <c r="O990" s="61" t="s">
        <v>5822</v>
      </c>
      <c r="P990" s="29" t="s">
        <v>691</v>
      </c>
      <c r="Q990" s="29" t="s">
        <v>340</v>
      </c>
      <c r="R990" s="29"/>
    </row>
    <row r="991" spans="1:18" x14ac:dyDescent="0.3">
      <c r="A991" s="59">
        <v>45344</v>
      </c>
      <c r="B991" s="32" t="s">
        <v>5823</v>
      </c>
      <c r="C991" s="32" t="s">
        <v>5824</v>
      </c>
      <c r="D991" s="32" t="s">
        <v>5825</v>
      </c>
      <c r="E991" s="44" t="s">
        <v>5826</v>
      </c>
      <c r="F991" s="44" t="s">
        <v>5827</v>
      </c>
      <c r="G991" s="275" t="s">
        <v>1214</v>
      </c>
      <c r="H991" s="276"/>
      <c r="I991" s="276"/>
      <c r="J991" s="276"/>
      <c r="K991" s="277"/>
      <c r="L991" s="23">
        <f t="shared" si="36"/>
        <v>0</v>
      </c>
      <c r="M991" s="23">
        <f t="shared" si="37"/>
        <v>0</v>
      </c>
      <c r="N991" s="62">
        <v>0</v>
      </c>
      <c r="O991" s="61" t="s">
        <v>5828</v>
      </c>
      <c r="P991" s="29" t="s">
        <v>731</v>
      </c>
      <c r="Q991" s="29" t="s">
        <v>58</v>
      </c>
      <c r="R991" s="29"/>
    </row>
    <row r="992" spans="1:18" x14ac:dyDescent="0.3">
      <c r="A992" s="59">
        <v>45345</v>
      </c>
      <c r="B992" s="32" t="s">
        <v>5829</v>
      </c>
      <c r="C992" s="32" t="s">
        <v>5830</v>
      </c>
      <c r="D992" s="32" t="s">
        <v>5831</v>
      </c>
      <c r="E992" s="44" t="s">
        <v>5832</v>
      </c>
      <c r="F992" s="44" t="s">
        <v>5833</v>
      </c>
      <c r="G992" s="44" t="s">
        <v>1833</v>
      </c>
      <c r="H992" s="29">
        <v>2</v>
      </c>
      <c r="I992" s="29" t="s">
        <v>605</v>
      </c>
      <c r="J992" s="29" t="s">
        <v>539</v>
      </c>
      <c r="K992" s="29" t="s">
        <v>1586</v>
      </c>
      <c r="L992" s="23">
        <f t="shared" si="36"/>
        <v>624.99999999999989</v>
      </c>
      <c r="M992" s="23">
        <f t="shared" si="37"/>
        <v>74.999999999999986</v>
      </c>
      <c r="N992" s="62">
        <v>700</v>
      </c>
      <c r="O992" s="61" t="s">
        <v>5834</v>
      </c>
      <c r="P992" s="29" t="s">
        <v>1482</v>
      </c>
      <c r="Q992" s="29" t="s">
        <v>782</v>
      </c>
      <c r="R992" s="29"/>
    </row>
    <row r="993" spans="1:22" x14ac:dyDescent="0.3">
      <c r="A993" s="59">
        <v>45345</v>
      </c>
      <c r="B993" s="32" t="s">
        <v>5835</v>
      </c>
      <c r="C993" s="32" t="s">
        <v>2092</v>
      </c>
      <c r="D993" s="32" t="s">
        <v>5836</v>
      </c>
      <c r="E993" s="44" t="s">
        <v>5837</v>
      </c>
      <c r="F993" s="44" t="s">
        <v>5838</v>
      </c>
      <c r="G993" s="44" t="s">
        <v>1919</v>
      </c>
      <c r="H993" s="29">
        <v>5</v>
      </c>
      <c r="I993" s="29" t="s">
        <v>605</v>
      </c>
      <c r="J993" s="29" t="s">
        <v>539</v>
      </c>
      <c r="K993" s="29" t="s">
        <v>200</v>
      </c>
      <c r="L993" s="23">
        <f t="shared" si="36"/>
        <v>2142.8571428571427</v>
      </c>
      <c r="M993" s="23">
        <f t="shared" si="37"/>
        <v>257.14285714285711</v>
      </c>
      <c r="N993" s="62">
        <v>2400</v>
      </c>
      <c r="O993" s="61" t="s">
        <v>5839</v>
      </c>
      <c r="P993" s="29" t="s">
        <v>2832</v>
      </c>
      <c r="Q993" s="29" t="s">
        <v>65</v>
      </c>
      <c r="R993" s="29"/>
    </row>
    <row r="994" spans="1:22" x14ac:dyDescent="0.3">
      <c r="A994" s="59">
        <v>45345</v>
      </c>
      <c r="B994" s="32" t="s">
        <v>5840</v>
      </c>
      <c r="C994" s="32" t="s">
        <v>5841</v>
      </c>
      <c r="D994" s="32" t="s">
        <v>5842</v>
      </c>
      <c r="E994" s="44" t="s">
        <v>5843</v>
      </c>
      <c r="F994" s="44" t="s">
        <v>5844</v>
      </c>
      <c r="G994" s="44" t="s">
        <v>1919</v>
      </c>
      <c r="H994" s="29">
        <v>3</v>
      </c>
      <c r="I994" s="29" t="s">
        <v>605</v>
      </c>
      <c r="J994" s="29" t="s">
        <v>539</v>
      </c>
      <c r="K994" s="29" t="s">
        <v>200</v>
      </c>
      <c r="L994" s="23">
        <f t="shared" si="36"/>
        <v>1785.7142857142856</v>
      </c>
      <c r="M994" s="23">
        <f t="shared" si="37"/>
        <v>214.28571428571425</v>
      </c>
      <c r="N994" s="62">
        <v>2000</v>
      </c>
      <c r="O994" s="61" t="s">
        <v>5845</v>
      </c>
      <c r="P994" s="29" t="s">
        <v>5743</v>
      </c>
      <c r="Q994" s="29" t="s">
        <v>225</v>
      </c>
      <c r="R994" s="29"/>
    </row>
    <row r="995" spans="1:22" x14ac:dyDescent="0.3">
      <c r="A995" s="59">
        <v>45346</v>
      </c>
      <c r="B995" s="32" t="s">
        <v>5846</v>
      </c>
      <c r="C995" s="32" t="s">
        <v>5847</v>
      </c>
      <c r="D995" s="32" t="s">
        <v>5848</v>
      </c>
      <c r="E995" s="44" t="s">
        <v>5849</v>
      </c>
      <c r="F995" s="44" t="s">
        <v>5850</v>
      </c>
      <c r="G995" s="44" t="s">
        <v>1833</v>
      </c>
      <c r="H995" s="29">
        <v>3</v>
      </c>
      <c r="I995" s="227" t="s">
        <v>605</v>
      </c>
      <c r="J995" s="29" t="s">
        <v>539</v>
      </c>
      <c r="K995" s="29" t="s">
        <v>200</v>
      </c>
      <c r="L995" s="23">
        <f t="shared" si="36"/>
        <v>892.85714285714278</v>
      </c>
      <c r="M995" s="23">
        <f t="shared" si="37"/>
        <v>107.14285714285712</v>
      </c>
      <c r="N995" s="62">
        <v>1000</v>
      </c>
      <c r="O995" s="61" t="s">
        <v>5851</v>
      </c>
      <c r="P995" s="29" t="s">
        <v>691</v>
      </c>
      <c r="Q995" s="29" t="s">
        <v>225</v>
      </c>
      <c r="R995" s="29"/>
    </row>
    <row r="996" spans="1:22" x14ac:dyDescent="0.3">
      <c r="A996" s="59">
        <v>45346</v>
      </c>
      <c r="B996" s="32" t="s">
        <v>5852</v>
      </c>
      <c r="C996" s="32" t="s">
        <v>5853</v>
      </c>
      <c r="D996" s="32" t="s">
        <v>5854</v>
      </c>
      <c r="E996" s="44" t="s">
        <v>5855</v>
      </c>
      <c r="F996" s="44" t="s">
        <v>5856</v>
      </c>
      <c r="G996" s="44" t="s">
        <v>1833</v>
      </c>
      <c r="H996" s="29">
        <v>3</v>
      </c>
      <c r="I996" s="29" t="s">
        <v>605</v>
      </c>
      <c r="J996" s="29" t="s">
        <v>539</v>
      </c>
      <c r="K996" s="29" t="s">
        <v>199</v>
      </c>
      <c r="L996" s="23">
        <f t="shared" si="36"/>
        <v>624.99999999999989</v>
      </c>
      <c r="M996" s="23">
        <f t="shared" si="37"/>
        <v>74.999999999999986</v>
      </c>
      <c r="N996" s="62">
        <v>700</v>
      </c>
      <c r="O996" s="61" t="s">
        <v>5857</v>
      </c>
      <c r="P996" s="29" t="s">
        <v>1482</v>
      </c>
      <c r="Q996" s="29" t="s">
        <v>782</v>
      </c>
      <c r="R996" s="29"/>
    </row>
    <row r="997" spans="1:22" x14ac:dyDescent="0.3">
      <c r="A997" s="59">
        <v>45346</v>
      </c>
      <c r="B997" s="32" t="s">
        <v>5858</v>
      </c>
      <c r="C997" s="32" t="s">
        <v>5859</v>
      </c>
      <c r="D997" s="32" t="s">
        <v>5860</v>
      </c>
      <c r="E997" s="44" t="s">
        <v>5861</v>
      </c>
      <c r="F997" s="44" t="s">
        <v>5862</v>
      </c>
      <c r="G997" s="44" t="s">
        <v>1962</v>
      </c>
      <c r="H997" s="29">
        <v>10</v>
      </c>
      <c r="I997" s="29" t="s">
        <v>605</v>
      </c>
      <c r="J997" s="29" t="s">
        <v>539</v>
      </c>
      <c r="K997" s="29" t="s">
        <v>200</v>
      </c>
      <c r="L997" s="23">
        <f t="shared" si="36"/>
        <v>2669.6428571428569</v>
      </c>
      <c r="M997" s="23">
        <f t="shared" si="37"/>
        <v>320.35714285714283</v>
      </c>
      <c r="N997" s="62">
        <v>2990</v>
      </c>
      <c r="O997" s="61" t="s">
        <v>5863</v>
      </c>
      <c r="P997" s="29" t="s">
        <v>2832</v>
      </c>
      <c r="Q997" s="29" t="s">
        <v>340</v>
      </c>
      <c r="R997" s="29"/>
    </row>
    <row r="998" spans="1:22" x14ac:dyDescent="0.3">
      <c r="A998" s="59">
        <v>45346</v>
      </c>
      <c r="B998" s="32" t="s">
        <v>5864</v>
      </c>
      <c r="C998" s="32" t="s">
        <v>862</v>
      </c>
      <c r="D998" s="32" t="s">
        <v>5865</v>
      </c>
      <c r="E998" s="44" t="s">
        <v>5866</v>
      </c>
      <c r="F998" s="44" t="s">
        <v>5867</v>
      </c>
      <c r="G998" s="44" t="s">
        <v>1919</v>
      </c>
      <c r="H998" s="29">
        <v>3</v>
      </c>
      <c r="I998" s="29" t="s">
        <v>605</v>
      </c>
      <c r="J998" s="29" t="s">
        <v>539</v>
      </c>
      <c r="K998" s="29" t="s">
        <v>200</v>
      </c>
      <c r="L998" s="23">
        <f t="shared" si="36"/>
        <v>1151.7857142857142</v>
      </c>
      <c r="M998" s="23">
        <f t="shared" si="37"/>
        <v>138.21428571428569</v>
      </c>
      <c r="N998" s="62">
        <v>1290</v>
      </c>
      <c r="O998" s="61" t="s">
        <v>5868</v>
      </c>
      <c r="P998" s="29" t="s">
        <v>337</v>
      </c>
      <c r="Q998" s="29" t="s">
        <v>65</v>
      </c>
      <c r="R998" s="29"/>
    </row>
    <row r="999" spans="1:22" x14ac:dyDescent="0.3">
      <c r="A999" s="59">
        <v>45346</v>
      </c>
      <c r="B999" s="32" t="s">
        <v>5869</v>
      </c>
      <c r="C999" s="74" t="s">
        <v>5870</v>
      </c>
      <c r="D999" s="74" t="s">
        <v>5871</v>
      </c>
      <c r="E999" s="51" t="s">
        <v>5872</v>
      </c>
      <c r="F999" s="51" t="s">
        <v>5873</v>
      </c>
      <c r="G999" s="51" t="s">
        <v>1919</v>
      </c>
      <c r="H999" s="52">
        <v>3</v>
      </c>
      <c r="I999" s="52" t="s">
        <v>605</v>
      </c>
      <c r="J999" s="52" t="s">
        <v>539</v>
      </c>
      <c r="K999" s="52" t="s">
        <v>2488</v>
      </c>
      <c r="L999" s="23">
        <f t="shared" si="36"/>
        <v>624.99999999999989</v>
      </c>
      <c r="M999" s="23">
        <f t="shared" si="37"/>
        <v>74.999999999999986</v>
      </c>
      <c r="N999" s="67">
        <v>700</v>
      </c>
      <c r="O999" s="75" t="s">
        <v>5874</v>
      </c>
      <c r="P999" s="52" t="s">
        <v>731</v>
      </c>
      <c r="Q999" s="52" t="s">
        <v>340</v>
      </c>
      <c r="R999" s="52"/>
    </row>
    <row r="1000" spans="1:22" x14ac:dyDescent="0.3">
      <c r="A1000" s="59">
        <v>45349</v>
      </c>
      <c r="B1000" s="32" t="s">
        <v>5875</v>
      </c>
      <c r="C1000" s="74" t="s">
        <v>5876</v>
      </c>
      <c r="D1000" s="74" t="s">
        <v>5877</v>
      </c>
      <c r="E1000" s="51" t="s">
        <v>5878</v>
      </c>
      <c r="F1000" s="51" t="s">
        <v>5879</v>
      </c>
      <c r="G1000" s="51" t="s">
        <v>1826</v>
      </c>
      <c r="H1000" s="52">
        <v>8</v>
      </c>
      <c r="I1000" s="52" t="s">
        <v>605</v>
      </c>
      <c r="J1000" s="52" t="s">
        <v>539</v>
      </c>
      <c r="K1000" s="52" t="s">
        <v>2488</v>
      </c>
      <c r="L1000" s="23">
        <f t="shared" si="36"/>
        <v>2669.6428571428569</v>
      </c>
      <c r="M1000" s="23">
        <f t="shared" si="37"/>
        <v>320.35714285714283</v>
      </c>
      <c r="N1000" s="67">
        <v>2990</v>
      </c>
      <c r="O1000" s="75" t="s">
        <v>5880</v>
      </c>
      <c r="P1000" s="52" t="s">
        <v>731</v>
      </c>
      <c r="Q1000" s="52" t="s">
        <v>782</v>
      </c>
      <c r="R1000" s="52"/>
    </row>
    <row r="1001" spans="1:22" x14ac:dyDescent="0.3">
      <c r="A1001" s="59">
        <v>45349</v>
      </c>
      <c r="B1001" s="32" t="s">
        <v>5881</v>
      </c>
      <c r="C1001" s="32" t="s">
        <v>5882</v>
      </c>
      <c r="D1001" s="32" t="s">
        <v>5883</v>
      </c>
      <c r="E1001" s="44" t="s">
        <v>5884</v>
      </c>
      <c r="F1001" s="44" t="s">
        <v>5885</v>
      </c>
      <c r="G1001" s="44" t="s">
        <v>1840</v>
      </c>
      <c r="H1001" s="29">
        <v>5</v>
      </c>
      <c r="I1001" s="29" t="s">
        <v>605</v>
      </c>
      <c r="J1001" s="29" t="s">
        <v>539</v>
      </c>
      <c r="K1001" s="29" t="s">
        <v>200</v>
      </c>
      <c r="L1001" s="23">
        <f t="shared" si="36"/>
        <v>1776.7857142857142</v>
      </c>
      <c r="M1001" s="23">
        <f t="shared" si="37"/>
        <v>213.21428571428569</v>
      </c>
      <c r="N1001" s="62">
        <v>1990</v>
      </c>
      <c r="O1001" s="61" t="s">
        <v>5886</v>
      </c>
      <c r="P1001" s="29" t="s">
        <v>335</v>
      </c>
      <c r="Q1001" s="29" t="s">
        <v>58</v>
      </c>
      <c r="R1001" s="29"/>
    </row>
    <row r="1002" spans="1:22" x14ac:dyDescent="0.3">
      <c r="A1002" s="59">
        <v>45350</v>
      </c>
      <c r="B1002" s="32" t="s">
        <v>5887</v>
      </c>
      <c r="C1002" s="32" t="s">
        <v>5888</v>
      </c>
      <c r="D1002" s="32" t="s">
        <v>5889</v>
      </c>
      <c r="E1002" s="44" t="s">
        <v>5890</v>
      </c>
      <c r="F1002" s="44" t="s">
        <v>5891</v>
      </c>
      <c r="G1002" s="44" t="s">
        <v>1919</v>
      </c>
      <c r="H1002" s="29">
        <v>3</v>
      </c>
      <c r="I1002" s="29" t="s">
        <v>605</v>
      </c>
      <c r="J1002" s="29" t="s">
        <v>539</v>
      </c>
      <c r="K1002" s="29" t="s">
        <v>199</v>
      </c>
      <c r="L1002" s="23">
        <f t="shared" si="36"/>
        <v>892.85714285714278</v>
      </c>
      <c r="M1002" s="23">
        <f t="shared" si="37"/>
        <v>107.14285714285712</v>
      </c>
      <c r="N1002" s="62">
        <v>1000</v>
      </c>
      <c r="O1002" s="61" t="s">
        <v>5892</v>
      </c>
      <c r="P1002" s="29" t="s">
        <v>731</v>
      </c>
      <c r="Q1002" s="29" t="s">
        <v>58</v>
      </c>
      <c r="R1002" s="29"/>
    </row>
    <row r="1003" spans="1:22" x14ac:dyDescent="0.3">
      <c r="A1003" s="59">
        <v>45351</v>
      </c>
      <c r="B1003" s="32" t="s">
        <v>5893</v>
      </c>
      <c r="C1003" s="32" t="s">
        <v>5894</v>
      </c>
      <c r="D1003" s="32" t="s">
        <v>5895</v>
      </c>
      <c r="E1003" s="44" t="s">
        <v>5896</v>
      </c>
      <c r="F1003" s="44" t="s">
        <v>5897</v>
      </c>
      <c r="G1003" s="44" t="s">
        <v>1833</v>
      </c>
      <c r="H1003" s="29">
        <v>4</v>
      </c>
      <c r="I1003" s="29" t="s">
        <v>605</v>
      </c>
      <c r="J1003" s="29" t="s">
        <v>539</v>
      </c>
      <c r="K1003" s="29" t="s">
        <v>1586</v>
      </c>
      <c r="L1003" s="23">
        <f t="shared" si="36"/>
        <v>1249.9999999999998</v>
      </c>
      <c r="M1003" s="23">
        <f t="shared" si="37"/>
        <v>149.99999999999997</v>
      </c>
      <c r="N1003" s="62">
        <v>1400</v>
      </c>
      <c r="O1003" s="61" t="s">
        <v>5898</v>
      </c>
      <c r="P1003" s="29" t="s">
        <v>1482</v>
      </c>
      <c r="Q1003" s="29" t="s">
        <v>58</v>
      </c>
      <c r="R1003" s="29"/>
    </row>
    <row r="1004" spans="1:22" x14ac:dyDescent="0.3">
      <c r="A1004" s="59">
        <v>45351</v>
      </c>
      <c r="B1004" s="32" t="s">
        <v>5899</v>
      </c>
      <c r="C1004" s="32" t="s">
        <v>5900</v>
      </c>
      <c r="D1004" s="32" t="s">
        <v>5901</v>
      </c>
      <c r="E1004" s="44" t="s">
        <v>5902</v>
      </c>
      <c r="F1004" s="44" t="s">
        <v>5903</v>
      </c>
      <c r="G1004" s="44" t="s">
        <v>1833</v>
      </c>
      <c r="H1004" s="29">
        <v>4</v>
      </c>
      <c r="I1004" s="29" t="s">
        <v>605</v>
      </c>
      <c r="J1004" s="29" t="s">
        <v>539</v>
      </c>
      <c r="K1004" s="29" t="s">
        <v>199</v>
      </c>
      <c r="L1004" s="23">
        <f t="shared" si="36"/>
        <v>624.99999999999989</v>
      </c>
      <c r="M1004" s="23">
        <f t="shared" si="37"/>
        <v>74.999999999999986</v>
      </c>
      <c r="N1004" s="62">
        <v>700</v>
      </c>
      <c r="O1004" s="61" t="s">
        <v>5904</v>
      </c>
      <c r="P1004" s="29" t="s">
        <v>691</v>
      </c>
      <c r="Q1004" s="29" t="s">
        <v>340</v>
      </c>
      <c r="R1004" s="29"/>
    </row>
    <row r="1005" spans="1:22" x14ac:dyDescent="0.3">
      <c r="A1005" s="59">
        <v>45351</v>
      </c>
      <c r="B1005" s="32" t="s">
        <v>5905</v>
      </c>
      <c r="C1005" s="32" t="s">
        <v>5906</v>
      </c>
      <c r="D1005" s="32" t="s">
        <v>5907</v>
      </c>
      <c r="E1005" s="44" t="s">
        <v>5908</v>
      </c>
      <c r="F1005" s="44" t="s">
        <v>5909</v>
      </c>
      <c r="G1005" s="44" t="s">
        <v>1962</v>
      </c>
      <c r="H1005" s="29">
        <v>10</v>
      </c>
      <c r="I1005" s="29" t="s">
        <v>605</v>
      </c>
      <c r="J1005" s="29" t="s">
        <v>539</v>
      </c>
      <c r="K1005" s="29" t="s">
        <v>199</v>
      </c>
      <c r="L1005" s="23">
        <f t="shared" si="36"/>
        <v>2669.6428571428569</v>
      </c>
      <c r="M1005" s="23">
        <f t="shared" si="37"/>
        <v>320.35714285714283</v>
      </c>
      <c r="N1005" s="62">
        <v>2990</v>
      </c>
      <c r="O1005" s="61" t="s">
        <v>5910</v>
      </c>
      <c r="P1005" s="29" t="s">
        <v>66</v>
      </c>
      <c r="Q1005" s="29" t="s">
        <v>340</v>
      </c>
      <c r="R1005" s="29"/>
    </row>
    <row r="1006" spans="1:22" x14ac:dyDescent="0.3">
      <c r="A1006" s="50">
        <v>45353</v>
      </c>
      <c r="B1006" s="32" t="s">
        <v>5911</v>
      </c>
      <c r="C1006" s="43" t="s">
        <v>5912</v>
      </c>
      <c r="D1006" s="43" t="s">
        <v>5913</v>
      </c>
      <c r="E1006" s="51" t="s">
        <v>5914</v>
      </c>
      <c r="F1006" s="109" t="s">
        <v>5915</v>
      </c>
      <c r="G1006" s="52">
        <v>5</v>
      </c>
      <c r="H1006" s="52">
        <v>3</v>
      </c>
      <c r="I1006" s="52" t="s">
        <v>605</v>
      </c>
      <c r="J1006" s="274" t="s">
        <v>539</v>
      </c>
      <c r="K1006" s="278" t="s">
        <v>5916</v>
      </c>
      <c r="L1006" s="23">
        <f t="shared" si="36"/>
        <v>624.99999999999989</v>
      </c>
      <c r="M1006" s="23">
        <f t="shared" si="37"/>
        <v>74.999999999999986</v>
      </c>
      <c r="N1006" s="67">
        <v>700</v>
      </c>
      <c r="O1006" s="75" t="s">
        <v>5917</v>
      </c>
      <c r="P1006" s="67"/>
      <c r="Q1006" s="67"/>
      <c r="R1006" s="67"/>
      <c r="S1006" s="52"/>
      <c r="T1006" s="52" t="s">
        <v>5743</v>
      </c>
      <c r="U1006" s="52" t="s">
        <v>2022</v>
      </c>
      <c r="V1006" s="29"/>
    </row>
    <row r="1007" spans="1:22" x14ac:dyDescent="0.3">
      <c r="A1007" s="50">
        <v>45353</v>
      </c>
      <c r="B1007" s="32" t="s">
        <v>5918</v>
      </c>
      <c r="C1007" s="52" t="s">
        <v>5919</v>
      </c>
      <c r="D1007" s="52" t="s">
        <v>5920</v>
      </c>
      <c r="E1007" s="51" t="s">
        <v>5921</v>
      </c>
      <c r="F1007" s="51" t="s">
        <v>5922</v>
      </c>
      <c r="G1007" s="52">
        <v>6</v>
      </c>
      <c r="H1007" s="52">
        <v>5</v>
      </c>
      <c r="I1007" s="121" t="s">
        <v>605</v>
      </c>
      <c r="J1007" s="75" t="s">
        <v>539</v>
      </c>
      <c r="K1007" s="278" t="s">
        <v>200</v>
      </c>
      <c r="L1007" s="23">
        <f t="shared" si="36"/>
        <v>892.85714285714278</v>
      </c>
      <c r="M1007" s="23">
        <f t="shared" si="37"/>
        <v>107.14285714285712</v>
      </c>
      <c r="N1007" s="67">
        <v>1000</v>
      </c>
      <c r="O1007" s="110" t="s">
        <v>5923</v>
      </c>
      <c r="P1007" s="67"/>
      <c r="Q1007" s="67"/>
      <c r="R1007" s="67"/>
      <c r="S1007" s="111"/>
      <c r="T1007" s="52" t="s">
        <v>2832</v>
      </c>
      <c r="U1007" s="52" t="s">
        <v>5924</v>
      </c>
      <c r="V1007" s="29"/>
    </row>
    <row r="1008" spans="1:22" x14ac:dyDescent="0.3">
      <c r="A1008" s="50">
        <v>45353</v>
      </c>
      <c r="B1008" s="32" t="s">
        <v>5925</v>
      </c>
      <c r="C1008" s="43" t="s">
        <v>5926</v>
      </c>
      <c r="D1008" s="43" t="s">
        <v>5927</v>
      </c>
      <c r="E1008" s="51" t="s">
        <v>5928</v>
      </c>
      <c r="F1008" s="109" t="s">
        <v>5929</v>
      </c>
      <c r="G1008" s="52">
        <v>5</v>
      </c>
      <c r="H1008" s="52">
        <v>2</v>
      </c>
      <c r="I1008" s="52" t="s">
        <v>605</v>
      </c>
      <c r="J1008" s="75" t="s">
        <v>539</v>
      </c>
      <c r="K1008" s="278" t="s">
        <v>2488</v>
      </c>
      <c r="L1008" s="23">
        <f t="shared" si="36"/>
        <v>624.99999999999989</v>
      </c>
      <c r="M1008" s="23">
        <f t="shared" si="37"/>
        <v>74.999999999999986</v>
      </c>
      <c r="N1008" s="67">
        <v>700</v>
      </c>
      <c r="O1008" s="110" t="s">
        <v>5930</v>
      </c>
      <c r="P1008" s="67"/>
      <c r="Q1008" s="67"/>
      <c r="R1008" s="67"/>
      <c r="S1008" s="52"/>
      <c r="T1008" s="52" t="s">
        <v>1482</v>
      </c>
      <c r="U1008" s="52" t="s">
        <v>65</v>
      </c>
      <c r="V1008" s="29"/>
    </row>
    <row r="1009" spans="1:22" x14ac:dyDescent="0.3">
      <c r="A1009" s="50">
        <v>45353</v>
      </c>
      <c r="B1009" s="32" t="s">
        <v>5931</v>
      </c>
      <c r="C1009" s="43" t="s">
        <v>5932</v>
      </c>
      <c r="D1009" s="43" t="s">
        <v>5933</v>
      </c>
      <c r="E1009" s="51" t="s">
        <v>5934</v>
      </c>
      <c r="F1009" s="109" t="s">
        <v>5935</v>
      </c>
      <c r="G1009" s="52">
        <v>5</v>
      </c>
      <c r="H1009" s="52">
        <v>3</v>
      </c>
      <c r="I1009" s="121" t="s">
        <v>605</v>
      </c>
      <c r="J1009" s="75" t="s">
        <v>539</v>
      </c>
      <c r="K1009" s="278" t="s">
        <v>2488</v>
      </c>
      <c r="L1009" s="23">
        <f t="shared" si="36"/>
        <v>624.99999999999989</v>
      </c>
      <c r="M1009" s="23">
        <f t="shared" si="37"/>
        <v>74.999999999999986</v>
      </c>
      <c r="N1009" s="67">
        <v>700</v>
      </c>
      <c r="O1009" s="110" t="s">
        <v>5936</v>
      </c>
      <c r="P1009" s="67"/>
      <c r="Q1009" s="67"/>
      <c r="R1009" s="67"/>
      <c r="S1009" s="52"/>
      <c r="T1009" s="52" t="s">
        <v>2832</v>
      </c>
      <c r="U1009" s="52" t="s">
        <v>2022</v>
      </c>
      <c r="V1009" s="29"/>
    </row>
    <row r="1010" spans="1:22" x14ac:dyDescent="0.3">
      <c r="A1010" s="50">
        <v>45357</v>
      </c>
      <c r="B1010" s="32" t="s">
        <v>5937</v>
      </c>
      <c r="C1010" s="43" t="s">
        <v>5938</v>
      </c>
      <c r="D1010" s="43" t="s">
        <v>5939</v>
      </c>
      <c r="E1010" s="51" t="s">
        <v>5940</v>
      </c>
      <c r="F1010" s="109" t="s">
        <v>5941</v>
      </c>
      <c r="G1010" s="52">
        <v>5</v>
      </c>
      <c r="H1010" s="52">
        <v>3</v>
      </c>
      <c r="I1010" s="52" t="s">
        <v>617</v>
      </c>
      <c r="J1010" s="75" t="s">
        <v>539</v>
      </c>
      <c r="K1010" s="278" t="s">
        <v>5942</v>
      </c>
      <c r="L1010" s="23">
        <f t="shared" si="36"/>
        <v>1339.2857142857142</v>
      </c>
      <c r="M1010" s="23">
        <f t="shared" si="37"/>
        <v>160.71428571428569</v>
      </c>
      <c r="N1010" s="67">
        <v>1500</v>
      </c>
      <c r="O1010" s="110" t="s">
        <v>5943</v>
      </c>
      <c r="P1010" s="67"/>
      <c r="Q1010" s="67"/>
      <c r="R1010" s="67"/>
      <c r="S1010" s="52"/>
      <c r="T1010" s="52" t="s">
        <v>58</v>
      </c>
      <c r="U1010" s="52" t="s">
        <v>5944</v>
      </c>
      <c r="V1010" s="29"/>
    </row>
    <row r="1011" spans="1:22" x14ac:dyDescent="0.3">
      <c r="A1011" s="50">
        <v>45356</v>
      </c>
      <c r="B1011" s="32" t="s">
        <v>5945</v>
      </c>
      <c r="C1011" s="43" t="s">
        <v>5946</v>
      </c>
      <c r="D1011" s="43" t="s">
        <v>5947</v>
      </c>
      <c r="E1011" s="51" t="s">
        <v>5948</v>
      </c>
      <c r="F1011" s="109" t="s">
        <v>5949</v>
      </c>
      <c r="G1011" s="52">
        <v>7</v>
      </c>
      <c r="H1011" s="52">
        <v>5</v>
      </c>
      <c r="I1011" s="279" t="s">
        <v>605</v>
      </c>
      <c r="J1011" s="75" t="s">
        <v>539</v>
      </c>
      <c r="K1011" s="278" t="s">
        <v>200</v>
      </c>
      <c r="L1011" s="23">
        <f t="shared" si="36"/>
        <v>1776.7857142857142</v>
      </c>
      <c r="M1011" s="23">
        <f t="shared" si="37"/>
        <v>213.21428571428569</v>
      </c>
      <c r="N1011" s="67">
        <v>1990</v>
      </c>
      <c r="O1011" s="110" t="s">
        <v>5950</v>
      </c>
      <c r="P1011" s="67"/>
      <c r="Q1011" s="67"/>
      <c r="R1011" s="67"/>
      <c r="S1011" s="52"/>
      <c r="T1011" s="52" t="s">
        <v>5951</v>
      </c>
      <c r="U1011" s="52" t="s">
        <v>2022</v>
      </c>
      <c r="V1011" s="29"/>
    </row>
    <row r="1012" spans="1:22" x14ac:dyDescent="0.3">
      <c r="A1012" s="50">
        <v>45357</v>
      </c>
      <c r="B1012" s="32" t="s">
        <v>5952</v>
      </c>
      <c r="C1012" s="43" t="s">
        <v>5953</v>
      </c>
      <c r="D1012" s="43" t="s">
        <v>5954</v>
      </c>
      <c r="E1012" s="51" t="s">
        <v>5955</v>
      </c>
      <c r="F1012" s="109" t="s">
        <v>5956</v>
      </c>
      <c r="G1012" s="52">
        <v>6</v>
      </c>
      <c r="H1012" s="52">
        <v>3</v>
      </c>
      <c r="I1012" s="121" t="s">
        <v>605</v>
      </c>
      <c r="J1012" s="75" t="s">
        <v>539</v>
      </c>
      <c r="K1012" s="278" t="s">
        <v>5957</v>
      </c>
      <c r="L1012" s="23">
        <f t="shared" si="36"/>
        <v>1071.4285714285713</v>
      </c>
      <c r="M1012" s="23">
        <f t="shared" si="37"/>
        <v>128.57142857142856</v>
      </c>
      <c r="N1012" s="67">
        <v>1200</v>
      </c>
      <c r="O1012" s="110" t="s">
        <v>5958</v>
      </c>
      <c r="P1012" s="67"/>
      <c r="Q1012" s="67"/>
      <c r="R1012" s="67"/>
      <c r="S1012" s="52"/>
      <c r="T1012" s="52" t="s">
        <v>337</v>
      </c>
      <c r="U1012" s="52" t="s">
        <v>225</v>
      </c>
      <c r="V1012" s="29"/>
    </row>
    <row r="1013" spans="1:22" x14ac:dyDescent="0.3">
      <c r="A1013" s="50">
        <v>45358</v>
      </c>
      <c r="B1013" s="32" t="s">
        <v>5959</v>
      </c>
      <c r="C1013" s="43" t="s">
        <v>5960</v>
      </c>
      <c r="D1013" s="43" t="s">
        <v>5961</v>
      </c>
      <c r="E1013" s="51" t="s">
        <v>5962</v>
      </c>
      <c r="F1013" s="109" t="s">
        <v>5963</v>
      </c>
      <c r="G1013" s="52">
        <v>5</v>
      </c>
      <c r="H1013" s="52">
        <v>3</v>
      </c>
      <c r="I1013" s="52" t="s">
        <v>605</v>
      </c>
      <c r="J1013" s="75" t="s">
        <v>539</v>
      </c>
      <c r="K1013" s="278" t="s">
        <v>1586</v>
      </c>
      <c r="L1013" s="23">
        <f t="shared" si="36"/>
        <v>892.85714285714278</v>
      </c>
      <c r="M1013" s="23">
        <f t="shared" si="37"/>
        <v>107.14285714285712</v>
      </c>
      <c r="N1013" s="67">
        <v>1000</v>
      </c>
      <c r="O1013" s="110" t="s">
        <v>5964</v>
      </c>
      <c r="P1013" s="67"/>
      <c r="Q1013" s="67"/>
      <c r="R1013" s="67"/>
      <c r="S1013" s="52"/>
      <c r="T1013" s="52" t="s">
        <v>2832</v>
      </c>
      <c r="U1013" s="52" t="s">
        <v>225</v>
      </c>
      <c r="V1013" s="29"/>
    </row>
    <row r="1014" spans="1:22" x14ac:dyDescent="0.3">
      <c r="A1014" s="50">
        <v>45358</v>
      </c>
      <c r="B1014" s="32" t="s">
        <v>5965</v>
      </c>
      <c r="C1014" s="43" t="s">
        <v>5966</v>
      </c>
      <c r="D1014" s="43" t="s">
        <v>5967</v>
      </c>
      <c r="E1014" s="51" t="s">
        <v>5968</v>
      </c>
      <c r="F1014" s="109" t="s">
        <v>5969</v>
      </c>
      <c r="G1014" s="52">
        <v>5</v>
      </c>
      <c r="H1014" s="52">
        <v>3</v>
      </c>
      <c r="I1014" s="121" t="s">
        <v>605</v>
      </c>
      <c r="J1014" s="75" t="s">
        <v>539</v>
      </c>
      <c r="K1014" s="278" t="s">
        <v>200</v>
      </c>
      <c r="L1014" s="23">
        <f t="shared" si="36"/>
        <v>714.28571428571422</v>
      </c>
      <c r="M1014" s="23">
        <f t="shared" si="37"/>
        <v>85.714285714285708</v>
      </c>
      <c r="N1014" s="67">
        <v>800</v>
      </c>
      <c r="O1014" s="110" t="s">
        <v>5970</v>
      </c>
      <c r="P1014" s="67"/>
      <c r="Q1014" s="67"/>
      <c r="R1014" s="67"/>
      <c r="S1014" s="52"/>
      <c r="T1014" s="52" t="s">
        <v>2832</v>
      </c>
      <c r="U1014" s="52" t="s">
        <v>58</v>
      </c>
      <c r="V1014" s="29"/>
    </row>
    <row r="1015" spans="1:22" x14ac:dyDescent="0.3">
      <c r="A1015" s="50">
        <v>45358</v>
      </c>
      <c r="B1015" s="32" t="s">
        <v>5971</v>
      </c>
      <c r="C1015" s="43" t="s">
        <v>5972</v>
      </c>
      <c r="D1015" s="43" t="s">
        <v>5973</v>
      </c>
      <c r="E1015" s="51" t="s">
        <v>5974</v>
      </c>
      <c r="F1015" s="109" t="s">
        <v>5975</v>
      </c>
      <c r="G1015" s="52">
        <v>7</v>
      </c>
      <c r="H1015" s="52">
        <v>5</v>
      </c>
      <c r="I1015" s="52" t="s">
        <v>605</v>
      </c>
      <c r="J1015" s="75" t="s">
        <v>539</v>
      </c>
      <c r="K1015" s="52" t="s">
        <v>1518</v>
      </c>
      <c r="L1015" s="23">
        <f t="shared" si="36"/>
        <v>892.85714285714278</v>
      </c>
      <c r="M1015" s="23">
        <f t="shared" si="37"/>
        <v>107.14285714285712</v>
      </c>
      <c r="N1015" s="67">
        <v>1000</v>
      </c>
      <c r="O1015" s="110" t="s">
        <v>5976</v>
      </c>
      <c r="P1015" s="52"/>
      <c r="Q1015" s="52"/>
      <c r="R1015" s="52"/>
      <c r="S1015" s="52"/>
      <c r="T1015" s="52" t="s">
        <v>5743</v>
      </c>
      <c r="U1015" s="52" t="s">
        <v>782</v>
      </c>
      <c r="V1015" s="29"/>
    </row>
    <row r="1016" spans="1:22" x14ac:dyDescent="0.3">
      <c r="A1016" s="50">
        <v>45359</v>
      </c>
      <c r="B1016" s="32" t="s">
        <v>5977</v>
      </c>
      <c r="C1016" s="43" t="s">
        <v>5978</v>
      </c>
      <c r="D1016" s="43" t="s">
        <v>5979</v>
      </c>
      <c r="E1016" s="51" t="s">
        <v>5980</v>
      </c>
      <c r="F1016" s="109" t="s">
        <v>5981</v>
      </c>
      <c r="G1016" s="52">
        <v>3</v>
      </c>
      <c r="H1016" s="52">
        <v>2</v>
      </c>
      <c r="I1016" s="52" t="s">
        <v>605</v>
      </c>
      <c r="J1016" s="75" t="s">
        <v>539</v>
      </c>
      <c r="K1016" s="52" t="s">
        <v>2488</v>
      </c>
      <c r="L1016" s="23">
        <f t="shared" si="36"/>
        <v>624.99999999999989</v>
      </c>
      <c r="M1016" s="23">
        <f t="shared" si="37"/>
        <v>74.999999999999986</v>
      </c>
      <c r="N1016" s="67">
        <v>700</v>
      </c>
      <c r="O1016" s="110" t="s">
        <v>5982</v>
      </c>
      <c r="P1016" s="52"/>
      <c r="Q1016" s="52"/>
      <c r="R1016" s="52"/>
      <c r="S1016" s="52"/>
      <c r="T1016" s="52" t="s">
        <v>337</v>
      </c>
      <c r="U1016" s="52" t="s">
        <v>337</v>
      </c>
      <c r="V1016" s="29"/>
    </row>
    <row r="1017" spans="1:22" x14ac:dyDescent="0.3">
      <c r="A1017" s="50">
        <v>45359</v>
      </c>
      <c r="B1017" s="32" t="s">
        <v>5983</v>
      </c>
      <c r="C1017" s="43" t="s">
        <v>1779</v>
      </c>
      <c r="D1017" s="43" t="s">
        <v>5984</v>
      </c>
      <c r="E1017" s="51" t="s">
        <v>5985</v>
      </c>
      <c r="F1017" s="109" t="s">
        <v>5986</v>
      </c>
      <c r="G1017" s="52">
        <v>5</v>
      </c>
      <c r="H1017" s="52">
        <v>2</v>
      </c>
      <c r="I1017" s="52" t="s">
        <v>605</v>
      </c>
      <c r="J1017" s="75" t="s">
        <v>539</v>
      </c>
      <c r="K1017" s="52" t="s">
        <v>200</v>
      </c>
      <c r="L1017" s="23">
        <f t="shared" si="36"/>
        <v>714.28571428571422</v>
      </c>
      <c r="M1017" s="23">
        <f t="shared" si="37"/>
        <v>85.714285714285708</v>
      </c>
      <c r="N1017" s="67">
        <v>800</v>
      </c>
      <c r="O1017" s="110" t="s">
        <v>5987</v>
      </c>
      <c r="P1017" s="52"/>
      <c r="Q1017" s="52"/>
      <c r="R1017" s="52"/>
      <c r="S1017" s="52"/>
      <c r="T1017" s="52" t="s">
        <v>1482</v>
      </c>
      <c r="U1017" s="52" t="s">
        <v>65</v>
      </c>
      <c r="V1017" s="29"/>
    </row>
    <row r="1018" spans="1:22" x14ac:dyDescent="0.3">
      <c r="A1018" s="50">
        <v>45360</v>
      </c>
      <c r="B1018" s="32" t="s">
        <v>5988</v>
      </c>
      <c r="C1018" s="43" t="s">
        <v>5989</v>
      </c>
      <c r="D1018" s="43" t="s">
        <v>5990</v>
      </c>
      <c r="E1018" s="51" t="s">
        <v>5991</v>
      </c>
      <c r="F1018" s="109" t="s">
        <v>5992</v>
      </c>
      <c r="G1018" s="52">
        <v>5</v>
      </c>
      <c r="H1018" s="52">
        <v>3</v>
      </c>
      <c r="I1018" s="52" t="s">
        <v>605</v>
      </c>
      <c r="J1018" s="75" t="s">
        <v>539</v>
      </c>
      <c r="K1018" s="52" t="s">
        <v>2488</v>
      </c>
      <c r="L1018" s="23">
        <f t="shared" si="36"/>
        <v>937.49999999999989</v>
      </c>
      <c r="M1018" s="23">
        <f t="shared" si="37"/>
        <v>112.49999999999999</v>
      </c>
      <c r="N1018" s="67">
        <v>1050</v>
      </c>
      <c r="O1018" s="110" t="s">
        <v>5993</v>
      </c>
      <c r="P1018" s="52"/>
      <c r="Q1018" s="52"/>
      <c r="R1018" s="52"/>
      <c r="S1018" s="52"/>
      <c r="T1018" s="52" t="s">
        <v>337</v>
      </c>
      <c r="U1018" s="52" t="s">
        <v>340</v>
      </c>
      <c r="V1018" s="29"/>
    </row>
    <row r="1019" spans="1:22" x14ac:dyDescent="0.3">
      <c r="A1019" s="50">
        <v>45360</v>
      </c>
      <c r="B1019" s="32" t="s">
        <v>5994</v>
      </c>
      <c r="C1019" s="43" t="s">
        <v>5995</v>
      </c>
      <c r="D1019" s="43" t="s">
        <v>5996</v>
      </c>
      <c r="E1019" s="51" t="s">
        <v>5997</v>
      </c>
      <c r="F1019" s="109" t="s">
        <v>5998</v>
      </c>
      <c r="G1019" s="52">
        <v>12</v>
      </c>
      <c r="H1019" s="52">
        <v>10</v>
      </c>
      <c r="I1019" s="52" t="s">
        <v>5999</v>
      </c>
      <c r="J1019" s="75" t="s">
        <v>539</v>
      </c>
      <c r="K1019" s="52" t="s">
        <v>199</v>
      </c>
      <c r="L1019" s="23">
        <f t="shared" si="36"/>
        <v>2669.6428571428569</v>
      </c>
      <c r="M1019" s="23">
        <f t="shared" si="37"/>
        <v>320.35714285714283</v>
      </c>
      <c r="N1019" s="67">
        <v>2990</v>
      </c>
      <c r="O1019" s="110" t="s">
        <v>6000</v>
      </c>
      <c r="P1019" s="52"/>
      <c r="Q1019" s="52"/>
      <c r="R1019" s="52"/>
      <c r="S1019" s="52"/>
      <c r="T1019" s="52" t="s">
        <v>731</v>
      </c>
      <c r="U1019" s="52" t="s">
        <v>2022</v>
      </c>
      <c r="V1019" s="29"/>
    </row>
    <row r="1020" spans="1:22" x14ac:dyDescent="0.3">
      <c r="A1020" s="50">
        <v>45363</v>
      </c>
      <c r="B1020" s="32" t="s">
        <v>6001</v>
      </c>
      <c r="C1020" s="43" t="s">
        <v>1134</v>
      </c>
      <c r="D1020" s="43" t="s">
        <v>6002</v>
      </c>
      <c r="E1020" s="51" t="s">
        <v>6003</v>
      </c>
      <c r="F1020" s="109" t="s">
        <v>6004</v>
      </c>
      <c r="G1020" s="52">
        <v>3</v>
      </c>
      <c r="H1020" s="52">
        <v>2</v>
      </c>
      <c r="I1020" s="52" t="s">
        <v>605</v>
      </c>
      <c r="J1020" s="75" t="s">
        <v>6005</v>
      </c>
      <c r="K1020" s="52" t="s">
        <v>199</v>
      </c>
      <c r="L1020" s="23">
        <f t="shared" si="36"/>
        <v>357.14285714285711</v>
      </c>
      <c r="M1020" s="23">
        <f t="shared" si="37"/>
        <v>42.857142857142854</v>
      </c>
      <c r="N1020" s="67">
        <v>400</v>
      </c>
      <c r="O1020" s="110" t="s">
        <v>6006</v>
      </c>
      <c r="P1020" s="52"/>
      <c r="Q1020" s="52"/>
      <c r="R1020" s="52"/>
      <c r="S1020" s="52"/>
      <c r="T1020" s="52" t="s">
        <v>339</v>
      </c>
      <c r="U1020" s="52" t="s">
        <v>782</v>
      </c>
      <c r="V1020" s="29"/>
    </row>
    <row r="1021" spans="1:22" x14ac:dyDescent="0.3">
      <c r="A1021" s="50">
        <v>45363</v>
      </c>
      <c r="B1021" s="32" t="s">
        <v>6007</v>
      </c>
      <c r="C1021" s="43" t="s">
        <v>410</v>
      </c>
      <c r="D1021" s="43" t="s">
        <v>6008</v>
      </c>
      <c r="E1021" s="51" t="s">
        <v>6009</v>
      </c>
      <c r="F1021" s="109" t="s">
        <v>6010</v>
      </c>
      <c r="G1021" s="52">
        <v>8</v>
      </c>
      <c r="H1021" s="52">
        <v>5</v>
      </c>
      <c r="I1021" s="121" t="s">
        <v>605</v>
      </c>
      <c r="J1021" s="75" t="s">
        <v>539</v>
      </c>
      <c r="K1021" s="52" t="s">
        <v>2488</v>
      </c>
      <c r="L1021" s="23">
        <f t="shared" si="36"/>
        <v>1339.2857142857142</v>
      </c>
      <c r="M1021" s="23">
        <f t="shared" si="37"/>
        <v>160.71428571428569</v>
      </c>
      <c r="N1021" s="67">
        <v>1500</v>
      </c>
      <c r="O1021" s="110" t="s">
        <v>6011</v>
      </c>
      <c r="P1021" s="52"/>
      <c r="Q1021" s="52"/>
      <c r="R1021" s="52"/>
      <c r="S1021" s="52"/>
      <c r="T1021" s="52" t="s">
        <v>691</v>
      </c>
      <c r="U1021" s="52" t="s">
        <v>340</v>
      </c>
      <c r="V1021" s="29"/>
    </row>
    <row r="1022" spans="1:22" x14ac:dyDescent="0.3">
      <c r="A1022" s="50">
        <v>45365</v>
      </c>
      <c r="B1022" s="32" t="s">
        <v>6012</v>
      </c>
      <c r="C1022" s="43" t="s">
        <v>6013</v>
      </c>
      <c r="D1022" s="43" t="s">
        <v>6014</v>
      </c>
      <c r="E1022" s="51" t="s">
        <v>6015</v>
      </c>
      <c r="F1022" s="109" t="s">
        <v>6016</v>
      </c>
      <c r="G1022" s="52">
        <v>6</v>
      </c>
      <c r="H1022" s="52">
        <v>6</v>
      </c>
      <c r="I1022" s="52" t="s">
        <v>605</v>
      </c>
      <c r="J1022" s="75" t="s">
        <v>539</v>
      </c>
      <c r="K1022" s="52" t="s">
        <v>980</v>
      </c>
      <c r="L1022" s="23">
        <f t="shared" si="36"/>
        <v>1919.6428571428569</v>
      </c>
      <c r="M1022" s="23">
        <f t="shared" si="37"/>
        <v>230.3571428571428</v>
      </c>
      <c r="N1022" s="67">
        <v>2150</v>
      </c>
      <c r="O1022" s="110" t="s">
        <v>6017</v>
      </c>
      <c r="P1022" s="52"/>
      <c r="Q1022" s="52"/>
      <c r="R1022" s="52"/>
      <c r="S1022" s="52"/>
      <c r="T1022" s="52" t="s">
        <v>62</v>
      </c>
      <c r="U1022" s="52" t="s">
        <v>782</v>
      </c>
      <c r="V1022" s="29"/>
    </row>
    <row r="1023" spans="1:22" x14ac:dyDescent="0.3">
      <c r="A1023" s="50">
        <v>45365</v>
      </c>
      <c r="B1023" s="32" t="s">
        <v>6018</v>
      </c>
      <c r="C1023" s="43" t="s">
        <v>6019</v>
      </c>
      <c r="D1023" s="43" t="s">
        <v>6020</v>
      </c>
      <c r="E1023" s="51" t="s">
        <v>6021</v>
      </c>
      <c r="F1023" s="109" t="s">
        <v>6022</v>
      </c>
      <c r="G1023" s="52">
        <v>5</v>
      </c>
      <c r="H1023" s="52">
        <v>3</v>
      </c>
      <c r="I1023" s="52" t="s">
        <v>605</v>
      </c>
      <c r="J1023" s="75" t="s">
        <v>539</v>
      </c>
      <c r="K1023" s="52" t="s">
        <v>2488</v>
      </c>
      <c r="L1023" s="23">
        <f t="shared" si="36"/>
        <v>892.85714285714278</v>
      </c>
      <c r="M1023" s="23">
        <f t="shared" si="37"/>
        <v>107.14285714285712</v>
      </c>
      <c r="N1023" s="67">
        <v>1000</v>
      </c>
      <c r="O1023" s="110" t="s">
        <v>6023</v>
      </c>
      <c r="P1023" s="52"/>
      <c r="Q1023" s="52"/>
      <c r="R1023" s="52"/>
      <c r="S1023" s="52"/>
      <c r="T1023" s="52" t="s">
        <v>5743</v>
      </c>
      <c r="U1023" s="52" t="s">
        <v>225</v>
      </c>
      <c r="V1023" s="29"/>
    </row>
    <row r="1024" spans="1:22" x14ac:dyDescent="0.3">
      <c r="A1024" s="50">
        <v>45366</v>
      </c>
      <c r="B1024" s="32" t="s">
        <v>6024</v>
      </c>
      <c r="C1024" s="43" t="s">
        <v>6025</v>
      </c>
      <c r="D1024" s="43" t="s">
        <v>6026</v>
      </c>
      <c r="E1024" s="51" t="s">
        <v>6027</v>
      </c>
      <c r="F1024" s="109" t="s">
        <v>6028</v>
      </c>
      <c r="G1024" s="52">
        <v>6</v>
      </c>
      <c r="H1024" s="52">
        <v>6</v>
      </c>
      <c r="I1024" s="52" t="s">
        <v>605</v>
      </c>
      <c r="J1024" s="75" t="s">
        <v>1090</v>
      </c>
      <c r="K1024" s="52"/>
      <c r="L1024" s="23">
        <f t="shared" si="36"/>
        <v>1339.2857142857142</v>
      </c>
      <c r="M1024" s="23">
        <f t="shared" si="37"/>
        <v>160.71428571428569</v>
      </c>
      <c r="N1024" s="67">
        <v>1500</v>
      </c>
      <c r="O1024" s="131" t="s">
        <v>6029</v>
      </c>
      <c r="P1024" s="52"/>
      <c r="Q1024" s="52"/>
      <c r="R1024" s="52"/>
      <c r="S1024" s="52"/>
      <c r="T1024" s="52" t="s">
        <v>782</v>
      </c>
      <c r="U1024" s="52" t="s">
        <v>782</v>
      </c>
      <c r="V1024" s="29"/>
    </row>
    <row r="1025" spans="1:22" x14ac:dyDescent="0.3">
      <c r="A1025" s="50">
        <v>45366</v>
      </c>
      <c r="B1025" s="32" t="s">
        <v>6030</v>
      </c>
      <c r="C1025" s="43" t="s">
        <v>6031</v>
      </c>
      <c r="D1025" s="43" t="s">
        <v>6032</v>
      </c>
      <c r="E1025" s="51" t="s">
        <v>6033</v>
      </c>
      <c r="F1025" s="109" t="s">
        <v>6034</v>
      </c>
      <c r="G1025" s="52">
        <v>5</v>
      </c>
      <c r="H1025" s="52">
        <v>3</v>
      </c>
      <c r="I1025" s="132" t="s">
        <v>605</v>
      </c>
      <c r="J1025" s="75" t="s">
        <v>539</v>
      </c>
      <c r="K1025" s="52" t="s">
        <v>199</v>
      </c>
      <c r="L1025" s="23">
        <f t="shared" si="36"/>
        <v>892.85714285714278</v>
      </c>
      <c r="M1025" s="23">
        <f t="shared" si="37"/>
        <v>107.14285714285712</v>
      </c>
      <c r="N1025" s="67">
        <v>1000</v>
      </c>
      <c r="O1025" s="110" t="s">
        <v>6035</v>
      </c>
      <c r="P1025" s="52"/>
      <c r="Q1025" s="52"/>
      <c r="R1025" s="52"/>
      <c r="S1025" s="52"/>
      <c r="T1025" s="52" t="s">
        <v>337</v>
      </c>
      <c r="U1025" s="52" t="s">
        <v>58</v>
      </c>
      <c r="V1025" s="29"/>
    </row>
    <row r="1026" spans="1:22" x14ac:dyDescent="0.3">
      <c r="A1026" s="50">
        <v>45366</v>
      </c>
      <c r="B1026" s="32" t="s">
        <v>6036</v>
      </c>
      <c r="C1026" s="43" t="s">
        <v>1134</v>
      </c>
      <c r="D1026" s="43" t="s">
        <v>6037</v>
      </c>
      <c r="E1026" s="51" t="s">
        <v>6038</v>
      </c>
      <c r="F1026" s="109" t="s">
        <v>6039</v>
      </c>
      <c r="G1026" s="52">
        <v>5</v>
      </c>
      <c r="H1026" s="52">
        <v>3</v>
      </c>
      <c r="I1026" s="52" t="s">
        <v>605</v>
      </c>
      <c r="J1026" s="75" t="s">
        <v>539</v>
      </c>
      <c r="K1026" s="52" t="s">
        <v>200</v>
      </c>
      <c r="L1026" s="23">
        <f t="shared" si="36"/>
        <v>892.85714285714278</v>
      </c>
      <c r="M1026" s="23">
        <f t="shared" si="37"/>
        <v>107.14285714285712</v>
      </c>
      <c r="N1026" s="67">
        <v>1000</v>
      </c>
      <c r="O1026" s="110" t="s">
        <v>6040</v>
      </c>
      <c r="P1026" s="52"/>
      <c r="Q1026" s="52"/>
      <c r="R1026" s="52"/>
      <c r="S1026" s="52"/>
      <c r="T1026" s="52" t="s">
        <v>2832</v>
      </c>
      <c r="U1026" s="52" t="s">
        <v>340</v>
      </c>
      <c r="V1026" s="29"/>
    </row>
    <row r="1027" spans="1:22" x14ac:dyDescent="0.3">
      <c r="A1027" s="50">
        <v>45370</v>
      </c>
      <c r="B1027" s="32" t="s">
        <v>6041</v>
      </c>
      <c r="C1027" s="43" t="s">
        <v>6042</v>
      </c>
      <c r="D1027" s="43" t="s">
        <v>6043</v>
      </c>
      <c r="E1027" s="51" t="s">
        <v>6044</v>
      </c>
      <c r="F1027" s="109" t="s">
        <v>6045</v>
      </c>
      <c r="G1027" s="52">
        <v>5</v>
      </c>
      <c r="H1027" s="52">
        <v>3</v>
      </c>
      <c r="I1027" s="52" t="s">
        <v>605</v>
      </c>
      <c r="J1027" s="75" t="s">
        <v>539</v>
      </c>
      <c r="K1027" s="52" t="s">
        <v>1586</v>
      </c>
      <c r="L1027" s="23">
        <f t="shared" si="36"/>
        <v>1071.4285714285713</v>
      </c>
      <c r="M1027" s="23">
        <f t="shared" si="37"/>
        <v>128.57142857142856</v>
      </c>
      <c r="N1027" s="67">
        <v>1200</v>
      </c>
      <c r="O1027" s="110" t="s">
        <v>6046</v>
      </c>
      <c r="P1027" s="52"/>
      <c r="Q1027" s="52"/>
      <c r="R1027" s="52"/>
      <c r="S1027" s="52"/>
      <c r="T1027" s="52" t="s">
        <v>62</v>
      </c>
      <c r="U1027" s="52" t="s">
        <v>225</v>
      </c>
      <c r="V1027" s="29"/>
    </row>
    <row r="1028" spans="1:22" x14ac:dyDescent="0.3">
      <c r="A1028" s="50">
        <v>45370</v>
      </c>
      <c r="B1028" s="32" t="s">
        <v>6047</v>
      </c>
      <c r="C1028" s="43" t="s">
        <v>6048</v>
      </c>
      <c r="D1028" s="43" t="s">
        <v>6049</v>
      </c>
      <c r="E1028" s="51" t="s">
        <v>6050</v>
      </c>
      <c r="F1028" s="109" t="s">
        <v>6051</v>
      </c>
      <c r="G1028" s="52">
        <v>5</v>
      </c>
      <c r="H1028" s="52">
        <v>2</v>
      </c>
      <c r="I1028" s="52" t="s">
        <v>617</v>
      </c>
      <c r="J1028" s="75" t="s">
        <v>539</v>
      </c>
      <c r="K1028" s="52" t="s">
        <v>2488</v>
      </c>
      <c r="L1028" s="23">
        <f t="shared" si="36"/>
        <v>714.28571428571422</v>
      </c>
      <c r="M1028" s="23">
        <f t="shared" si="37"/>
        <v>85.714285714285708</v>
      </c>
      <c r="N1028" s="67">
        <v>800</v>
      </c>
      <c r="O1028" s="110" t="s">
        <v>6052</v>
      </c>
      <c r="P1028" s="52"/>
      <c r="Q1028" s="52"/>
      <c r="R1028" s="52"/>
      <c r="S1028" s="52"/>
      <c r="T1028" s="52" t="s">
        <v>5743</v>
      </c>
      <c r="U1028" s="52" t="s">
        <v>65</v>
      </c>
      <c r="V1028" s="29"/>
    </row>
    <row r="1029" spans="1:22" x14ac:dyDescent="0.3">
      <c r="A1029" s="50">
        <v>45373</v>
      </c>
      <c r="B1029" s="32" t="s">
        <v>6053</v>
      </c>
      <c r="C1029" s="43" t="s">
        <v>6054</v>
      </c>
      <c r="D1029" s="43" t="s">
        <v>6055</v>
      </c>
      <c r="E1029" s="51" t="s">
        <v>6056</v>
      </c>
      <c r="F1029" s="109" t="s">
        <v>6057</v>
      </c>
      <c r="G1029" s="52">
        <v>8</v>
      </c>
      <c r="H1029" s="52">
        <v>3</v>
      </c>
      <c r="I1029" s="52" t="s">
        <v>605</v>
      </c>
      <c r="J1029" s="75" t="s">
        <v>539</v>
      </c>
      <c r="K1029" s="52" t="s">
        <v>200</v>
      </c>
      <c r="L1029" s="23">
        <f t="shared" si="36"/>
        <v>892.85714285714278</v>
      </c>
      <c r="M1029" s="23">
        <f t="shared" si="37"/>
        <v>107.14285714285712</v>
      </c>
      <c r="N1029" s="67">
        <v>1000</v>
      </c>
      <c r="O1029" s="110" t="s">
        <v>6058</v>
      </c>
      <c r="P1029" s="52"/>
      <c r="Q1029" s="52"/>
      <c r="R1029" s="52"/>
      <c r="S1029" s="52"/>
      <c r="T1029" s="52" t="s">
        <v>6059</v>
      </c>
      <c r="U1029" s="52" t="s">
        <v>340</v>
      </c>
      <c r="V1029" s="29"/>
    </row>
    <row r="1030" spans="1:22" x14ac:dyDescent="0.3">
      <c r="A1030" s="50">
        <v>45373</v>
      </c>
      <c r="B1030" s="32" t="s">
        <v>6060</v>
      </c>
      <c r="C1030" s="43" t="s">
        <v>5812</v>
      </c>
      <c r="D1030" s="43" t="s">
        <v>6061</v>
      </c>
      <c r="E1030" s="51" t="s">
        <v>6062</v>
      </c>
      <c r="F1030" s="109" t="s">
        <v>6063</v>
      </c>
      <c r="G1030" s="52">
        <v>8</v>
      </c>
      <c r="H1030" s="52">
        <v>8</v>
      </c>
      <c r="I1030" s="52" t="s">
        <v>605</v>
      </c>
      <c r="J1030" s="75" t="s">
        <v>539</v>
      </c>
      <c r="K1030" s="52" t="s">
        <v>199</v>
      </c>
      <c r="L1030" s="23">
        <f t="shared" si="36"/>
        <v>2669.6428571428569</v>
      </c>
      <c r="M1030" s="23">
        <f t="shared" si="37"/>
        <v>320.35714285714283</v>
      </c>
      <c r="N1030" s="67">
        <v>2990</v>
      </c>
      <c r="O1030" s="110" t="s">
        <v>6064</v>
      </c>
      <c r="P1030" s="52"/>
      <c r="Q1030" s="52"/>
      <c r="R1030" s="52"/>
      <c r="S1030" s="52"/>
      <c r="T1030" s="52" t="s">
        <v>62</v>
      </c>
      <c r="U1030" s="52" t="s">
        <v>225</v>
      </c>
      <c r="V1030" s="29"/>
    </row>
    <row r="1031" spans="1:22" x14ac:dyDescent="0.3">
      <c r="A1031" s="50">
        <v>45373</v>
      </c>
      <c r="B1031" s="32" t="s">
        <v>6065</v>
      </c>
      <c r="C1031" s="43" t="s">
        <v>6066</v>
      </c>
      <c r="D1031" s="43" t="s">
        <v>6067</v>
      </c>
      <c r="E1031" s="51" t="s">
        <v>6068</v>
      </c>
      <c r="F1031" s="109" t="s">
        <v>6069</v>
      </c>
      <c r="G1031" s="52">
        <v>5</v>
      </c>
      <c r="H1031" s="52">
        <v>4</v>
      </c>
      <c r="I1031" s="121" t="s">
        <v>605</v>
      </c>
      <c r="J1031" s="75" t="s">
        <v>539</v>
      </c>
      <c r="K1031" s="52" t="s">
        <v>2488</v>
      </c>
      <c r="L1031" s="23">
        <f t="shared" si="36"/>
        <v>892.85714285714278</v>
      </c>
      <c r="M1031" s="23">
        <f t="shared" si="37"/>
        <v>107.14285714285712</v>
      </c>
      <c r="N1031" s="67">
        <v>1000</v>
      </c>
      <c r="O1031" s="110" t="s">
        <v>6070</v>
      </c>
      <c r="P1031" s="52"/>
      <c r="Q1031" s="52"/>
      <c r="R1031" s="52"/>
      <c r="S1031" s="52"/>
      <c r="T1031" s="52" t="s">
        <v>2832</v>
      </c>
      <c r="U1031" s="52" t="s">
        <v>340</v>
      </c>
      <c r="V1031" s="29"/>
    </row>
    <row r="1032" spans="1:22" x14ac:dyDescent="0.3">
      <c r="A1032" s="50">
        <v>45373</v>
      </c>
      <c r="B1032" s="32" t="s">
        <v>6071</v>
      </c>
      <c r="C1032" s="43" t="s">
        <v>6072</v>
      </c>
      <c r="D1032" s="43" t="s">
        <v>6073</v>
      </c>
      <c r="E1032" s="51" t="s">
        <v>6074</v>
      </c>
      <c r="F1032" s="109" t="s">
        <v>6075</v>
      </c>
      <c r="G1032" s="52">
        <v>5</v>
      </c>
      <c r="H1032" s="52">
        <v>3</v>
      </c>
      <c r="I1032" s="52" t="s">
        <v>605</v>
      </c>
      <c r="J1032" s="75" t="s">
        <v>539</v>
      </c>
      <c r="K1032" s="52" t="s">
        <v>200</v>
      </c>
      <c r="L1032" s="23">
        <f t="shared" si="36"/>
        <v>89.285714285714278</v>
      </c>
      <c r="M1032" s="23">
        <f t="shared" si="37"/>
        <v>10.714285714285714</v>
      </c>
      <c r="N1032" s="67">
        <v>100</v>
      </c>
      <c r="O1032" s="110" t="s">
        <v>6076</v>
      </c>
      <c r="P1032" s="52"/>
      <c r="Q1032" s="52"/>
      <c r="R1032" s="52"/>
      <c r="S1032" s="52"/>
      <c r="T1032" s="52" t="s">
        <v>6059</v>
      </c>
      <c r="U1032" s="52" t="s">
        <v>225</v>
      </c>
      <c r="V1032" s="29"/>
    </row>
    <row r="1033" spans="1:22" x14ac:dyDescent="0.3">
      <c r="A1033" s="50">
        <v>45373</v>
      </c>
      <c r="B1033" s="32" t="s">
        <v>6077</v>
      </c>
      <c r="C1033" s="43" t="s">
        <v>5751</v>
      </c>
      <c r="D1033" s="43" t="s">
        <v>6078</v>
      </c>
      <c r="E1033" s="51" t="s">
        <v>6079</v>
      </c>
      <c r="F1033" s="109" t="s">
        <v>6080</v>
      </c>
      <c r="G1033" s="52">
        <v>4</v>
      </c>
      <c r="H1033" s="52">
        <v>3</v>
      </c>
      <c r="I1033" s="121" t="s">
        <v>605</v>
      </c>
      <c r="J1033" s="75" t="s">
        <v>539</v>
      </c>
      <c r="K1033" s="52"/>
      <c r="L1033" s="23">
        <f t="shared" si="36"/>
        <v>0</v>
      </c>
      <c r="M1033" s="23">
        <f t="shared" si="37"/>
        <v>0</v>
      </c>
      <c r="N1033" s="67"/>
      <c r="O1033" s="110" t="s">
        <v>6081</v>
      </c>
      <c r="P1033" s="52"/>
      <c r="Q1033" s="52"/>
      <c r="R1033" s="52"/>
      <c r="S1033" s="52"/>
      <c r="T1033" s="52" t="s">
        <v>5743</v>
      </c>
      <c r="U1033" s="52" t="s">
        <v>2022</v>
      </c>
      <c r="V1033" s="29"/>
    </row>
    <row r="1034" spans="1:22" x14ac:dyDescent="0.3">
      <c r="A1034" s="50">
        <v>45373</v>
      </c>
      <c r="B1034" s="32" t="s">
        <v>6082</v>
      </c>
      <c r="C1034" s="43" t="s">
        <v>6083</v>
      </c>
      <c r="D1034" s="43" t="s">
        <v>6084</v>
      </c>
      <c r="E1034" s="51" t="s">
        <v>6085</v>
      </c>
      <c r="F1034" s="109" t="s">
        <v>6086</v>
      </c>
      <c r="G1034" s="52">
        <v>8</v>
      </c>
      <c r="H1034" s="52">
        <v>4</v>
      </c>
      <c r="I1034" s="52" t="s">
        <v>605</v>
      </c>
      <c r="J1034" s="75" t="s">
        <v>539</v>
      </c>
      <c r="K1034" s="52" t="s">
        <v>1586</v>
      </c>
      <c r="L1034" s="23">
        <f t="shared" si="36"/>
        <v>892.85714285714278</v>
      </c>
      <c r="M1034" s="23">
        <f t="shared" si="37"/>
        <v>107.14285714285712</v>
      </c>
      <c r="N1034" s="67">
        <v>1000</v>
      </c>
      <c r="O1034" s="110" t="s">
        <v>6087</v>
      </c>
      <c r="P1034" s="52"/>
      <c r="Q1034" s="52"/>
      <c r="R1034" s="52"/>
      <c r="S1034" s="52"/>
      <c r="T1034" s="52" t="s">
        <v>1482</v>
      </c>
      <c r="U1034" s="52" t="s">
        <v>340</v>
      </c>
      <c r="V1034" s="29"/>
    </row>
    <row r="1035" spans="1:22" x14ac:dyDescent="0.3">
      <c r="A1035" s="50">
        <v>45374</v>
      </c>
      <c r="B1035" s="32" t="s">
        <v>6088</v>
      </c>
      <c r="C1035" s="43" t="s">
        <v>1595</v>
      </c>
      <c r="D1035" s="43" t="s">
        <v>6089</v>
      </c>
      <c r="E1035" s="51" t="s">
        <v>6090</v>
      </c>
      <c r="F1035" s="109" t="s">
        <v>6091</v>
      </c>
      <c r="G1035" s="52">
        <v>5</v>
      </c>
      <c r="H1035" s="52">
        <v>3</v>
      </c>
      <c r="I1035" s="52" t="s">
        <v>605</v>
      </c>
      <c r="J1035" s="75" t="s">
        <v>539</v>
      </c>
      <c r="K1035" s="52" t="s">
        <v>1518</v>
      </c>
      <c r="L1035" s="23">
        <f t="shared" si="36"/>
        <v>624.99999999999989</v>
      </c>
      <c r="M1035" s="23">
        <f t="shared" si="37"/>
        <v>74.999999999999986</v>
      </c>
      <c r="N1035" s="67">
        <v>700</v>
      </c>
      <c r="O1035" s="110" t="s">
        <v>6092</v>
      </c>
      <c r="P1035" s="52"/>
      <c r="Q1035" s="52"/>
      <c r="R1035" s="52"/>
      <c r="S1035" s="52"/>
      <c r="T1035" s="52" t="s">
        <v>2832</v>
      </c>
      <c r="U1035" s="52" t="s">
        <v>58</v>
      </c>
      <c r="V1035" s="29"/>
    </row>
    <row r="1036" spans="1:22" x14ac:dyDescent="0.3">
      <c r="A1036" s="50">
        <v>45378</v>
      </c>
      <c r="B1036" s="32" t="s">
        <v>6093</v>
      </c>
      <c r="C1036" s="43" t="s">
        <v>6094</v>
      </c>
      <c r="D1036" s="43" t="s">
        <v>6095</v>
      </c>
      <c r="E1036" s="51" t="s">
        <v>6096</v>
      </c>
      <c r="F1036" s="109" t="s">
        <v>6097</v>
      </c>
      <c r="G1036" s="52">
        <v>6</v>
      </c>
      <c r="H1036" s="52">
        <v>3</v>
      </c>
      <c r="I1036" s="52" t="s">
        <v>605</v>
      </c>
      <c r="J1036" s="75" t="s">
        <v>539</v>
      </c>
      <c r="K1036" s="52" t="s">
        <v>2488</v>
      </c>
      <c r="L1036" s="23">
        <f t="shared" si="36"/>
        <v>624.99999999999989</v>
      </c>
      <c r="M1036" s="23">
        <f t="shared" si="37"/>
        <v>74.999999999999986</v>
      </c>
      <c r="N1036" s="67">
        <v>700</v>
      </c>
      <c r="O1036" s="110" t="s">
        <v>6098</v>
      </c>
      <c r="P1036" s="52"/>
      <c r="Q1036" s="52"/>
      <c r="R1036" s="52"/>
      <c r="S1036" s="52"/>
      <c r="T1036" s="52" t="s">
        <v>6059</v>
      </c>
      <c r="U1036" s="52" t="s">
        <v>782</v>
      </c>
      <c r="V1036" s="29"/>
    </row>
    <row r="1037" spans="1:22" x14ac:dyDescent="0.3">
      <c r="A1037" s="50">
        <v>45378</v>
      </c>
      <c r="B1037" s="32" t="s">
        <v>6099</v>
      </c>
      <c r="C1037" s="43" t="s">
        <v>6100</v>
      </c>
      <c r="D1037" s="43" t="s">
        <v>6101</v>
      </c>
      <c r="E1037" s="51" t="s">
        <v>6102</v>
      </c>
      <c r="F1037" s="109" t="s">
        <v>6103</v>
      </c>
      <c r="G1037" s="52">
        <v>5</v>
      </c>
      <c r="H1037" s="52">
        <v>3</v>
      </c>
      <c r="I1037" s="52" t="s">
        <v>605</v>
      </c>
      <c r="J1037" s="75" t="s">
        <v>539</v>
      </c>
      <c r="K1037" s="52" t="s">
        <v>200</v>
      </c>
      <c r="L1037" s="23">
        <f t="shared" si="36"/>
        <v>892.85714285714278</v>
      </c>
      <c r="M1037" s="23">
        <f t="shared" si="37"/>
        <v>107.14285714285712</v>
      </c>
      <c r="N1037" s="67">
        <v>1000</v>
      </c>
      <c r="O1037" s="110" t="s">
        <v>6104</v>
      </c>
      <c r="P1037" s="52"/>
      <c r="Q1037" s="52"/>
      <c r="R1037" s="52"/>
      <c r="S1037" s="52"/>
      <c r="T1037" s="52" t="s">
        <v>339</v>
      </c>
      <c r="U1037" s="52" t="s">
        <v>225</v>
      </c>
      <c r="V1037" s="29"/>
    </row>
    <row r="1038" spans="1:22" x14ac:dyDescent="0.3">
      <c r="A1038" s="50">
        <v>45378</v>
      </c>
      <c r="B1038" s="32" t="s">
        <v>6105</v>
      </c>
      <c r="C1038" s="43" t="s">
        <v>6106</v>
      </c>
      <c r="D1038" s="43" t="s">
        <v>6107</v>
      </c>
      <c r="E1038" s="51" t="s">
        <v>6108</v>
      </c>
      <c r="F1038" s="109" t="s">
        <v>6109</v>
      </c>
      <c r="G1038" s="52">
        <v>5</v>
      </c>
      <c r="H1038" s="52">
        <v>3</v>
      </c>
      <c r="I1038" s="280" t="s">
        <v>605</v>
      </c>
      <c r="J1038" s="281" t="s">
        <v>1173</v>
      </c>
      <c r="K1038" s="282"/>
      <c r="L1038" s="23">
        <f t="shared" ref="L1038:L1101" si="38">+N1038/1.12</f>
        <v>0</v>
      </c>
      <c r="M1038" s="23">
        <f t="shared" ref="M1038:M1101" si="39">+L1038*12%</f>
        <v>0</v>
      </c>
      <c r="N1038" s="67"/>
      <c r="O1038" s="110" t="s">
        <v>6110</v>
      </c>
      <c r="P1038" s="52"/>
      <c r="Q1038" s="52"/>
      <c r="R1038" s="52"/>
      <c r="S1038" s="52"/>
      <c r="T1038" s="52" t="s">
        <v>691</v>
      </c>
      <c r="U1038" s="52" t="s">
        <v>65</v>
      </c>
      <c r="V1038" s="29"/>
    </row>
    <row r="1039" spans="1:22" x14ac:dyDescent="0.3">
      <c r="A1039" s="50">
        <v>45378</v>
      </c>
      <c r="B1039" s="32" t="s">
        <v>6111</v>
      </c>
      <c r="C1039" s="43" t="s">
        <v>6112</v>
      </c>
      <c r="D1039" s="43" t="s">
        <v>6113</v>
      </c>
      <c r="E1039" s="51" t="s">
        <v>6114</v>
      </c>
      <c r="F1039" s="109" t="s">
        <v>6115</v>
      </c>
      <c r="G1039" s="52">
        <v>5</v>
      </c>
      <c r="H1039" s="52">
        <v>5</v>
      </c>
      <c r="I1039" s="52" t="s">
        <v>605</v>
      </c>
      <c r="J1039" s="75" t="s">
        <v>539</v>
      </c>
      <c r="K1039" s="52" t="s">
        <v>200</v>
      </c>
      <c r="L1039" s="23">
        <f t="shared" si="38"/>
        <v>892.85714285714278</v>
      </c>
      <c r="M1039" s="23">
        <f t="shared" si="39"/>
        <v>107.14285714285712</v>
      </c>
      <c r="N1039" s="67">
        <v>1000</v>
      </c>
      <c r="O1039" s="110" t="s">
        <v>6116</v>
      </c>
      <c r="P1039" s="52"/>
      <c r="Q1039" s="52"/>
      <c r="R1039" s="52"/>
      <c r="S1039" s="52"/>
      <c r="T1039" s="52" t="s">
        <v>5743</v>
      </c>
      <c r="U1039" s="52" t="s">
        <v>65</v>
      </c>
      <c r="V1039" s="29"/>
    </row>
    <row r="1040" spans="1:22" x14ac:dyDescent="0.3">
      <c r="A1040" s="50">
        <v>45378</v>
      </c>
      <c r="B1040" s="32" t="s">
        <v>6117</v>
      </c>
      <c r="C1040" s="43" t="s">
        <v>3216</v>
      </c>
      <c r="D1040" s="43" t="s">
        <v>6118</v>
      </c>
      <c r="E1040" s="51" t="s">
        <v>6119</v>
      </c>
      <c r="F1040" s="109" t="s">
        <v>6120</v>
      </c>
      <c r="G1040" s="52">
        <v>5</v>
      </c>
      <c r="H1040" s="52">
        <v>4</v>
      </c>
      <c r="I1040" s="52" t="s">
        <v>605</v>
      </c>
      <c r="J1040" s="75" t="s">
        <v>539</v>
      </c>
      <c r="K1040" s="52" t="s">
        <v>1518</v>
      </c>
      <c r="L1040" s="23">
        <f t="shared" si="38"/>
        <v>1071.4285714285713</v>
      </c>
      <c r="M1040" s="23">
        <f t="shared" si="39"/>
        <v>128.57142857142856</v>
      </c>
      <c r="N1040" s="67">
        <v>1200</v>
      </c>
      <c r="O1040" s="110" t="s">
        <v>6121</v>
      </c>
      <c r="P1040" s="52"/>
      <c r="Q1040" s="52"/>
      <c r="R1040" s="52"/>
      <c r="S1040" s="52"/>
      <c r="T1040" s="52" t="s">
        <v>339</v>
      </c>
      <c r="U1040" s="52" t="s">
        <v>225</v>
      </c>
      <c r="V1040" s="29"/>
    </row>
    <row r="1041" spans="1:22" x14ac:dyDescent="0.3">
      <c r="A1041" s="50">
        <v>45379</v>
      </c>
      <c r="B1041" s="32" t="s">
        <v>6122</v>
      </c>
      <c r="C1041" s="43" t="s">
        <v>6123</v>
      </c>
      <c r="D1041" s="43" t="s">
        <v>6124</v>
      </c>
      <c r="E1041" s="51" t="s">
        <v>6125</v>
      </c>
      <c r="F1041" s="109" t="s">
        <v>6126</v>
      </c>
      <c r="G1041" s="52">
        <v>10</v>
      </c>
      <c r="H1041" s="52">
        <v>10</v>
      </c>
      <c r="I1041" s="52" t="s">
        <v>605</v>
      </c>
      <c r="J1041" s="75" t="s">
        <v>539</v>
      </c>
      <c r="K1041" s="52" t="s">
        <v>199</v>
      </c>
      <c r="L1041" s="23">
        <f t="shared" si="38"/>
        <v>2669.6428571428569</v>
      </c>
      <c r="M1041" s="23">
        <f t="shared" si="39"/>
        <v>320.35714285714283</v>
      </c>
      <c r="N1041" s="67">
        <v>2990</v>
      </c>
      <c r="O1041" s="110" t="s">
        <v>6127</v>
      </c>
      <c r="P1041" s="52"/>
      <c r="Q1041" s="52"/>
      <c r="R1041" s="52"/>
      <c r="S1041" s="52"/>
      <c r="T1041" s="52" t="s">
        <v>6059</v>
      </c>
      <c r="U1041" s="52" t="s">
        <v>225</v>
      </c>
      <c r="V1041" s="29"/>
    </row>
    <row r="1042" spans="1:22" x14ac:dyDescent="0.3">
      <c r="A1042" s="50">
        <v>45379</v>
      </c>
      <c r="B1042" s="32" t="s">
        <v>6128</v>
      </c>
      <c r="C1042" s="43" t="s">
        <v>6129</v>
      </c>
      <c r="D1042" s="43" t="s">
        <v>6130</v>
      </c>
      <c r="E1042" s="51" t="s">
        <v>6131</v>
      </c>
      <c r="F1042" s="109" t="s">
        <v>6132</v>
      </c>
      <c r="G1042" s="52">
        <v>5</v>
      </c>
      <c r="H1042" s="52">
        <v>3</v>
      </c>
      <c r="I1042" s="52" t="s">
        <v>605</v>
      </c>
      <c r="J1042" s="75" t="s">
        <v>539</v>
      </c>
      <c r="K1042" s="52" t="s">
        <v>200</v>
      </c>
      <c r="L1042" s="23">
        <f t="shared" si="38"/>
        <v>624.99999999999989</v>
      </c>
      <c r="M1042" s="23">
        <f t="shared" si="39"/>
        <v>74.999999999999986</v>
      </c>
      <c r="N1042" s="67">
        <v>700</v>
      </c>
      <c r="O1042" s="110" t="s">
        <v>6133</v>
      </c>
      <c r="P1042" s="52"/>
      <c r="Q1042" s="52"/>
      <c r="R1042" s="52"/>
      <c r="S1042" s="52"/>
      <c r="T1042" s="52" t="s">
        <v>6134</v>
      </c>
      <c r="U1042" s="52" t="s">
        <v>58</v>
      </c>
      <c r="V1042" s="29"/>
    </row>
    <row r="1043" spans="1:22" x14ac:dyDescent="0.3">
      <c r="A1043" s="50">
        <v>45379</v>
      </c>
      <c r="B1043" s="32" t="s">
        <v>6135</v>
      </c>
      <c r="C1043" s="43" t="s">
        <v>6136</v>
      </c>
      <c r="D1043" s="43" t="s">
        <v>6137</v>
      </c>
      <c r="E1043" s="51" t="s">
        <v>6138</v>
      </c>
      <c r="F1043" s="109" t="s">
        <v>6139</v>
      </c>
      <c r="G1043" s="52">
        <v>6</v>
      </c>
      <c r="H1043" s="52">
        <v>7</v>
      </c>
      <c r="I1043" s="52" t="s">
        <v>605</v>
      </c>
      <c r="J1043" s="75" t="s">
        <v>539</v>
      </c>
      <c r="K1043" s="52" t="s">
        <v>199</v>
      </c>
      <c r="L1043" s="23">
        <f t="shared" si="38"/>
        <v>1776.7857142857142</v>
      </c>
      <c r="M1043" s="23">
        <f t="shared" si="39"/>
        <v>213.21428571428569</v>
      </c>
      <c r="N1043" s="67">
        <v>1990</v>
      </c>
      <c r="O1043" s="110" t="s">
        <v>6140</v>
      </c>
      <c r="P1043" s="52"/>
      <c r="Q1043" s="52"/>
      <c r="R1043" s="52"/>
      <c r="S1043" s="52"/>
      <c r="T1043" s="52" t="s">
        <v>731</v>
      </c>
      <c r="U1043" s="52" t="s">
        <v>782</v>
      </c>
      <c r="V1043" s="29"/>
    </row>
    <row r="1044" spans="1:22" x14ac:dyDescent="0.3">
      <c r="A1044" s="50">
        <v>45379</v>
      </c>
      <c r="B1044" s="32" t="s">
        <v>6141</v>
      </c>
      <c r="C1044" s="43" t="s">
        <v>1779</v>
      </c>
      <c r="D1044" s="43" t="s">
        <v>6142</v>
      </c>
      <c r="E1044" s="51" t="s">
        <v>6143</v>
      </c>
      <c r="F1044" s="109" t="s">
        <v>6144</v>
      </c>
      <c r="G1044" s="52">
        <v>8</v>
      </c>
      <c r="H1044" s="52">
        <v>5</v>
      </c>
      <c r="I1044" s="52" t="s">
        <v>617</v>
      </c>
      <c r="J1044" s="75" t="s">
        <v>539</v>
      </c>
      <c r="K1044" s="52" t="s">
        <v>200</v>
      </c>
      <c r="L1044" s="23">
        <f t="shared" si="38"/>
        <v>1776.7857142857142</v>
      </c>
      <c r="M1044" s="23">
        <f t="shared" si="39"/>
        <v>213.21428571428569</v>
      </c>
      <c r="N1044" s="67">
        <v>1990</v>
      </c>
      <c r="O1044" s="110" t="s">
        <v>6145</v>
      </c>
      <c r="P1044" s="52"/>
      <c r="Q1044" s="52"/>
      <c r="R1044" s="52"/>
      <c r="S1044" s="52"/>
      <c r="T1044" s="52" t="s">
        <v>62</v>
      </c>
      <c r="U1044" s="52" t="s">
        <v>340</v>
      </c>
      <c r="V1044" s="29"/>
    </row>
    <row r="1045" spans="1:22" x14ac:dyDescent="0.3">
      <c r="A1045" s="50">
        <v>45379</v>
      </c>
      <c r="B1045" s="32" t="s">
        <v>6146</v>
      </c>
      <c r="C1045" s="43" t="s">
        <v>6147</v>
      </c>
      <c r="D1045" s="43" t="s">
        <v>6148</v>
      </c>
      <c r="E1045" s="51" t="s">
        <v>6149</v>
      </c>
      <c r="F1045" s="109" t="s">
        <v>6150</v>
      </c>
      <c r="G1045" s="52">
        <v>7</v>
      </c>
      <c r="H1045" s="52">
        <v>5</v>
      </c>
      <c r="I1045" s="52" t="s">
        <v>605</v>
      </c>
      <c r="J1045" s="75" t="s">
        <v>539</v>
      </c>
      <c r="K1045" s="52" t="s">
        <v>2488</v>
      </c>
      <c r="L1045" s="23">
        <f t="shared" si="38"/>
        <v>1776.7857142857142</v>
      </c>
      <c r="M1045" s="23">
        <f t="shared" si="39"/>
        <v>213.21428571428569</v>
      </c>
      <c r="N1045" s="67">
        <v>1990</v>
      </c>
      <c r="O1045" s="110" t="s">
        <v>6151</v>
      </c>
      <c r="P1045" s="52"/>
      <c r="Q1045" s="52"/>
      <c r="R1045" s="52"/>
      <c r="S1045" s="52"/>
      <c r="T1045" s="52" t="s">
        <v>731</v>
      </c>
      <c r="U1045" s="52" t="s">
        <v>58</v>
      </c>
      <c r="V1045" s="29"/>
    </row>
    <row r="1046" spans="1:22" x14ac:dyDescent="0.3">
      <c r="A1046" s="50">
        <v>45378</v>
      </c>
      <c r="B1046" s="32" t="s">
        <v>6152</v>
      </c>
      <c r="C1046" s="43" t="s">
        <v>6153</v>
      </c>
      <c r="D1046" s="43" t="s">
        <v>6154</v>
      </c>
      <c r="E1046" s="51" t="s">
        <v>6155</v>
      </c>
      <c r="F1046" s="109" t="s">
        <v>6156</v>
      </c>
      <c r="G1046" s="52">
        <v>10</v>
      </c>
      <c r="H1046" s="52">
        <v>10</v>
      </c>
      <c r="I1046" s="52" t="s">
        <v>617</v>
      </c>
      <c r="J1046" s="75" t="s">
        <v>539</v>
      </c>
      <c r="K1046" s="52" t="s">
        <v>2488</v>
      </c>
      <c r="L1046" s="23">
        <f t="shared" si="38"/>
        <v>267.85714285714283</v>
      </c>
      <c r="M1046" s="23">
        <f t="shared" si="39"/>
        <v>32.142857142857139</v>
      </c>
      <c r="N1046" s="67">
        <v>300</v>
      </c>
      <c r="O1046" s="110" t="s">
        <v>6157</v>
      </c>
      <c r="P1046" s="52"/>
      <c r="Q1046" s="52"/>
      <c r="R1046" s="52"/>
      <c r="S1046" s="52"/>
      <c r="T1046" s="52" t="s">
        <v>339</v>
      </c>
      <c r="U1046" s="52" t="s">
        <v>340</v>
      </c>
      <c r="V1046" s="29"/>
    </row>
    <row r="1047" spans="1:22" x14ac:dyDescent="0.3">
      <c r="A1047" s="50">
        <v>45378</v>
      </c>
      <c r="B1047" s="32" t="s">
        <v>6158</v>
      </c>
      <c r="C1047" s="43" t="s">
        <v>6159</v>
      </c>
      <c r="D1047" s="43" t="s">
        <v>6160</v>
      </c>
      <c r="E1047" s="51" t="s">
        <v>6161</v>
      </c>
      <c r="F1047" s="109" t="s">
        <v>6162</v>
      </c>
      <c r="G1047" s="52">
        <v>7</v>
      </c>
      <c r="H1047" s="52">
        <v>3</v>
      </c>
      <c r="I1047" s="52" t="s">
        <v>605</v>
      </c>
      <c r="J1047" s="75" t="s">
        <v>539</v>
      </c>
      <c r="K1047" s="52" t="s">
        <v>1090</v>
      </c>
      <c r="L1047" s="23">
        <f t="shared" si="38"/>
        <v>1071.4285714285713</v>
      </c>
      <c r="M1047" s="23">
        <f t="shared" si="39"/>
        <v>128.57142857142856</v>
      </c>
      <c r="N1047" s="67">
        <v>1200</v>
      </c>
      <c r="O1047" s="110" t="s">
        <v>6163</v>
      </c>
      <c r="P1047" s="52"/>
      <c r="Q1047" s="52"/>
      <c r="R1047" s="52"/>
      <c r="S1047" s="52"/>
      <c r="T1047" s="52" t="s">
        <v>6164</v>
      </c>
      <c r="U1047" s="52" t="s">
        <v>58</v>
      </c>
      <c r="V1047" s="29"/>
    </row>
    <row r="1048" spans="1:22" x14ac:dyDescent="0.3">
      <c r="A1048" s="50">
        <v>45378</v>
      </c>
      <c r="B1048" s="32" t="s">
        <v>6165</v>
      </c>
      <c r="C1048" s="43" t="s">
        <v>6166</v>
      </c>
      <c r="D1048" s="43" t="s">
        <v>6167</v>
      </c>
      <c r="E1048" s="51" t="s">
        <v>6168</v>
      </c>
      <c r="F1048" s="109" t="s">
        <v>6169</v>
      </c>
      <c r="G1048" s="52">
        <v>5</v>
      </c>
      <c r="H1048" s="52">
        <v>3</v>
      </c>
      <c r="I1048" s="52" t="s">
        <v>605</v>
      </c>
      <c r="J1048" s="52" t="s">
        <v>539</v>
      </c>
      <c r="K1048" s="52" t="s">
        <v>1518</v>
      </c>
      <c r="L1048" s="23">
        <f t="shared" si="38"/>
        <v>892.85714285714278</v>
      </c>
      <c r="M1048" s="23">
        <f t="shared" si="39"/>
        <v>107.14285714285712</v>
      </c>
      <c r="N1048" s="283">
        <v>1000</v>
      </c>
      <c r="O1048" s="110" t="s">
        <v>6170</v>
      </c>
      <c r="P1048" s="52"/>
      <c r="Q1048" s="52"/>
      <c r="R1048" s="52"/>
      <c r="S1048" s="52"/>
      <c r="T1048" s="52" t="s">
        <v>6059</v>
      </c>
      <c r="U1048" s="52" t="s">
        <v>225</v>
      </c>
      <c r="V1048" s="29"/>
    </row>
    <row r="1049" spans="1:22" x14ac:dyDescent="0.3">
      <c r="A1049" s="50">
        <v>45378</v>
      </c>
      <c r="B1049" s="32" t="s">
        <v>6171</v>
      </c>
      <c r="C1049" s="25" t="s">
        <v>6172</v>
      </c>
      <c r="D1049" s="25" t="s">
        <v>6173</v>
      </c>
      <c r="E1049" s="44" t="s">
        <v>6174</v>
      </c>
      <c r="F1049" s="28" t="s">
        <v>6175</v>
      </c>
      <c r="G1049" s="29">
        <v>5</v>
      </c>
      <c r="H1049" s="29">
        <v>3</v>
      </c>
      <c r="I1049" s="29" t="s">
        <v>605</v>
      </c>
      <c r="J1049" s="29" t="s">
        <v>539</v>
      </c>
      <c r="K1049" s="29" t="s">
        <v>2488</v>
      </c>
      <c r="L1049" s="23">
        <f t="shared" si="38"/>
        <v>624.99999999999989</v>
      </c>
      <c r="M1049" s="23">
        <f t="shared" si="39"/>
        <v>74.999999999999986</v>
      </c>
      <c r="N1049" s="62">
        <v>700</v>
      </c>
      <c r="O1049" s="61" t="s">
        <v>6176</v>
      </c>
      <c r="P1049" s="29"/>
      <c r="Q1049" s="29"/>
      <c r="R1049" s="29"/>
      <c r="S1049" s="29"/>
      <c r="T1049" s="29" t="s">
        <v>2832</v>
      </c>
      <c r="U1049" s="29" t="s">
        <v>340</v>
      </c>
      <c r="V1049" s="29"/>
    </row>
    <row r="1050" spans="1:22" x14ac:dyDescent="0.3">
      <c r="A1050" s="50">
        <v>45380</v>
      </c>
      <c r="B1050" s="32" t="s">
        <v>6177</v>
      </c>
      <c r="C1050" s="25" t="s">
        <v>6178</v>
      </c>
      <c r="D1050" s="25" t="s">
        <v>6179</v>
      </c>
      <c r="E1050" s="44" t="s">
        <v>6180</v>
      </c>
      <c r="F1050" s="28" t="s">
        <v>6181</v>
      </c>
      <c r="G1050" s="29">
        <v>5</v>
      </c>
      <c r="H1050" s="29">
        <v>2</v>
      </c>
      <c r="I1050" s="29" t="s">
        <v>605</v>
      </c>
      <c r="J1050" s="29" t="s">
        <v>539</v>
      </c>
      <c r="K1050" s="29" t="s">
        <v>200</v>
      </c>
      <c r="L1050" s="23">
        <f t="shared" si="38"/>
        <v>892.85714285714278</v>
      </c>
      <c r="M1050" s="23">
        <f t="shared" si="39"/>
        <v>107.14285714285712</v>
      </c>
      <c r="N1050" s="62">
        <v>1000</v>
      </c>
      <c r="O1050" s="61" t="s">
        <v>6182</v>
      </c>
      <c r="P1050" s="29"/>
      <c r="Q1050" s="29"/>
      <c r="R1050" s="29"/>
      <c r="S1050" s="29"/>
      <c r="T1050" s="29" t="s">
        <v>62</v>
      </c>
      <c r="U1050" s="29" t="s">
        <v>2022</v>
      </c>
      <c r="V1050" s="29"/>
    </row>
    <row r="1051" spans="1:22" x14ac:dyDescent="0.3">
      <c r="A1051" s="50">
        <v>45380</v>
      </c>
      <c r="B1051" s="32" t="s">
        <v>6183</v>
      </c>
      <c r="C1051" s="25" t="s">
        <v>6184</v>
      </c>
      <c r="D1051" s="25" t="s">
        <v>6185</v>
      </c>
      <c r="E1051" s="44" t="s">
        <v>6186</v>
      </c>
      <c r="F1051" s="28" t="s">
        <v>6187</v>
      </c>
      <c r="G1051" s="29">
        <v>5</v>
      </c>
      <c r="H1051" s="29">
        <v>3</v>
      </c>
      <c r="I1051" s="29" t="s">
        <v>605</v>
      </c>
      <c r="J1051" s="29" t="s">
        <v>539</v>
      </c>
      <c r="K1051" s="29" t="s">
        <v>1162</v>
      </c>
      <c r="L1051" s="23">
        <f t="shared" si="38"/>
        <v>892.85714285714278</v>
      </c>
      <c r="M1051" s="23">
        <f t="shared" si="39"/>
        <v>107.14285714285712</v>
      </c>
      <c r="N1051" s="62">
        <v>1000</v>
      </c>
      <c r="O1051" s="61" t="s">
        <v>6188</v>
      </c>
      <c r="P1051" s="29"/>
      <c r="Q1051" s="29"/>
      <c r="R1051" s="29"/>
      <c r="S1051" s="29"/>
      <c r="T1051" s="29" t="s">
        <v>6164</v>
      </c>
      <c r="U1051" s="29" t="s">
        <v>340</v>
      </c>
      <c r="V1051" s="29"/>
    </row>
    <row r="1052" spans="1:22" x14ac:dyDescent="0.3">
      <c r="A1052" s="50">
        <v>45380</v>
      </c>
      <c r="B1052" s="32" t="s">
        <v>6189</v>
      </c>
      <c r="C1052" s="25" t="s">
        <v>6190</v>
      </c>
      <c r="D1052" s="25" t="s">
        <v>6191</v>
      </c>
      <c r="E1052" s="44" t="s">
        <v>6192</v>
      </c>
      <c r="F1052" s="28" t="s">
        <v>6193</v>
      </c>
      <c r="G1052" s="29">
        <v>7</v>
      </c>
      <c r="H1052" s="29">
        <v>3</v>
      </c>
      <c r="I1052" s="29" t="s">
        <v>605</v>
      </c>
      <c r="J1052" s="29" t="s">
        <v>539</v>
      </c>
      <c r="K1052" s="29" t="s">
        <v>1162</v>
      </c>
      <c r="L1052" s="23">
        <f t="shared" si="38"/>
        <v>892.85714285714278</v>
      </c>
      <c r="M1052" s="23">
        <f t="shared" si="39"/>
        <v>107.14285714285712</v>
      </c>
      <c r="N1052" s="62">
        <v>1000</v>
      </c>
      <c r="O1052" s="61" t="s">
        <v>6194</v>
      </c>
      <c r="P1052" s="29"/>
      <c r="Q1052" s="29"/>
      <c r="R1052" s="29"/>
      <c r="S1052" s="29"/>
      <c r="T1052" s="29" t="s">
        <v>62</v>
      </c>
      <c r="U1052" s="29" t="s">
        <v>358</v>
      </c>
      <c r="V1052" s="29"/>
    </row>
    <row r="1053" spans="1:22" x14ac:dyDescent="0.3">
      <c r="A1053" s="50">
        <v>45380</v>
      </c>
      <c r="B1053" s="32" t="s">
        <v>6195</v>
      </c>
      <c r="C1053" s="25" t="s">
        <v>6196</v>
      </c>
      <c r="D1053" s="25" t="s">
        <v>6197</v>
      </c>
      <c r="E1053" s="44" t="s">
        <v>6198</v>
      </c>
      <c r="F1053" s="28" t="s">
        <v>6199</v>
      </c>
      <c r="G1053" s="29">
        <v>7</v>
      </c>
      <c r="H1053" s="29">
        <v>5</v>
      </c>
      <c r="I1053" s="29" t="s">
        <v>605</v>
      </c>
      <c r="J1053" s="29" t="s">
        <v>539</v>
      </c>
      <c r="K1053" s="29" t="s">
        <v>199</v>
      </c>
      <c r="L1053" s="23">
        <f t="shared" si="38"/>
        <v>714.28571428571422</v>
      </c>
      <c r="M1053" s="23">
        <f t="shared" si="39"/>
        <v>85.714285714285708</v>
      </c>
      <c r="N1053" s="62">
        <v>800</v>
      </c>
      <c r="O1053" s="61" t="s">
        <v>6200</v>
      </c>
      <c r="P1053" s="29"/>
      <c r="Q1053" s="29"/>
      <c r="R1053" s="29"/>
      <c r="S1053" s="29"/>
      <c r="T1053" s="29" t="s">
        <v>731</v>
      </c>
      <c r="U1053" s="29" t="s">
        <v>65</v>
      </c>
      <c r="V1053" s="29"/>
    </row>
    <row r="1054" spans="1:22" x14ac:dyDescent="0.3">
      <c r="A1054" s="20">
        <v>45384</v>
      </c>
      <c r="B1054" s="32" t="s">
        <v>6201</v>
      </c>
      <c r="C1054" s="25" t="s">
        <v>6202</v>
      </c>
      <c r="D1054" s="25" t="s">
        <v>6203</v>
      </c>
      <c r="E1054" s="135" t="s">
        <v>6204</v>
      </c>
      <c r="F1054" s="135" t="s">
        <v>6205</v>
      </c>
      <c r="G1054" s="26">
        <v>4</v>
      </c>
      <c r="H1054" s="26">
        <v>2</v>
      </c>
      <c r="I1054" s="26" t="s">
        <v>605</v>
      </c>
      <c r="J1054" s="26" t="s">
        <v>539</v>
      </c>
      <c r="K1054" s="26" t="s">
        <v>2488</v>
      </c>
      <c r="L1054" s="23">
        <f t="shared" si="38"/>
        <v>267.85714285714283</v>
      </c>
      <c r="M1054" s="23">
        <f t="shared" si="39"/>
        <v>32.142857142857139</v>
      </c>
      <c r="N1054" s="23">
        <v>300</v>
      </c>
      <c r="O1054" s="27" t="s">
        <v>6206</v>
      </c>
      <c r="P1054" s="25" t="s">
        <v>5743</v>
      </c>
      <c r="Q1054" s="25" t="s">
        <v>782</v>
      </c>
      <c r="R1054" s="26"/>
    </row>
    <row r="1055" spans="1:22" x14ac:dyDescent="0.3">
      <c r="A1055" s="20">
        <v>45384</v>
      </c>
      <c r="B1055" s="32" t="s">
        <v>6207</v>
      </c>
      <c r="C1055" s="25" t="s">
        <v>6208</v>
      </c>
      <c r="D1055" s="25" t="s">
        <v>6209</v>
      </c>
      <c r="E1055" s="135" t="s">
        <v>6210</v>
      </c>
      <c r="F1055" s="135" t="s">
        <v>6211</v>
      </c>
      <c r="G1055" s="26">
        <v>5</v>
      </c>
      <c r="H1055" s="26">
        <v>2</v>
      </c>
      <c r="I1055" s="26" t="s">
        <v>605</v>
      </c>
      <c r="J1055" s="26" t="s">
        <v>539</v>
      </c>
      <c r="K1055" s="26" t="s">
        <v>199</v>
      </c>
      <c r="L1055" s="23">
        <f t="shared" si="38"/>
        <v>624.99999999999989</v>
      </c>
      <c r="M1055" s="23">
        <f t="shared" si="39"/>
        <v>74.999999999999986</v>
      </c>
      <c r="N1055" s="23">
        <v>700</v>
      </c>
      <c r="O1055" s="27" t="s">
        <v>6212</v>
      </c>
      <c r="P1055" s="25" t="s">
        <v>339</v>
      </c>
      <c r="Q1055" s="25" t="s">
        <v>225</v>
      </c>
      <c r="R1055" s="26"/>
    </row>
    <row r="1056" spans="1:22" x14ac:dyDescent="0.3">
      <c r="A1056" s="20">
        <v>45384</v>
      </c>
      <c r="B1056" s="32" t="s">
        <v>6213</v>
      </c>
      <c r="C1056" s="25" t="s">
        <v>6214</v>
      </c>
      <c r="D1056" s="25" t="s">
        <v>6215</v>
      </c>
      <c r="E1056" s="135" t="s">
        <v>6216</v>
      </c>
      <c r="F1056" s="135" t="s">
        <v>6217</v>
      </c>
      <c r="G1056" s="26">
        <v>4</v>
      </c>
      <c r="H1056" s="26">
        <v>3</v>
      </c>
      <c r="I1056" s="26" t="s">
        <v>605</v>
      </c>
      <c r="J1056" s="26" t="s">
        <v>539</v>
      </c>
      <c r="K1056" s="26" t="s">
        <v>2488</v>
      </c>
      <c r="L1056" s="23">
        <f t="shared" si="38"/>
        <v>624.99999999999989</v>
      </c>
      <c r="M1056" s="23">
        <f t="shared" si="39"/>
        <v>74.999999999999986</v>
      </c>
      <c r="N1056" s="23">
        <v>700</v>
      </c>
      <c r="O1056" s="27" t="s">
        <v>6218</v>
      </c>
      <c r="P1056" s="25" t="s">
        <v>2832</v>
      </c>
      <c r="Q1056" s="25" t="s">
        <v>2022</v>
      </c>
      <c r="R1056" s="26"/>
    </row>
    <row r="1057" spans="1:18" x14ac:dyDescent="0.3">
      <c r="A1057" s="20">
        <v>45385</v>
      </c>
      <c r="B1057" s="32" t="s">
        <v>6219</v>
      </c>
      <c r="C1057" s="25" t="s">
        <v>6220</v>
      </c>
      <c r="D1057" s="25" t="s">
        <v>6221</v>
      </c>
      <c r="E1057" s="135" t="s">
        <v>6222</v>
      </c>
      <c r="F1057" s="135" t="s">
        <v>6223</v>
      </c>
      <c r="G1057" s="26">
        <v>4</v>
      </c>
      <c r="H1057" s="26">
        <v>3</v>
      </c>
      <c r="I1057" s="26" t="s">
        <v>605</v>
      </c>
      <c r="J1057" s="26" t="s">
        <v>539</v>
      </c>
      <c r="K1057" s="26" t="s">
        <v>211</v>
      </c>
      <c r="L1057" s="23">
        <f t="shared" si="38"/>
        <v>624.99999999999989</v>
      </c>
      <c r="M1057" s="23">
        <f t="shared" si="39"/>
        <v>74.999999999999986</v>
      </c>
      <c r="N1057" s="23">
        <v>700</v>
      </c>
      <c r="O1057" s="27" t="s">
        <v>6224</v>
      </c>
      <c r="P1057" s="25" t="s">
        <v>62</v>
      </c>
      <c r="Q1057" s="25" t="s">
        <v>2022</v>
      </c>
      <c r="R1057" s="26"/>
    </row>
    <row r="1058" spans="1:18" x14ac:dyDescent="0.3">
      <c r="A1058" s="20">
        <v>45385</v>
      </c>
      <c r="B1058" s="32" t="s">
        <v>6225</v>
      </c>
      <c r="C1058" s="25" t="s">
        <v>6226</v>
      </c>
      <c r="D1058" s="25" t="s">
        <v>6227</v>
      </c>
      <c r="E1058" s="135" t="s">
        <v>6228</v>
      </c>
      <c r="F1058" s="135" t="s">
        <v>6229</v>
      </c>
      <c r="G1058" s="26">
        <v>5</v>
      </c>
      <c r="H1058" s="26">
        <v>5</v>
      </c>
      <c r="I1058" s="26" t="s">
        <v>605</v>
      </c>
      <c r="J1058" s="26" t="s">
        <v>539</v>
      </c>
      <c r="K1058" s="26" t="s">
        <v>6230</v>
      </c>
      <c r="L1058" s="23">
        <f t="shared" si="38"/>
        <v>1776.7857142857142</v>
      </c>
      <c r="M1058" s="23">
        <f t="shared" si="39"/>
        <v>213.21428571428569</v>
      </c>
      <c r="N1058" s="23">
        <v>1990</v>
      </c>
      <c r="O1058" s="27" t="s">
        <v>6231</v>
      </c>
      <c r="P1058" s="25" t="s">
        <v>2832</v>
      </c>
      <c r="Q1058" s="25" t="s">
        <v>225</v>
      </c>
      <c r="R1058" s="26"/>
    </row>
    <row r="1059" spans="1:18" x14ac:dyDescent="0.3">
      <c r="A1059" s="20">
        <v>45386</v>
      </c>
      <c r="B1059" s="32" t="s">
        <v>6232</v>
      </c>
      <c r="C1059" s="25" t="s">
        <v>6233</v>
      </c>
      <c r="D1059" s="25" t="s">
        <v>6234</v>
      </c>
      <c r="E1059" s="135" t="s">
        <v>6235</v>
      </c>
      <c r="F1059" s="135" t="s">
        <v>6236</v>
      </c>
      <c r="G1059" s="26">
        <v>10</v>
      </c>
      <c r="H1059" s="26">
        <v>10</v>
      </c>
      <c r="I1059" s="26" t="s">
        <v>617</v>
      </c>
      <c r="J1059" s="26" t="s">
        <v>539</v>
      </c>
      <c r="K1059" s="26" t="s">
        <v>2488</v>
      </c>
      <c r="L1059" s="23">
        <f t="shared" si="38"/>
        <v>3562.4999999999995</v>
      </c>
      <c r="M1059" s="23">
        <f t="shared" si="39"/>
        <v>427.49999999999994</v>
      </c>
      <c r="N1059" s="23">
        <f>700+3290</f>
        <v>3990</v>
      </c>
      <c r="O1059" s="27" t="s">
        <v>6237</v>
      </c>
      <c r="P1059" s="25" t="s">
        <v>65</v>
      </c>
      <c r="Q1059" s="25" t="s">
        <v>65</v>
      </c>
      <c r="R1059" s="26"/>
    </row>
    <row r="1060" spans="1:18" x14ac:dyDescent="0.3">
      <c r="A1060" s="20">
        <v>45386</v>
      </c>
      <c r="B1060" s="32" t="s">
        <v>6238</v>
      </c>
      <c r="C1060" s="25" t="s">
        <v>2092</v>
      </c>
      <c r="D1060" s="25" t="s">
        <v>6239</v>
      </c>
      <c r="E1060" s="135" t="s">
        <v>6240</v>
      </c>
      <c r="F1060" s="135" t="s">
        <v>6241</v>
      </c>
      <c r="G1060" s="26">
        <v>4</v>
      </c>
      <c r="H1060" s="26">
        <v>3</v>
      </c>
      <c r="I1060" s="26" t="s">
        <v>617</v>
      </c>
      <c r="J1060" s="26" t="s">
        <v>539</v>
      </c>
      <c r="K1060" s="26" t="s">
        <v>6242</v>
      </c>
      <c r="L1060" s="23">
        <f t="shared" si="38"/>
        <v>937.49999999999989</v>
      </c>
      <c r="M1060" s="23">
        <f t="shared" si="39"/>
        <v>112.49999999999999</v>
      </c>
      <c r="N1060" s="23">
        <v>1050</v>
      </c>
      <c r="O1060" s="27" t="s">
        <v>6243</v>
      </c>
      <c r="P1060" s="25" t="s">
        <v>339</v>
      </c>
      <c r="Q1060" s="25" t="s">
        <v>2022</v>
      </c>
      <c r="R1060" s="26"/>
    </row>
    <row r="1061" spans="1:18" x14ac:dyDescent="0.3">
      <c r="A1061" s="20">
        <v>45386</v>
      </c>
      <c r="B1061" s="32" t="s">
        <v>6244</v>
      </c>
      <c r="C1061" s="25" t="s">
        <v>6245</v>
      </c>
      <c r="D1061" s="25" t="s">
        <v>6246</v>
      </c>
      <c r="E1061" s="135" t="s">
        <v>6247</v>
      </c>
      <c r="F1061" s="137" t="s">
        <v>6248</v>
      </c>
      <c r="G1061" s="26">
        <v>3</v>
      </c>
      <c r="H1061" s="26">
        <v>3</v>
      </c>
      <c r="I1061" s="26" t="s">
        <v>605</v>
      </c>
      <c r="J1061" s="26" t="s">
        <v>539</v>
      </c>
      <c r="K1061" s="26" t="s">
        <v>1975</v>
      </c>
      <c r="L1061" s="23">
        <f t="shared" si="38"/>
        <v>624.99999999999989</v>
      </c>
      <c r="M1061" s="23">
        <f t="shared" si="39"/>
        <v>74.999999999999986</v>
      </c>
      <c r="N1061" s="23">
        <v>700</v>
      </c>
      <c r="O1061" s="27" t="s">
        <v>6249</v>
      </c>
      <c r="P1061" s="25" t="s">
        <v>2832</v>
      </c>
      <c r="Q1061" s="25" t="s">
        <v>782</v>
      </c>
      <c r="R1061" s="26"/>
    </row>
    <row r="1062" spans="1:18" x14ac:dyDescent="0.3">
      <c r="A1062" s="20">
        <v>45386</v>
      </c>
      <c r="B1062" s="32" t="s">
        <v>6250</v>
      </c>
      <c r="C1062" s="25" t="s">
        <v>6251</v>
      </c>
      <c r="D1062" s="25" t="s">
        <v>6252</v>
      </c>
      <c r="E1062" s="135" t="s">
        <v>6253</v>
      </c>
      <c r="F1062" s="137" t="s">
        <v>6254</v>
      </c>
      <c r="G1062" s="26">
        <v>5</v>
      </c>
      <c r="H1062" s="26">
        <v>2</v>
      </c>
      <c r="I1062" s="26" t="s">
        <v>605</v>
      </c>
      <c r="J1062" s="26" t="s">
        <v>539</v>
      </c>
      <c r="K1062" s="26" t="s">
        <v>200</v>
      </c>
      <c r="L1062" s="23">
        <f t="shared" si="38"/>
        <v>446.42857142857139</v>
      </c>
      <c r="M1062" s="23">
        <f t="shared" si="39"/>
        <v>53.571428571428562</v>
      </c>
      <c r="N1062" s="23">
        <v>500</v>
      </c>
      <c r="O1062" s="27" t="s">
        <v>6255</v>
      </c>
      <c r="P1062" s="25" t="s">
        <v>5743</v>
      </c>
      <c r="Q1062" s="25" t="s">
        <v>65</v>
      </c>
      <c r="R1062" s="26"/>
    </row>
    <row r="1063" spans="1:18" x14ac:dyDescent="0.3">
      <c r="A1063" s="20">
        <v>45388</v>
      </c>
      <c r="B1063" s="32" t="s">
        <v>6256</v>
      </c>
      <c r="C1063" s="25"/>
      <c r="D1063" s="25"/>
      <c r="E1063" s="135"/>
      <c r="F1063" s="137"/>
      <c r="G1063" s="26"/>
      <c r="H1063" s="26"/>
      <c r="I1063" s="26"/>
      <c r="J1063" s="26" t="s">
        <v>539</v>
      </c>
      <c r="K1063" s="26"/>
      <c r="L1063" s="23"/>
      <c r="M1063" s="23"/>
      <c r="N1063" s="23"/>
      <c r="O1063" s="27"/>
      <c r="P1063" s="25"/>
      <c r="Q1063" s="25"/>
      <c r="R1063" s="26"/>
    </row>
    <row r="1064" spans="1:18" x14ac:dyDescent="0.3">
      <c r="A1064" s="20">
        <v>45388</v>
      </c>
      <c r="B1064" s="32" t="s">
        <v>6257</v>
      </c>
      <c r="C1064" s="25" t="s">
        <v>6258</v>
      </c>
      <c r="D1064" s="25" t="s">
        <v>6259</v>
      </c>
      <c r="E1064" s="135" t="s">
        <v>6260</v>
      </c>
      <c r="F1064" s="137" t="s">
        <v>6261</v>
      </c>
      <c r="G1064" s="26">
        <v>4</v>
      </c>
      <c r="H1064" s="26">
        <v>3</v>
      </c>
      <c r="I1064" s="26" t="s">
        <v>605</v>
      </c>
      <c r="J1064" s="26" t="s">
        <v>539</v>
      </c>
      <c r="K1064" s="26" t="s">
        <v>6262</v>
      </c>
      <c r="L1064" s="23">
        <f t="shared" ref="L1064" si="40">+N1064/1.12</f>
        <v>267.85714285714283</v>
      </c>
      <c r="M1064" s="23">
        <f t="shared" ref="M1064" si="41">+L1064*12%</f>
        <v>32.142857142857139</v>
      </c>
      <c r="N1064" s="23">
        <v>300</v>
      </c>
      <c r="O1064" s="27" t="s">
        <v>6263</v>
      </c>
      <c r="P1064" s="25" t="s">
        <v>2832</v>
      </c>
      <c r="Q1064" s="25" t="s">
        <v>2022</v>
      </c>
      <c r="R1064" s="26"/>
    </row>
    <row r="1065" spans="1:18" x14ac:dyDescent="0.3">
      <c r="A1065" s="20">
        <v>45388</v>
      </c>
      <c r="B1065" s="32" t="s">
        <v>6264</v>
      </c>
      <c r="C1065" s="25" t="s">
        <v>6265</v>
      </c>
      <c r="D1065" s="25" t="s">
        <v>6266</v>
      </c>
      <c r="E1065" s="135" t="s">
        <v>6267</v>
      </c>
      <c r="F1065" s="137" t="s">
        <v>6268</v>
      </c>
      <c r="G1065" s="26">
        <v>5</v>
      </c>
      <c r="H1065" s="26">
        <v>3</v>
      </c>
      <c r="I1065" s="26" t="s">
        <v>605</v>
      </c>
      <c r="J1065" s="26"/>
      <c r="K1065" s="26"/>
      <c r="L1065" s="23">
        <f t="shared" si="38"/>
        <v>0</v>
      </c>
      <c r="M1065" s="23">
        <f t="shared" si="39"/>
        <v>0</v>
      </c>
      <c r="N1065" s="23"/>
      <c r="O1065" s="27" t="s">
        <v>6269</v>
      </c>
      <c r="P1065" s="25" t="s">
        <v>6164</v>
      </c>
      <c r="Q1065" s="25" t="s">
        <v>225</v>
      </c>
      <c r="R1065" s="26"/>
    </row>
    <row r="1066" spans="1:18" x14ac:dyDescent="0.3">
      <c r="A1066" s="20">
        <v>45388</v>
      </c>
      <c r="B1066" s="32" t="s">
        <v>6270</v>
      </c>
      <c r="C1066" s="25" t="s">
        <v>6271</v>
      </c>
      <c r="D1066" s="25" t="s">
        <v>6272</v>
      </c>
      <c r="E1066" s="135" t="s">
        <v>6273</v>
      </c>
      <c r="F1066" s="137" t="s">
        <v>6274</v>
      </c>
      <c r="G1066" s="29">
        <v>4</v>
      </c>
      <c r="H1066" s="29">
        <v>4</v>
      </c>
      <c r="I1066" s="26" t="s">
        <v>605</v>
      </c>
      <c r="J1066" s="26" t="s">
        <v>539</v>
      </c>
      <c r="K1066" s="26" t="s">
        <v>1975</v>
      </c>
      <c r="L1066" s="23">
        <f t="shared" si="38"/>
        <v>1160.7142857142856</v>
      </c>
      <c r="M1066" s="23">
        <f t="shared" si="39"/>
        <v>139.28571428571425</v>
      </c>
      <c r="N1066" s="23">
        <v>1300</v>
      </c>
      <c r="O1066" s="27" t="s">
        <v>6275</v>
      </c>
      <c r="P1066" s="25" t="s">
        <v>335</v>
      </c>
      <c r="Q1066" s="25" t="s">
        <v>65</v>
      </c>
      <c r="R1066" s="26"/>
    </row>
    <row r="1067" spans="1:18" x14ac:dyDescent="0.3">
      <c r="A1067" s="20">
        <v>45388</v>
      </c>
      <c r="B1067" s="32" t="s">
        <v>6276</v>
      </c>
      <c r="C1067" s="25" t="s">
        <v>6277</v>
      </c>
      <c r="D1067" s="25" t="s">
        <v>5673</v>
      </c>
      <c r="E1067" s="135" t="s">
        <v>6278</v>
      </c>
      <c r="F1067" s="137" t="s">
        <v>6279</v>
      </c>
      <c r="G1067" s="26">
        <v>4</v>
      </c>
      <c r="H1067" s="26">
        <v>2</v>
      </c>
      <c r="I1067" s="26" t="s">
        <v>605</v>
      </c>
      <c r="J1067" s="26" t="s">
        <v>539</v>
      </c>
      <c r="K1067" s="26" t="s">
        <v>2488</v>
      </c>
      <c r="L1067" s="23">
        <f t="shared" si="38"/>
        <v>446.42857142857139</v>
      </c>
      <c r="M1067" s="23">
        <f t="shared" si="39"/>
        <v>53.571428571428562</v>
      </c>
      <c r="N1067" s="23">
        <v>500</v>
      </c>
      <c r="O1067" s="27" t="s">
        <v>6280</v>
      </c>
      <c r="P1067" s="25" t="s">
        <v>1482</v>
      </c>
      <c r="Q1067" s="25" t="s">
        <v>782</v>
      </c>
      <c r="R1067" s="26"/>
    </row>
    <row r="1068" spans="1:18" x14ac:dyDescent="0.3">
      <c r="A1068" s="20">
        <v>45394</v>
      </c>
      <c r="B1068" s="32" t="s">
        <v>6281</v>
      </c>
      <c r="C1068" s="25" t="s">
        <v>6282</v>
      </c>
      <c r="D1068" s="25" t="s">
        <v>6283</v>
      </c>
      <c r="E1068" s="135" t="s">
        <v>6284</v>
      </c>
      <c r="F1068" s="137" t="s">
        <v>6285</v>
      </c>
      <c r="G1068" s="26">
        <v>8</v>
      </c>
      <c r="H1068" s="26">
        <v>6</v>
      </c>
      <c r="I1068" s="26" t="s">
        <v>605</v>
      </c>
      <c r="J1068" s="26" t="s">
        <v>1173</v>
      </c>
      <c r="K1068" s="26"/>
      <c r="L1068" s="23">
        <f t="shared" si="38"/>
        <v>0</v>
      </c>
      <c r="M1068" s="23">
        <f t="shared" si="39"/>
        <v>0</v>
      </c>
      <c r="N1068" s="23"/>
      <c r="O1068" s="27" t="s">
        <v>6286</v>
      </c>
      <c r="P1068" s="25" t="s">
        <v>6059</v>
      </c>
      <c r="Q1068" s="25" t="s">
        <v>6287</v>
      </c>
      <c r="R1068" s="26"/>
    </row>
    <row r="1069" spans="1:18" x14ac:dyDescent="0.3">
      <c r="A1069" s="20">
        <v>45392</v>
      </c>
      <c r="B1069" s="32" t="s">
        <v>6288</v>
      </c>
      <c r="C1069" s="25" t="s">
        <v>6289</v>
      </c>
      <c r="D1069" s="25" t="s">
        <v>6290</v>
      </c>
      <c r="E1069" s="135" t="s">
        <v>6291</v>
      </c>
      <c r="F1069" s="137" t="s">
        <v>6292</v>
      </c>
      <c r="G1069" s="26">
        <v>7</v>
      </c>
      <c r="H1069" s="26">
        <v>4</v>
      </c>
      <c r="I1069" s="26" t="s">
        <v>605</v>
      </c>
      <c r="J1069" s="26" t="s">
        <v>539</v>
      </c>
      <c r="K1069" s="26" t="s">
        <v>5916</v>
      </c>
      <c r="L1069" s="23">
        <f t="shared" si="38"/>
        <v>892.85714285714278</v>
      </c>
      <c r="M1069" s="23">
        <f t="shared" si="39"/>
        <v>107.14285714285712</v>
      </c>
      <c r="N1069" s="23">
        <v>1000</v>
      </c>
      <c r="O1069" s="27" t="s">
        <v>6293</v>
      </c>
      <c r="P1069" s="25" t="s">
        <v>6059</v>
      </c>
      <c r="Q1069" s="25" t="s">
        <v>782</v>
      </c>
      <c r="R1069" s="26"/>
    </row>
    <row r="1070" spans="1:18" x14ac:dyDescent="0.3">
      <c r="A1070" s="20">
        <v>45395</v>
      </c>
      <c r="B1070" s="32" t="s">
        <v>6294</v>
      </c>
      <c r="C1070" s="25" t="s">
        <v>6295</v>
      </c>
      <c r="D1070" s="25" t="s">
        <v>6296</v>
      </c>
      <c r="E1070" s="135" t="s">
        <v>6297</v>
      </c>
      <c r="F1070" s="137" t="s">
        <v>6298</v>
      </c>
      <c r="G1070" s="26">
        <v>5</v>
      </c>
      <c r="H1070" s="26">
        <v>2</v>
      </c>
      <c r="I1070" s="26" t="s">
        <v>605</v>
      </c>
      <c r="J1070" s="26" t="s">
        <v>539</v>
      </c>
      <c r="K1070" s="26" t="s">
        <v>200</v>
      </c>
      <c r="L1070" s="23">
        <f t="shared" si="38"/>
        <v>267.85714285714283</v>
      </c>
      <c r="M1070" s="23">
        <f t="shared" si="39"/>
        <v>32.142857142857139</v>
      </c>
      <c r="N1070" s="23">
        <v>300</v>
      </c>
      <c r="O1070" s="27" t="s">
        <v>6299</v>
      </c>
      <c r="P1070" s="25" t="s">
        <v>2832</v>
      </c>
      <c r="Q1070" s="25" t="s">
        <v>225</v>
      </c>
      <c r="R1070" s="26"/>
    </row>
    <row r="1071" spans="1:18" x14ac:dyDescent="0.3">
      <c r="A1071" s="20">
        <v>45398</v>
      </c>
      <c r="B1071" s="32" t="s">
        <v>6300</v>
      </c>
      <c r="C1071" s="25" t="s">
        <v>6301</v>
      </c>
      <c r="D1071" s="25" t="s">
        <v>6302</v>
      </c>
      <c r="E1071" s="135" t="s">
        <v>6303</v>
      </c>
      <c r="F1071" s="137" t="s">
        <v>6304</v>
      </c>
      <c r="G1071" s="26">
        <v>5</v>
      </c>
      <c r="H1071" s="26">
        <v>2</v>
      </c>
      <c r="I1071" s="26" t="s">
        <v>605</v>
      </c>
      <c r="J1071" s="26" t="s">
        <v>539</v>
      </c>
      <c r="K1071" s="26" t="s">
        <v>200</v>
      </c>
      <c r="L1071" s="23">
        <f t="shared" si="38"/>
        <v>714.28571428571422</v>
      </c>
      <c r="M1071" s="23">
        <f t="shared" si="39"/>
        <v>85.714285714285708</v>
      </c>
      <c r="N1071" s="23">
        <v>800</v>
      </c>
      <c r="O1071" s="27" t="s">
        <v>6305</v>
      </c>
      <c r="P1071" s="25" t="s">
        <v>335</v>
      </c>
      <c r="Q1071" s="25" t="s">
        <v>65</v>
      </c>
      <c r="R1071" s="26"/>
    </row>
    <row r="1072" spans="1:18" x14ac:dyDescent="0.3">
      <c r="A1072" s="20">
        <v>45399</v>
      </c>
      <c r="B1072" s="32" t="s">
        <v>6306</v>
      </c>
      <c r="C1072" s="25" t="s">
        <v>6307</v>
      </c>
      <c r="D1072" s="25" t="s">
        <v>6308</v>
      </c>
      <c r="E1072" s="135" t="s">
        <v>6309</v>
      </c>
      <c r="F1072" s="137" t="s">
        <v>6310</v>
      </c>
      <c r="G1072" s="26">
        <v>5</v>
      </c>
      <c r="H1072" s="26">
        <v>3</v>
      </c>
      <c r="I1072" s="284" t="s">
        <v>605</v>
      </c>
      <c r="J1072" s="284"/>
      <c r="K1072" s="26"/>
      <c r="L1072" s="23">
        <f t="shared" si="38"/>
        <v>0</v>
      </c>
      <c r="M1072" s="23">
        <f t="shared" si="39"/>
        <v>0</v>
      </c>
      <c r="N1072" s="23"/>
      <c r="O1072" s="27" t="s">
        <v>6311</v>
      </c>
      <c r="P1072" s="25" t="s">
        <v>823</v>
      </c>
      <c r="Q1072" s="25" t="s">
        <v>65</v>
      </c>
      <c r="R1072" s="26"/>
    </row>
    <row r="1073" spans="1:18" x14ac:dyDescent="0.3">
      <c r="A1073" s="20">
        <v>45399</v>
      </c>
      <c r="B1073" s="32" t="s">
        <v>6312</v>
      </c>
      <c r="C1073" s="25" t="s">
        <v>6313</v>
      </c>
      <c r="D1073" s="25" t="s">
        <v>6314</v>
      </c>
      <c r="E1073" s="135" t="s">
        <v>6315</v>
      </c>
      <c r="F1073" s="135" t="s">
        <v>6316</v>
      </c>
      <c r="G1073" s="26">
        <v>5</v>
      </c>
      <c r="H1073" s="26">
        <v>2</v>
      </c>
      <c r="I1073" s="26" t="s">
        <v>605</v>
      </c>
      <c r="J1073" s="26"/>
      <c r="K1073" s="26"/>
      <c r="L1073" s="23">
        <f t="shared" si="38"/>
        <v>0</v>
      </c>
      <c r="M1073" s="23">
        <f t="shared" si="39"/>
        <v>0</v>
      </c>
      <c r="N1073" s="23"/>
      <c r="O1073" s="27" t="s">
        <v>6317</v>
      </c>
      <c r="P1073" s="25" t="s">
        <v>6318</v>
      </c>
      <c r="Q1073" s="25" t="s">
        <v>225</v>
      </c>
      <c r="R1073" s="26"/>
    </row>
    <row r="1074" spans="1:18" x14ac:dyDescent="0.3">
      <c r="A1074" s="20">
        <v>45399</v>
      </c>
      <c r="B1074" s="32" t="s">
        <v>6319</v>
      </c>
      <c r="C1074" s="25" t="s">
        <v>6320</v>
      </c>
      <c r="D1074" s="25" t="s">
        <v>6321</v>
      </c>
      <c r="E1074" s="135" t="s">
        <v>6322</v>
      </c>
      <c r="F1074" s="135" t="s">
        <v>6323</v>
      </c>
      <c r="G1074" s="26">
        <v>5</v>
      </c>
      <c r="H1074" s="26">
        <v>5</v>
      </c>
      <c r="I1074" s="26" t="s">
        <v>6324</v>
      </c>
      <c r="J1074" s="26" t="s">
        <v>539</v>
      </c>
      <c r="K1074" s="26" t="s">
        <v>1586</v>
      </c>
      <c r="L1074" s="23">
        <f t="shared" si="38"/>
        <v>1107.1428571428571</v>
      </c>
      <c r="M1074" s="23">
        <f t="shared" si="39"/>
        <v>132.85714285714286</v>
      </c>
      <c r="N1074" s="23">
        <v>1240</v>
      </c>
      <c r="O1074" s="27" t="s">
        <v>6325</v>
      </c>
      <c r="P1074" s="25" t="s">
        <v>2832</v>
      </c>
      <c r="Q1074" s="25" t="s">
        <v>358</v>
      </c>
      <c r="R1074" s="26"/>
    </row>
    <row r="1075" spans="1:18" x14ac:dyDescent="0.3">
      <c r="A1075" s="20">
        <v>45399</v>
      </c>
      <c r="B1075" s="32" t="s">
        <v>6326</v>
      </c>
      <c r="C1075" s="25" t="s">
        <v>6327</v>
      </c>
      <c r="D1075" s="25" t="s">
        <v>6328</v>
      </c>
      <c r="E1075" s="135" t="s">
        <v>6329</v>
      </c>
      <c r="F1075" s="135" t="s">
        <v>6330</v>
      </c>
      <c r="G1075" s="26">
        <v>5</v>
      </c>
      <c r="H1075" s="26">
        <v>7</v>
      </c>
      <c r="I1075" s="26" t="s">
        <v>605</v>
      </c>
      <c r="J1075" s="26" t="s">
        <v>539</v>
      </c>
      <c r="K1075" s="26" t="s">
        <v>2488</v>
      </c>
      <c r="L1075" s="23">
        <f t="shared" si="38"/>
        <v>2142.8571428571427</v>
      </c>
      <c r="M1075" s="23">
        <f t="shared" si="39"/>
        <v>257.14285714285711</v>
      </c>
      <c r="N1075" s="23">
        <v>2400</v>
      </c>
      <c r="O1075" s="27" t="s">
        <v>6331</v>
      </c>
      <c r="P1075" s="25" t="s">
        <v>335</v>
      </c>
      <c r="Q1075" s="25" t="s">
        <v>225</v>
      </c>
      <c r="R1075" s="26"/>
    </row>
    <row r="1076" spans="1:18" x14ac:dyDescent="0.3">
      <c r="A1076" s="20">
        <v>45399</v>
      </c>
      <c r="B1076" s="32" t="s">
        <v>6332</v>
      </c>
      <c r="C1076" s="25" t="s">
        <v>6333</v>
      </c>
      <c r="D1076" s="25" t="s">
        <v>6334</v>
      </c>
      <c r="E1076" s="135" t="s">
        <v>6335</v>
      </c>
      <c r="F1076" s="135" t="s">
        <v>6336</v>
      </c>
      <c r="G1076" s="26">
        <v>6</v>
      </c>
      <c r="H1076" s="26">
        <v>2</v>
      </c>
      <c r="I1076" s="26" t="s">
        <v>605</v>
      </c>
      <c r="J1076" s="26" t="s">
        <v>539</v>
      </c>
      <c r="K1076" s="26" t="s">
        <v>2488</v>
      </c>
      <c r="L1076" s="23">
        <f t="shared" si="38"/>
        <v>892.85714285714278</v>
      </c>
      <c r="M1076" s="23">
        <f t="shared" si="39"/>
        <v>107.14285714285712</v>
      </c>
      <c r="N1076" s="23">
        <v>1000</v>
      </c>
      <c r="O1076" s="27" t="s">
        <v>6337</v>
      </c>
      <c r="P1076" s="25" t="s">
        <v>6059</v>
      </c>
      <c r="Q1076" s="25" t="s">
        <v>782</v>
      </c>
      <c r="R1076" s="26"/>
    </row>
    <row r="1077" spans="1:18" x14ac:dyDescent="0.3">
      <c r="A1077" s="20">
        <v>45399</v>
      </c>
      <c r="B1077" s="32" t="s">
        <v>6338</v>
      </c>
      <c r="C1077" s="25" t="s">
        <v>6339</v>
      </c>
      <c r="D1077" s="25" t="s">
        <v>6340</v>
      </c>
      <c r="E1077" s="135" t="s">
        <v>6341</v>
      </c>
      <c r="F1077" s="135" t="s">
        <v>6342</v>
      </c>
      <c r="G1077" s="26">
        <v>5</v>
      </c>
      <c r="H1077" s="26">
        <v>3</v>
      </c>
      <c r="I1077" s="26" t="s">
        <v>605</v>
      </c>
      <c r="J1077" s="26"/>
      <c r="K1077" s="26"/>
      <c r="L1077" s="23">
        <f t="shared" si="38"/>
        <v>0</v>
      </c>
      <c r="M1077" s="23">
        <f t="shared" si="39"/>
        <v>0</v>
      </c>
      <c r="N1077" s="23"/>
      <c r="O1077" s="27" t="s">
        <v>6343</v>
      </c>
      <c r="P1077" s="25" t="s">
        <v>6059</v>
      </c>
      <c r="Q1077" s="25" t="s">
        <v>58</v>
      </c>
      <c r="R1077" s="26"/>
    </row>
    <row r="1078" spans="1:18" x14ac:dyDescent="0.3">
      <c r="A1078" s="20">
        <v>45399</v>
      </c>
      <c r="B1078" s="32" t="s">
        <v>6344</v>
      </c>
      <c r="C1078" s="25" t="s">
        <v>6345</v>
      </c>
      <c r="D1078" s="25" t="s">
        <v>6346</v>
      </c>
      <c r="E1078" s="135" t="s">
        <v>6347</v>
      </c>
      <c r="F1078" s="135" t="s">
        <v>6348</v>
      </c>
      <c r="G1078" s="26">
        <v>6</v>
      </c>
      <c r="H1078" s="26">
        <v>4</v>
      </c>
      <c r="I1078" s="26" t="s">
        <v>605</v>
      </c>
      <c r="J1078" s="26" t="s">
        <v>539</v>
      </c>
      <c r="K1078" s="26" t="s">
        <v>1586</v>
      </c>
      <c r="L1078" s="23">
        <f t="shared" si="38"/>
        <v>892.85714285714278</v>
      </c>
      <c r="M1078" s="23">
        <f t="shared" si="39"/>
        <v>107.14285714285712</v>
      </c>
      <c r="N1078" s="23">
        <v>1000</v>
      </c>
      <c r="O1078" s="27" t="s">
        <v>6349</v>
      </c>
      <c r="P1078" s="25" t="s">
        <v>823</v>
      </c>
      <c r="Q1078" s="25" t="s">
        <v>782</v>
      </c>
      <c r="R1078" s="26"/>
    </row>
    <row r="1079" spans="1:18" x14ac:dyDescent="0.3">
      <c r="A1079" s="20">
        <v>45400</v>
      </c>
      <c r="B1079" s="32" t="s">
        <v>6350</v>
      </c>
      <c r="C1079" s="25" t="s">
        <v>6351</v>
      </c>
      <c r="D1079" s="25" t="s">
        <v>6352</v>
      </c>
      <c r="E1079" s="135" t="s">
        <v>6353</v>
      </c>
      <c r="F1079" s="135" t="s">
        <v>6354</v>
      </c>
      <c r="G1079" s="26">
        <v>6</v>
      </c>
      <c r="H1079" s="26">
        <v>2</v>
      </c>
      <c r="I1079" s="26" t="s">
        <v>605</v>
      </c>
      <c r="J1079" s="26" t="s">
        <v>539</v>
      </c>
      <c r="K1079" s="26" t="s">
        <v>2488</v>
      </c>
      <c r="L1079" s="23">
        <f t="shared" si="38"/>
        <v>624.99999999999989</v>
      </c>
      <c r="M1079" s="23">
        <f t="shared" si="39"/>
        <v>74.999999999999986</v>
      </c>
      <c r="N1079" s="23">
        <v>700</v>
      </c>
      <c r="O1079" s="27" t="s">
        <v>6355</v>
      </c>
      <c r="P1079" s="25" t="s">
        <v>782</v>
      </c>
      <c r="Q1079" s="25" t="s">
        <v>782</v>
      </c>
      <c r="R1079" s="26"/>
    </row>
    <row r="1080" spans="1:18" x14ac:dyDescent="0.3">
      <c r="A1080" s="20">
        <v>45400</v>
      </c>
      <c r="B1080" s="32" t="s">
        <v>6356</v>
      </c>
      <c r="C1080" s="25" t="s">
        <v>6357</v>
      </c>
      <c r="D1080" s="25" t="s">
        <v>6358</v>
      </c>
      <c r="E1080" s="135" t="s">
        <v>6359</v>
      </c>
      <c r="F1080" s="135" t="s">
        <v>6360</v>
      </c>
      <c r="G1080" s="26">
        <v>10</v>
      </c>
      <c r="H1080" s="26">
        <v>10</v>
      </c>
      <c r="I1080" s="26" t="s">
        <v>617</v>
      </c>
      <c r="J1080" s="26" t="s">
        <v>539</v>
      </c>
      <c r="K1080" s="26" t="s">
        <v>200</v>
      </c>
      <c r="L1080" s="23">
        <f t="shared" si="38"/>
        <v>2767.8571428571427</v>
      </c>
      <c r="M1080" s="23">
        <f t="shared" si="39"/>
        <v>332.14285714285711</v>
      </c>
      <c r="N1080" s="23">
        <v>3100</v>
      </c>
      <c r="O1080" s="27" t="s">
        <v>6361</v>
      </c>
      <c r="P1080" s="25" t="s">
        <v>2832</v>
      </c>
      <c r="Q1080" s="25" t="s">
        <v>65</v>
      </c>
      <c r="R1080" s="26"/>
    </row>
    <row r="1081" spans="1:18" x14ac:dyDescent="0.3">
      <c r="A1081" s="20">
        <v>45400</v>
      </c>
      <c r="B1081" s="32" t="s">
        <v>6362</v>
      </c>
      <c r="C1081" s="25" t="s">
        <v>6363</v>
      </c>
      <c r="D1081" s="25" t="s">
        <v>6364</v>
      </c>
      <c r="E1081" s="135" t="s">
        <v>6365</v>
      </c>
      <c r="F1081" s="135" t="s">
        <v>6366</v>
      </c>
      <c r="G1081" s="26">
        <v>7</v>
      </c>
      <c r="H1081" s="26">
        <v>7</v>
      </c>
      <c r="I1081" s="26" t="s">
        <v>6367</v>
      </c>
      <c r="J1081" s="26" t="s">
        <v>539</v>
      </c>
      <c r="K1081" s="26" t="s">
        <v>200</v>
      </c>
      <c r="L1081" s="23">
        <f t="shared" si="38"/>
        <v>1910.7142857142856</v>
      </c>
      <c r="M1081" s="23">
        <f t="shared" si="39"/>
        <v>229.28571428571425</v>
      </c>
      <c r="N1081" s="23">
        <v>2140</v>
      </c>
      <c r="O1081" s="27" t="s">
        <v>6368</v>
      </c>
      <c r="P1081" s="25" t="s">
        <v>58</v>
      </c>
      <c r="Q1081" s="25" t="s">
        <v>358</v>
      </c>
      <c r="R1081" s="26"/>
    </row>
    <row r="1082" spans="1:18" x14ac:dyDescent="0.3">
      <c r="A1082" s="20">
        <v>45035</v>
      </c>
      <c r="B1082" s="32" t="s">
        <v>6369</v>
      </c>
      <c r="C1082" s="25" t="s">
        <v>303</v>
      </c>
      <c r="D1082" s="25" t="s">
        <v>6370</v>
      </c>
      <c r="E1082" s="135" t="s">
        <v>6371</v>
      </c>
      <c r="F1082" s="135" t="s">
        <v>6372</v>
      </c>
      <c r="G1082" s="26">
        <v>7</v>
      </c>
      <c r="H1082" s="26">
        <v>5</v>
      </c>
      <c r="I1082" s="26" t="s">
        <v>605</v>
      </c>
      <c r="J1082" s="26" t="s">
        <v>539</v>
      </c>
      <c r="K1082" s="26" t="s">
        <v>200</v>
      </c>
      <c r="L1082" s="23">
        <f t="shared" si="38"/>
        <v>1785.7142857142856</v>
      </c>
      <c r="M1082" s="23">
        <f t="shared" si="39"/>
        <v>214.28571428571425</v>
      </c>
      <c r="N1082" s="23">
        <v>2000</v>
      </c>
      <c r="O1082" s="27" t="s">
        <v>6373</v>
      </c>
      <c r="P1082" s="25" t="s">
        <v>62</v>
      </c>
      <c r="Q1082" s="25" t="s">
        <v>58</v>
      </c>
      <c r="R1082" s="26"/>
    </row>
    <row r="1083" spans="1:18" x14ac:dyDescent="0.3">
      <c r="A1083" s="20">
        <v>45035</v>
      </c>
      <c r="B1083" s="32" t="s">
        <v>6374</v>
      </c>
      <c r="C1083" s="25" t="s">
        <v>6375</v>
      </c>
      <c r="D1083" s="25" t="s">
        <v>6376</v>
      </c>
      <c r="E1083" s="135" t="s">
        <v>6377</v>
      </c>
      <c r="F1083" s="135" t="s">
        <v>6378</v>
      </c>
      <c r="G1083" s="26">
        <v>5</v>
      </c>
      <c r="H1083" s="26">
        <v>3</v>
      </c>
      <c r="I1083" s="26" t="s">
        <v>617</v>
      </c>
      <c r="J1083" s="26" t="s">
        <v>539</v>
      </c>
      <c r="K1083" s="26" t="s">
        <v>199</v>
      </c>
      <c r="L1083" s="23">
        <f t="shared" si="38"/>
        <v>1071.4285714285713</v>
      </c>
      <c r="M1083" s="23">
        <f t="shared" si="39"/>
        <v>128.57142857142856</v>
      </c>
      <c r="N1083" s="23">
        <v>1200</v>
      </c>
      <c r="O1083" s="27" t="s">
        <v>6379</v>
      </c>
      <c r="P1083" s="25" t="s">
        <v>2022</v>
      </c>
      <c r="Q1083" s="25" t="s">
        <v>2022</v>
      </c>
      <c r="R1083" s="26"/>
    </row>
    <row r="1084" spans="1:18" x14ac:dyDescent="0.3">
      <c r="A1084" s="20">
        <v>45035</v>
      </c>
      <c r="B1084" s="32" t="s">
        <v>6380</v>
      </c>
      <c r="C1084" s="25" t="s">
        <v>6381</v>
      </c>
      <c r="D1084" s="25" t="s">
        <v>6382</v>
      </c>
      <c r="E1084" s="135" t="s">
        <v>6383</v>
      </c>
      <c r="F1084" s="135" t="s">
        <v>6384</v>
      </c>
      <c r="G1084" s="26">
        <v>5</v>
      </c>
      <c r="H1084" s="26">
        <v>3</v>
      </c>
      <c r="I1084" s="26" t="s">
        <v>605</v>
      </c>
      <c r="J1084" s="26" t="s">
        <v>539</v>
      </c>
      <c r="K1084" s="26" t="s">
        <v>200</v>
      </c>
      <c r="L1084" s="23">
        <f t="shared" si="38"/>
        <v>446.42857142857139</v>
      </c>
      <c r="M1084" s="23">
        <f t="shared" si="39"/>
        <v>53.571428571428562</v>
      </c>
      <c r="N1084" s="23">
        <v>500</v>
      </c>
      <c r="O1084" s="27" t="s">
        <v>6385</v>
      </c>
      <c r="P1084" s="25" t="s">
        <v>335</v>
      </c>
      <c r="Q1084" s="25" t="s">
        <v>225</v>
      </c>
      <c r="R1084" s="26"/>
    </row>
    <row r="1085" spans="1:18" x14ac:dyDescent="0.3">
      <c r="A1085" s="20">
        <v>45035</v>
      </c>
      <c r="B1085" s="32" t="s">
        <v>6386</v>
      </c>
      <c r="C1085" s="25" t="s">
        <v>6387</v>
      </c>
      <c r="D1085" s="25" t="s">
        <v>6388</v>
      </c>
      <c r="E1085" s="135" t="s">
        <v>6389</v>
      </c>
      <c r="F1085" s="135" t="s">
        <v>6390</v>
      </c>
      <c r="G1085" s="26">
        <v>9</v>
      </c>
      <c r="H1085" s="26">
        <v>7</v>
      </c>
      <c r="I1085" s="26" t="s">
        <v>605</v>
      </c>
      <c r="J1085" s="26" t="s">
        <v>539</v>
      </c>
      <c r="K1085" s="26" t="s">
        <v>6391</v>
      </c>
      <c r="L1085" s="23">
        <f t="shared" si="38"/>
        <v>1776.7857142857142</v>
      </c>
      <c r="M1085" s="23">
        <f t="shared" si="39"/>
        <v>213.21428571428569</v>
      </c>
      <c r="N1085" s="23">
        <v>1990</v>
      </c>
      <c r="O1085" s="27" t="s">
        <v>6392</v>
      </c>
      <c r="P1085" s="25" t="s">
        <v>2832</v>
      </c>
      <c r="Q1085" s="25" t="s">
        <v>782</v>
      </c>
      <c r="R1085" s="26"/>
    </row>
    <row r="1086" spans="1:18" x14ac:dyDescent="0.3">
      <c r="A1086" s="20">
        <v>45036</v>
      </c>
      <c r="B1086" s="32" t="s">
        <v>6393</v>
      </c>
      <c r="C1086" s="25" t="s">
        <v>6394</v>
      </c>
      <c r="D1086" s="25" t="s">
        <v>6395</v>
      </c>
      <c r="E1086" s="135" t="s">
        <v>6396</v>
      </c>
      <c r="F1086" s="135" t="s">
        <v>6397</v>
      </c>
      <c r="G1086" s="26">
        <v>4</v>
      </c>
      <c r="H1086" s="26">
        <v>3</v>
      </c>
      <c r="I1086" s="26" t="s">
        <v>605</v>
      </c>
      <c r="J1086" s="26" t="s">
        <v>539</v>
      </c>
      <c r="K1086" s="26" t="s">
        <v>199</v>
      </c>
      <c r="L1086" s="23">
        <f t="shared" si="38"/>
        <v>624.99999999999989</v>
      </c>
      <c r="M1086" s="23">
        <f t="shared" si="39"/>
        <v>74.999999999999986</v>
      </c>
      <c r="N1086" s="23">
        <v>700</v>
      </c>
      <c r="O1086" s="27" t="s">
        <v>6398</v>
      </c>
      <c r="P1086" s="25" t="s">
        <v>335</v>
      </c>
      <c r="Q1086" s="25" t="s">
        <v>335</v>
      </c>
      <c r="R1086" s="26"/>
    </row>
    <row r="1087" spans="1:18" x14ac:dyDescent="0.3">
      <c r="A1087" s="20">
        <v>45036</v>
      </c>
      <c r="B1087" s="32" t="s">
        <v>6399</v>
      </c>
      <c r="C1087" s="25" t="s">
        <v>6400</v>
      </c>
      <c r="D1087" s="25" t="s">
        <v>1333</v>
      </c>
      <c r="E1087" s="135" t="s">
        <v>6401</v>
      </c>
      <c r="F1087" s="135" t="s">
        <v>6402</v>
      </c>
      <c r="G1087" s="26">
        <v>10</v>
      </c>
      <c r="H1087" s="26">
        <v>10</v>
      </c>
      <c r="I1087" s="26" t="s">
        <v>605</v>
      </c>
      <c r="J1087" s="26" t="s">
        <v>539</v>
      </c>
      <c r="K1087" s="26" t="s">
        <v>199</v>
      </c>
      <c r="L1087" s="23">
        <f t="shared" si="38"/>
        <v>982.142857142857</v>
      </c>
      <c r="M1087" s="23">
        <f t="shared" si="39"/>
        <v>117.85714285714283</v>
      </c>
      <c r="N1087" s="23">
        <v>1100</v>
      </c>
      <c r="O1087" s="27" t="s">
        <v>6403</v>
      </c>
      <c r="P1087" s="25" t="s">
        <v>1482</v>
      </c>
      <c r="Q1087" s="25" t="s">
        <v>65</v>
      </c>
      <c r="R1087" s="26"/>
    </row>
    <row r="1088" spans="1:18" x14ac:dyDescent="0.3">
      <c r="A1088" s="20">
        <v>45040</v>
      </c>
      <c r="B1088" s="32" t="s">
        <v>6404</v>
      </c>
      <c r="C1088" s="25" t="s">
        <v>6405</v>
      </c>
      <c r="D1088" s="25" t="s">
        <v>6406</v>
      </c>
      <c r="E1088" s="135" t="s">
        <v>6407</v>
      </c>
      <c r="F1088" s="135" t="s">
        <v>6408</v>
      </c>
      <c r="G1088" s="26">
        <v>5</v>
      </c>
      <c r="H1088" s="26">
        <v>3</v>
      </c>
      <c r="I1088" s="26" t="s">
        <v>605</v>
      </c>
      <c r="J1088" s="26" t="s">
        <v>539</v>
      </c>
      <c r="K1088" s="26" t="s">
        <v>980</v>
      </c>
      <c r="L1088" s="23">
        <f t="shared" si="38"/>
        <v>1428.5714285714284</v>
      </c>
      <c r="M1088" s="23">
        <f t="shared" si="39"/>
        <v>171.42857142857142</v>
      </c>
      <c r="N1088" s="23">
        <v>1600</v>
      </c>
      <c r="O1088" s="27" t="s">
        <v>6409</v>
      </c>
      <c r="P1088" s="25" t="s">
        <v>6164</v>
      </c>
      <c r="Q1088" s="25" t="s">
        <v>65</v>
      </c>
      <c r="R1088" s="26"/>
    </row>
    <row r="1089" spans="1:18" x14ac:dyDescent="0.3">
      <c r="A1089" s="20">
        <v>45040</v>
      </c>
      <c r="B1089" s="32" t="s">
        <v>6410</v>
      </c>
      <c r="C1089" s="25" t="s">
        <v>6411</v>
      </c>
      <c r="D1089" s="25" t="s">
        <v>6412</v>
      </c>
      <c r="E1089" s="135" t="s">
        <v>6413</v>
      </c>
      <c r="F1089" s="135" t="s">
        <v>6414</v>
      </c>
      <c r="G1089" s="26">
        <v>5</v>
      </c>
      <c r="H1089" s="26">
        <v>10</v>
      </c>
      <c r="I1089" s="26" t="s">
        <v>617</v>
      </c>
      <c r="J1089" s="26" t="s">
        <v>539</v>
      </c>
      <c r="K1089" s="26" t="s">
        <v>980</v>
      </c>
      <c r="L1089" s="23">
        <f t="shared" si="38"/>
        <v>2678.5714285714284</v>
      </c>
      <c r="M1089" s="23">
        <f t="shared" si="39"/>
        <v>321.42857142857139</v>
      </c>
      <c r="N1089" s="285">
        <v>3000</v>
      </c>
      <c r="O1089" s="27" t="s">
        <v>6415</v>
      </c>
      <c r="P1089" s="25" t="s">
        <v>335</v>
      </c>
      <c r="Q1089" s="25" t="s">
        <v>3026</v>
      </c>
      <c r="R1089" s="26"/>
    </row>
    <row r="1090" spans="1:18" x14ac:dyDescent="0.3">
      <c r="A1090" s="20">
        <v>45040</v>
      </c>
      <c r="B1090" s="32" t="s">
        <v>6416</v>
      </c>
      <c r="C1090" s="25" t="s">
        <v>6417</v>
      </c>
      <c r="D1090" s="25" t="s">
        <v>6418</v>
      </c>
      <c r="E1090" s="135" t="s">
        <v>6419</v>
      </c>
      <c r="F1090" s="135" t="s">
        <v>6420</v>
      </c>
      <c r="G1090" s="26">
        <v>5</v>
      </c>
      <c r="H1090" s="26">
        <v>3</v>
      </c>
      <c r="I1090" s="26" t="s">
        <v>605</v>
      </c>
      <c r="J1090" s="26" t="s">
        <v>539</v>
      </c>
      <c r="K1090" s="26" t="s">
        <v>199</v>
      </c>
      <c r="L1090" s="23">
        <f t="shared" si="38"/>
        <v>624.99999999999989</v>
      </c>
      <c r="M1090" s="23">
        <f t="shared" si="39"/>
        <v>74.999999999999986</v>
      </c>
      <c r="N1090" s="286">
        <v>700</v>
      </c>
      <c r="O1090" s="27" t="s">
        <v>6421</v>
      </c>
      <c r="P1090" s="25" t="s">
        <v>2832</v>
      </c>
      <c r="Q1090" s="25" t="s">
        <v>58</v>
      </c>
      <c r="R1090" s="26"/>
    </row>
    <row r="1091" spans="1:18" x14ac:dyDescent="0.3">
      <c r="A1091" s="20">
        <v>45407</v>
      </c>
      <c r="B1091" s="25" t="s">
        <v>6422</v>
      </c>
      <c r="C1091" s="25" t="s">
        <v>6423</v>
      </c>
      <c r="D1091" s="25" t="s">
        <v>6424</v>
      </c>
      <c r="E1091" s="135" t="s">
        <v>6425</v>
      </c>
      <c r="F1091" s="135" t="s">
        <v>6426</v>
      </c>
      <c r="G1091" s="26">
        <v>3</v>
      </c>
      <c r="H1091" s="26">
        <v>3</v>
      </c>
      <c r="I1091" s="26" t="s">
        <v>605</v>
      </c>
      <c r="J1091" s="26" t="s">
        <v>539</v>
      </c>
      <c r="K1091" s="26" t="s">
        <v>1586</v>
      </c>
      <c r="L1091" s="23">
        <f t="shared" si="38"/>
        <v>892.85714285714278</v>
      </c>
      <c r="M1091" s="23">
        <f t="shared" si="39"/>
        <v>107.14285714285712</v>
      </c>
      <c r="N1091" s="286">
        <v>1000</v>
      </c>
      <c r="O1091" s="27" t="s">
        <v>6427</v>
      </c>
      <c r="P1091" s="25" t="s">
        <v>6428</v>
      </c>
      <c r="Q1091" s="25" t="s">
        <v>3026</v>
      </c>
      <c r="R1091" s="26"/>
    </row>
    <row r="1092" spans="1:18" x14ac:dyDescent="0.3">
      <c r="A1092" s="20">
        <v>45407</v>
      </c>
      <c r="B1092" s="25" t="s">
        <v>6429</v>
      </c>
      <c r="C1092" s="25" t="s">
        <v>1417</v>
      </c>
      <c r="D1092" s="25" t="s">
        <v>6430</v>
      </c>
      <c r="E1092" s="135" t="s">
        <v>6431</v>
      </c>
      <c r="F1092" s="135" t="s">
        <v>6432</v>
      </c>
      <c r="G1092" s="26">
        <v>6</v>
      </c>
      <c r="H1092" s="26">
        <v>6</v>
      </c>
      <c r="I1092" s="26" t="s">
        <v>605</v>
      </c>
      <c r="J1092" s="26" t="s">
        <v>539</v>
      </c>
      <c r="K1092" s="26" t="s">
        <v>1586</v>
      </c>
      <c r="L1092" s="23">
        <f t="shared" si="38"/>
        <v>1776.7857142857142</v>
      </c>
      <c r="M1092" s="23">
        <f t="shared" si="39"/>
        <v>213.21428571428569</v>
      </c>
      <c r="N1092" s="286">
        <v>1990</v>
      </c>
      <c r="O1092" s="27" t="s">
        <v>6433</v>
      </c>
      <c r="P1092" s="25" t="s">
        <v>339</v>
      </c>
      <c r="Q1092" s="25" t="s">
        <v>225</v>
      </c>
      <c r="R1092" s="26"/>
    </row>
    <row r="1093" spans="1:18" x14ac:dyDescent="0.3">
      <c r="A1093" s="20">
        <v>45407</v>
      </c>
      <c r="B1093" s="25" t="s">
        <v>6434</v>
      </c>
      <c r="C1093" s="25" t="s">
        <v>6435</v>
      </c>
      <c r="D1093" s="25" t="s">
        <v>6436</v>
      </c>
      <c r="E1093" s="135" t="s">
        <v>6437</v>
      </c>
      <c r="F1093" s="135" t="s">
        <v>6438</v>
      </c>
      <c r="G1093" s="26">
        <v>5</v>
      </c>
      <c r="H1093" s="26">
        <v>4</v>
      </c>
      <c r="I1093" s="26" t="s">
        <v>605</v>
      </c>
      <c r="J1093" s="26" t="s">
        <v>539</v>
      </c>
      <c r="K1093" s="26" t="s">
        <v>980</v>
      </c>
      <c r="L1093" s="23">
        <f t="shared" si="38"/>
        <v>1249.9999999999998</v>
      </c>
      <c r="M1093" s="23">
        <f t="shared" si="39"/>
        <v>149.99999999999997</v>
      </c>
      <c r="N1093" s="286">
        <v>1400</v>
      </c>
      <c r="O1093" s="27" t="s">
        <v>6439</v>
      </c>
      <c r="P1093" s="25" t="s">
        <v>1482</v>
      </c>
      <c r="Q1093" s="25" t="s">
        <v>3026</v>
      </c>
      <c r="R1093" s="26"/>
    </row>
    <row r="1094" spans="1:18" x14ac:dyDescent="0.3">
      <c r="A1094" s="20">
        <v>45407</v>
      </c>
      <c r="B1094" s="25" t="s">
        <v>6440</v>
      </c>
      <c r="C1094" s="25" t="s">
        <v>413</v>
      </c>
      <c r="D1094" s="25" t="s">
        <v>6441</v>
      </c>
      <c r="E1094" s="135" t="s">
        <v>6442</v>
      </c>
      <c r="F1094" s="135" t="s">
        <v>6443</v>
      </c>
      <c r="G1094" s="26"/>
      <c r="H1094" s="26">
        <v>6</v>
      </c>
      <c r="I1094" s="26" t="s">
        <v>605</v>
      </c>
      <c r="J1094" s="26" t="s">
        <v>539</v>
      </c>
      <c r="K1094" s="26"/>
      <c r="L1094" s="23">
        <f t="shared" si="38"/>
        <v>1428.5714285714284</v>
      </c>
      <c r="M1094" s="23">
        <f t="shared" si="39"/>
        <v>171.42857142857142</v>
      </c>
      <c r="N1094" s="286">
        <v>1600</v>
      </c>
      <c r="O1094" s="27" t="s">
        <v>6444</v>
      </c>
      <c r="P1094" s="25" t="s">
        <v>339</v>
      </c>
      <c r="Q1094" s="25" t="s">
        <v>225</v>
      </c>
      <c r="R1094" s="26"/>
    </row>
    <row r="1095" spans="1:18" x14ac:dyDescent="0.3">
      <c r="A1095" s="20">
        <v>45408</v>
      </c>
      <c r="B1095" s="25" t="s">
        <v>6445</v>
      </c>
      <c r="C1095" s="25" t="s">
        <v>1134</v>
      </c>
      <c r="D1095" s="25" t="s">
        <v>6446</v>
      </c>
      <c r="E1095" s="135" t="s">
        <v>6447</v>
      </c>
      <c r="F1095" s="135" t="s">
        <v>6448</v>
      </c>
      <c r="G1095" s="26">
        <v>3</v>
      </c>
      <c r="H1095" s="26">
        <v>5</v>
      </c>
      <c r="I1095" s="26" t="s">
        <v>605</v>
      </c>
      <c r="J1095" s="26" t="s">
        <v>539</v>
      </c>
      <c r="K1095" s="26" t="s">
        <v>199</v>
      </c>
      <c r="L1095" s="23">
        <f t="shared" si="38"/>
        <v>624.99999999999989</v>
      </c>
      <c r="M1095" s="23">
        <f t="shared" si="39"/>
        <v>74.999999999999986</v>
      </c>
      <c r="N1095" s="286">
        <v>700</v>
      </c>
      <c r="O1095" s="27" t="s">
        <v>6449</v>
      </c>
      <c r="P1095" s="25" t="s">
        <v>6059</v>
      </c>
      <c r="Q1095" s="25" t="s">
        <v>58</v>
      </c>
      <c r="R1095" s="26"/>
    </row>
    <row r="1096" spans="1:18" x14ac:dyDescent="0.3">
      <c r="A1096" s="20">
        <v>45408</v>
      </c>
      <c r="B1096" s="25" t="s">
        <v>6450</v>
      </c>
      <c r="C1096" s="25" t="s">
        <v>6451</v>
      </c>
      <c r="D1096" s="25" t="s">
        <v>6452</v>
      </c>
      <c r="E1096" s="135" t="s">
        <v>6453</v>
      </c>
      <c r="F1096" s="135" t="s">
        <v>6454</v>
      </c>
      <c r="G1096" s="26">
        <v>5</v>
      </c>
      <c r="H1096" s="26">
        <v>6</v>
      </c>
      <c r="I1096" s="26" t="s">
        <v>617</v>
      </c>
      <c r="J1096" s="26" t="s">
        <v>539</v>
      </c>
      <c r="K1096" s="26" t="s">
        <v>1586</v>
      </c>
      <c r="L1096" s="23">
        <f t="shared" si="38"/>
        <v>1776.7857142857142</v>
      </c>
      <c r="M1096" s="23">
        <f t="shared" si="39"/>
        <v>213.21428571428569</v>
      </c>
      <c r="N1096" s="286">
        <v>1990</v>
      </c>
      <c r="O1096" s="27" t="s">
        <v>6455</v>
      </c>
      <c r="P1096" s="25" t="s">
        <v>6059</v>
      </c>
      <c r="Q1096" s="25" t="s">
        <v>65</v>
      </c>
      <c r="R1096" s="26"/>
    </row>
    <row r="1097" spans="1:18" x14ac:dyDescent="0.3">
      <c r="A1097" s="20">
        <v>45408</v>
      </c>
      <c r="B1097" s="25" t="s">
        <v>6456</v>
      </c>
      <c r="C1097" s="25" t="s">
        <v>6457</v>
      </c>
      <c r="D1097" s="25" t="s">
        <v>6458</v>
      </c>
      <c r="E1097" s="135" t="s">
        <v>6459</v>
      </c>
      <c r="F1097" s="135" t="s">
        <v>6460</v>
      </c>
      <c r="G1097" s="26">
        <v>6</v>
      </c>
      <c r="H1097" s="26">
        <v>3</v>
      </c>
      <c r="I1097" s="26" t="s">
        <v>605</v>
      </c>
      <c r="J1097" s="26" t="s">
        <v>539</v>
      </c>
      <c r="K1097" s="26" t="s">
        <v>199</v>
      </c>
      <c r="L1097" s="23">
        <f t="shared" si="38"/>
        <v>937.49999999999989</v>
      </c>
      <c r="M1097" s="23">
        <f t="shared" si="39"/>
        <v>112.49999999999999</v>
      </c>
      <c r="N1097" s="286">
        <v>1050</v>
      </c>
      <c r="O1097" s="27" t="s">
        <v>6461</v>
      </c>
      <c r="P1097" s="25" t="s">
        <v>335</v>
      </c>
      <c r="Q1097" s="25" t="s">
        <v>2022</v>
      </c>
      <c r="R1097" s="26"/>
    </row>
    <row r="1098" spans="1:18" x14ac:dyDescent="0.3">
      <c r="A1098" s="20">
        <v>45409</v>
      </c>
      <c r="B1098" s="25" t="s">
        <v>6462</v>
      </c>
      <c r="C1098" s="25" t="s">
        <v>6463</v>
      </c>
      <c r="D1098" s="25" t="s">
        <v>6464</v>
      </c>
      <c r="E1098" s="135" t="s">
        <v>6465</v>
      </c>
      <c r="F1098" s="135" t="s">
        <v>6466</v>
      </c>
      <c r="G1098" s="26">
        <v>5</v>
      </c>
      <c r="H1098" s="26">
        <v>3</v>
      </c>
      <c r="I1098" s="26" t="s">
        <v>605</v>
      </c>
      <c r="J1098" s="26" t="s">
        <v>539</v>
      </c>
      <c r="K1098" s="26" t="s">
        <v>199</v>
      </c>
      <c r="L1098" s="23">
        <f t="shared" si="38"/>
        <v>892.85714285714278</v>
      </c>
      <c r="M1098" s="23">
        <f t="shared" si="39"/>
        <v>107.14285714285712</v>
      </c>
      <c r="N1098" s="286">
        <v>1000</v>
      </c>
      <c r="O1098" s="27" t="s">
        <v>6467</v>
      </c>
      <c r="P1098" s="25" t="s">
        <v>6164</v>
      </c>
      <c r="Q1098" s="25" t="s">
        <v>3026</v>
      </c>
      <c r="R1098" s="26"/>
    </row>
    <row r="1099" spans="1:18" x14ac:dyDescent="0.3">
      <c r="A1099" s="20">
        <v>45408</v>
      </c>
      <c r="B1099" s="25" t="s">
        <v>6468</v>
      </c>
      <c r="C1099" s="25" t="s">
        <v>6469</v>
      </c>
      <c r="D1099" s="25" t="s">
        <v>6470</v>
      </c>
      <c r="E1099" s="135" t="s">
        <v>6471</v>
      </c>
      <c r="F1099" s="135" t="s">
        <v>6472</v>
      </c>
      <c r="G1099" s="26">
        <v>7</v>
      </c>
      <c r="H1099" s="26">
        <v>4</v>
      </c>
      <c r="I1099" s="26" t="s">
        <v>605</v>
      </c>
      <c r="J1099" s="26" t="s">
        <v>539</v>
      </c>
      <c r="K1099" s="26" t="s">
        <v>6473</v>
      </c>
      <c r="L1099" s="23">
        <f t="shared" si="38"/>
        <v>1071.4285714285713</v>
      </c>
      <c r="M1099" s="23">
        <f t="shared" si="39"/>
        <v>128.57142857142856</v>
      </c>
      <c r="N1099" s="286">
        <v>1200</v>
      </c>
      <c r="O1099" s="27" t="s">
        <v>6474</v>
      </c>
      <c r="P1099" s="25" t="s">
        <v>2832</v>
      </c>
      <c r="Q1099" s="25" t="s">
        <v>58</v>
      </c>
      <c r="R1099" s="26"/>
    </row>
    <row r="1100" spans="1:18" x14ac:dyDescent="0.3">
      <c r="A1100" s="20">
        <v>45409</v>
      </c>
      <c r="B1100" s="25" t="s">
        <v>6475</v>
      </c>
      <c r="C1100" s="25" t="s">
        <v>6476</v>
      </c>
      <c r="D1100" s="25" t="s">
        <v>6477</v>
      </c>
      <c r="E1100" s="135" t="s">
        <v>6478</v>
      </c>
      <c r="F1100" s="135" t="s">
        <v>6479</v>
      </c>
      <c r="G1100" s="26">
        <v>5</v>
      </c>
      <c r="H1100" s="26">
        <v>3</v>
      </c>
      <c r="I1100" s="26" t="s">
        <v>605</v>
      </c>
      <c r="J1100" s="26" t="s">
        <v>539</v>
      </c>
      <c r="K1100" s="26" t="s">
        <v>199</v>
      </c>
      <c r="L1100" s="23">
        <f t="shared" si="38"/>
        <v>1071.4285714285713</v>
      </c>
      <c r="M1100" s="23">
        <f t="shared" si="39"/>
        <v>128.57142857142856</v>
      </c>
      <c r="N1100" s="286">
        <v>1200</v>
      </c>
      <c r="O1100" s="27" t="s">
        <v>6480</v>
      </c>
      <c r="P1100" s="25" t="s">
        <v>6428</v>
      </c>
      <c r="Q1100" s="25" t="s">
        <v>65</v>
      </c>
      <c r="R1100" s="26"/>
    </row>
    <row r="1101" spans="1:18" x14ac:dyDescent="0.3">
      <c r="A1101" s="20">
        <v>45409</v>
      </c>
      <c r="B1101" s="25" t="s">
        <v>6481</v>
      </c>
      <c r="C1101" s="25" t="s">
        <v>6482</v>
      </c>
      <c r="D1101" s="25" t="s">
        <v>6483</v>
      </c>
      <c r="E1101" s="135" t="s">
        <v>6484</v>
      </c>
      <c r="F1101" s="135" t="s">
        <v>6485</v>
      </c>
      <c r="G1101" s="26">
        <v>5</v>
      </c>
      <c r="H1101" s="26">
        <v>3</v>
      </c>
      <c r="I1101" s="26" t="s">
        <v>605</v>
      </c>
      <c r="J1101" s="26" t="s">
        <v>539</v>
      </c>
      <c r="K1101" s="26" t="s">
        <v>980</v>
      </c>
      <c r="L1101" s="23">
        <f t="shared" si="38"/>
        <v>892.85714285714278</v>
      </c>
      <c r="M1101" s="23">
        <f t="shared" si="39"/>
        <v>107.14285714285712</v>
      </c>
      <c r="N1101" s="286">
        <v>1000</v>
      </c>
      <c r="O1101" s="27" t="s">
        <v>6486</v>
      </c>
      <c r="P1101" s="25" t="s">
        <v>339</v>
      </c>
      <c r="Q1101" s="25" t="s">
        <v>225</v>
      </c>
      <c r="R1101" s="26"/>
    </row>
    <row r="1102" spans="1:18" x14ac:dyDescent="0.3">
      <c r="A1102" s="20">
        <v>45409</v>
      </c>
      <c r="B1102" s="25" t="s">
        <v>6487</v>
      </c>
      <c r="C1102" s="25" t="s">
        <v>6488</v>
      </c>
      <c r="D1102" s="25" t="s">
        <v>6489</v>
      </c>
      <c r="E1102" s="135" t="s">
        <v>6490</v>
      </c>
      <c r="F1102" s="135" t="s">
        <v>6491</v>
      </c>
      <c r="G1102" s="26">
        <v>5</v>
      </c>
      <c r="H1102" s="26">
        <v>4</v>
      </c>
      <c r="I1102" s="26" t="s">
        <v>605</v>
      </c>
      <c r="J1102" s="26" t="s">
        <v>539</v>
      </c>
      <c r="K1102" s="26" t="s">
        <v>2488</v>
      </c>
      <c r="L1102" s="23">
        <f t="shared" ref="L1102:L1165" si="42">+N1102/1.12</f>
        <v>892.85714285714278</v>
      </c>
      <c r="M1102" s="23">
        <f t="shared" ref="M1102:M1165" si="43">+L1102*12%</f>
        <v>107.14285714285712</v>
      </c>
      <c r="N1102" s="286">
        <v>1000</v>
      </c>
      <c r="O1102" s="27" t="s">
        <v>6492</v>
      </c>
      <c r="P1102" s="25" t="s">
        <v>2832</v>
      </c>
      <c r="Q1102" s="25" t="s">
        <v>3026</v>
      </c>
      <c r="R1102" s="26"/>
    </row>
    <row r="1103" spans="1:18" x14ac:dyDescent="0.3">
      <c r="A1103" s="20">
        <v>45409</v>
      </c>
      <c r="B1103" s="25" t="s">
        <v>6493</v>
      </c>
      <c r="C1103" s="25" t="s">
        <v>6494</v>
      </c>
      <c r="D1103" s="25" t="s">
        <v>6495</v>
      </c>
      <c r="E1103" s="135" t="s">
        <v>6496</v>
      </c>
      <c r="F1103" s="135" t="s">
        <v>6497</v>
      </c>
      <c r="G1103" s="26">
        <v>10</v>
      </c>
      <c r="H1103" s="26">
        <v>7</v>
      </c>
      <c r="I1103" s="26" t="s">
        <v>605</v>
      </c>
      <c r="J1103" s="26" t="s">
        <v>539</v>
      </c>
      <c r="K1103" s="26"/>
      <c r="L1103" s="23">
        <f t="shared" si="42"/>
        <v>2669.6428571428569</v>
      </c>
      <c r="M1103" s="23">
        <f t="shared" si="43"/>
        <v>320.35714285714283</v>
      </c>
      <c r="N1103" s="286">
        <v>2990</v>
      </c>
      <c r="O1103" s="27" t="s">
        <v>6498</v>
      </c>
      <c r="P1103" s="25" t="s">
        <v>335</v>
      </c>
      <c r="Q1103" s="25" t="s">
        <v>58</v>
      </c>
      <c r="R1103" s="26"/>
    </row>
    <row r="1104" spans="1:18" x14ac:dyDescent="0.3">
      <c r="A1104" s="20">
        <v>45409</v>
      </c>
      <c r="B1104" s="25" t="s">
        <v>6499</v>
      </c>
      <c r="C1104" s="25" t="s">
        <v>6500</v>
      </c>
      <c r="D1104" s="25" t="s">
        <v>6501</v>
      </c>
      <c r="E1104" s="135" t="s">
        <v>6502</v>
      </c>
      <c r="F1104" s="135" t="s">
        <v>6503</v>
      </c>
      <c r="G1104" s="26">
        <v>6</v>
      </c>
      <c r="H1104" s="26">
        <v>7</v>
      </c>
      <c r="I1104" s="26" t="s">
        <v>605</v>
      </c>
      <c r="J1104" s="26" t="s">
        <v>539</v>
      </c>
      <c r="K1104" s="26" t="s">
        <v>199</v>
      </c>
      <c r="L1104" s="23">
        <f t="shared" si="42"/>
        <v>2133.9285714285711</v>
      </c>
      <c r="M1104" s="23">
        <f t="shared" si="43"/>
        <v>256.0714285714285</v>
      </c>
      <c r="N1104" s="286">
        <v>2390</v>
      </c>
      <c r="O1104" s="27" t="s">
        <v>6504</v>
      </c>
      <c r="P1104" s="25">
        <v>0</v>
      </c>
      <c r="Q1104" s="25">
        <v>0</v>
      </c>
      <c r="R1104" s="26"/>
    </row>
    <row r="1105" spans="1:19" x14ac:dyDescent="0.3">
      <c r="A1105" s="20">
        <v>45412</v>
      </c>
      <c r="B1105" s="25" t="s">
        <v>6505</v>
      </c>
      <c r="C1105" s="25" t="s">
        <v>6506</v>
      </c>
      <c r="D1105" s="25" t="s">
        <v>6507</v>
      </c>
      <c r="E1105" s="135" t="s">
        <v>6508</v>
      </c>
      <c r="F1105" s="135" t="s">
        <v>6509</v>
      </c>
      <c r="G1105" s="26">
        <v>8</v>
      </c>
      <c r="H1105" s="26">
        <v>5</v>
      </c>
      <c r="I1105" s="26" t="s">
        <v>605</v>
      </c>
      <c r="J1105" s="26" t="s">
        <v>539</v>
      </c>
      <c r="K1105" s="26" t="s">
        <v>199</v>
      </c>
      <c r="L1105" s="23">
        <f t="shared" si="42"/>
        <v>1428.5714285714284</v>
      </c>
      <c r="M1105" s="23">
        <f t="shared" si="43"/>
        <v>171.42857142857142</v>
      </c>
      <c r="N1105" s="286">
        <v>1600</v>
      </c>
      <c r="O1105" s="27" t="s">
        <v>6510</v>
      </c>
      <c r="P1105" s="25" t="s">
        <v>6059</v>
      </c>
      <c r="Q1105" s="25" t="s">
        <v>340</v>
      </c>
      <c r="R1105" s="26"/>
    </row>
    <row r="1106" spans="1:19" x14ac:dyDescent="0.3">
      <c r="A1106" s="20">
        <v>45412</v>
      </c>
      <c r="B1106" s="25" t="s">
        <v>6511</v>
      </c>
      <c r="C1106" s="25" t="s">
        <v>6512</v>
      </c>
      <c r="D1106" s="25" t="s">
        <v>6513</v>
      </c>
      <c r="E1106" s="135" t="s">
        <v>6514</v>
      </c>
      <c r="F1106" s="135" t="s">
        <v>6515</v>
      </c>
      <c r="G1106" s="26">
        <v>6</v>
      </c>
      <c r="H1106" s="26">
        <v>3</v>
      </c>
      <c r="I1106" s="26" t="s">
        <v>617</v>
      </c>
      <c r="J1106" s="26" t="s">
        <v>539</v>
      </c>
      <c r="K1106" s="26" t="s">
        <v>199</v>
      </c>
      <c r="L1106" s="23">
        <f t="shared" si="42"/>
        <v>892.85714285714278</v>
      </c>
      <c r="M1106" s="23">
        <f t="shared" si="43"/>
        <v>107.14285714285712</v>
      </c>
      <c r="N1106" s="286">
        <v>1000</v>
      </c>
      <c r="O1106" s="27" t="s">
        <v>6516</v>
      </c>
      <c r="P1106" s="25" t="s">
        <v>2832</v>
      </c>
      <c r="Q1106" s="25" t="s">
        <v>65</v>
      </c>
      <c r="R1106" s="26"/>
    </row>
    <row r="1107" spans="1:19" x14ac:dyDescent="0.3">
      <c r="A1107" s="20">
        <v>45412</v>
      </c>
      <c r="B1107" s="25" t="s">
        <v>6517</v>
      </c>
      <c r="C1107" s="25" t="s">
        <v>6518</v>
      </c>
      <c r="D1107" s="25" t="s">
        <v>6519</v>
      </c>
      <c r="E1107" s="135" t="s">
        <v>6520</v>
      </c>
      <c r="F1107" s="135" t="s">
        <v>6521</v>
      </c>
      <c r="G1107" s="26">
        <v>8</v>
      </c>
      <c r="H1107" s="26">
        <v>8</v>
      </c>
      <c r="I1107" s="26" t="s">
        <v>605</v>
      </c>
      <c r="J1107" s="26" t="s">
        <v>539</v>
      </c>
      <c r="K1107" s="26" t="s">
        <v>199</v>
      </c>
      <c r="L1107" s="23">
        <f t="shared" si="42"/>
        <v>2946.4285714285711</v>
      </c>
      <c r="M1107" s="23">
        <f t="shared" si="43"/>
        <v>353.5714285714285</v>
      </c>
      <c r="N1107" s="286">
        <v>3300</v>
      </c>
      <c r="O1107" s="27" t="s">
        <v>6522</v>
      </c>
      <c r="P1107" s="25" t="s">
        <v>6059</v>
      </c>
      <c r="Q1107" s="25" t="s">
        <v>3026</v>
      </c>
      <c r="R1107" s="26"/>
    </row>
    <row r="1108" spans="1:19" x14ac:dyDescent="0.3">
      <c r="A1108" s="20">
        <v>45412</v>
      </c>
      <c r="B1108" s="25" t="s">
        <v>6523</v>
      </c>
      <c r="C1108" s="25" t="s">
        <v>6524</v>
      </c>
      <c r="D1108" s="25" t="s">
        <v>6525</v>
      </c>
      <c r="E1108" s="135" t="s">
        <v>6526</v>
      </c>
      <c r="F1108" s="135" t="s">
        <v>6527</v>
      </c>
      <c r="G1108" s="26">
        <v>6</v>
      </c>
      <c r="H1108" s="26">
        <v>3</v>
      </c>
      <c r="I1108" s="26" t="s">
        <v>605</v>
      </c>
      <c r="J1108" s="26" t="s">
        <v>539</v>
      </c>
      <c r="K1108" s="26" t="s">
        <v>199</v>
      </c>
      <c r="L1108" s="23">
        <f t="shared" si="42"/>
        <v>892.85714285714278</v>
      </c>
      <c r="M1108" s="23">
        <f t="shared" si="43"/>
        <v>107.14285714285712</v>
      </c>
      <c r="N1108" s="286">
        <v>1000</v>
      </c>
      <c r="O1108" s="27" t="s">
        <v>6528</v>
      </c>
      <c r="P1108" s="25" t="s">
        <v>340</v>
      </c>
      <c r="Q1108" s="25" t="s">
        <v>225</v>
      </c>
      <c r="R1108" s="26"/>
    </row>
    <row r="1109" spans="1:19" x14ac:dyDescent="0.3">
      <c r="A1109" s="50">
        <v>45413</v>
      </c>
      <c r="B1109" s="25" t="s">
        <v>6529</v>
      </c>
      <c r="C1109" s="43" t="s">
        <v>6530</v>
      </c>
      <c r="D1109" s="43" t="s">
        <v>6531</v>
      </c>
      <c r="E1109" s="109" t="s">
        <v>6532</v>
      </c>
      <c r="F1109" s="109" t="s">
        <v>6533</v>
      </c>
      <c r="G1109" s="43">
        <v>8</v>
      </c>
      <c r="H1109" s="43">
        <v>10</v>
      </c>
      <c r="I1109" s="147" t="s">
        <v>605</v>
      </c>
      <c r="J1109" s="43" t="s">
        <v>539</v>
      </c>
      <c r="K1109" s="43" t="s">
        <v>6262</v>
      </c>
      <c r="L1109" s="23">
        <f t="shared" si="42"/>
        <v>714.28571428571422</v>
      </c>
      <c r="M1109" s="23">
        <f t="shared" si="43"/>
        <v>85.714285714285708</v>
      </c>
      <c r="N1109" s="23">
        <v>800</v>
      </c>
      <c r="O1109" s="53" t="s">
        <v>6534</v>
      </c>
      <c r="P1109" s="43" t="s">
        <v>225</v>
      </c>
      <c r="Q1109" s="43" t="s">
        <v>225</v>
      </c>
      <c r="R1109" s="109">
        <v>555</v>
      </c>
      <c r="S1109" s="52"/>
    </row>
    <row r="1110" spans="1:19" x14ac:dyDescent="0.3">
      <c r="A1110" s="50">
        <v>45413</v>
      </c>
      <c r="B1110" s="25" t="s">
        <v>6535</v>
      </c>
      <c r="C1110" s="43" t="s">
        <v>6536</v>
      </c>
      <c r="D1110" s="43" t="s">
        <v>6537</v>
      </c>
      <c r="E1110" s="109" t="s">
        <v>6538</v>
      </c>
      <c r="F1110" s="109" t="s">
        <v>6539</v>
      </c>
      <c r="G1110" s="43">
        <v>10</v>
      </c>
      <c r="H1110" s="43">
        <v>10</v>
      </c>
      <c r="I1110" s="147" t="s">
        <v>617</v>
      </c>
      <c r="J1110" s="43" t="s">
        <v>539</v>
      </c>
      <c r="K1110" s="43" t="s">
        <v>200</v>
      </c>
      <c r="L1110" s="23">
        <f t="shared" si="42"/>
        <v>4455.3571428571422</v>
      </c>
      <c r="M1110" s="23">
        <f t="shared" si="43"/>
        <v>534.642857142857</v>
      </c>
      <c r="N1110" s="23">
        <v>4990</v>
      </c>
      <c r="O1110" s="53" t="s">
        <v>6540</v>
      </c>
      <c r="P1110" s="43" t="s">
        <v>5743</v>
      </c>
      <c r="Q1110" s="43" t="s">
        <v>340</v>
      </c>
      <c r="R1110" s="109">
        <v>8000</v>
      </c>
      <c r="S1110" s="52"/>
    </row>
    <row r="1111" spans="1:19" x14ac:dyDescent="0.3">
      <c r="A1111" s="50">
        <v>45413</v>
      </c>
      <c r="B1111" s="25" t="s">
        <v>6541</v>
      </c>
      <c r="C1111" s="43" t="s">
        <v>6542</v>
      </c>
      <c r="D1111" s="43" t="s">
        <v>6543</v>
      </c>
      <c r="E1111" s="109" t="s">
        <v>6544</v>
      </c>
      <c r="F1111" s="109" t="s">
        <v>6545</v>
      </c>
      <c r="G1111" s="43">
        <v>15</v>
      </c>
      <c r="H1111" s="43">
        <v>10</v>
      </c>
      <c r="I1111" s="147" t="s">
        <v>6546</v>
      </c>
      <c r="J1111" s="43" t="s">
        <v>539</v>
      </c>
      <c r="K1111" s="43" t="s">
        <v>199</v>
      </c>
      <c r="L1111" s="23">
        <f t="shared" si="42"/>
        <v>4455.3571428571422</v>
      </c>
      <c r="M1111" s="23">
        <f t="shared" si="43"/>
        <v>534.642857142857</v>
      </c>
      <c r="N1111" s="23">
        <v>4990</v>
      </c>
      <c r="O1111" s="53" t="s">
        <v>6547</v>
      </c>
      <c r="P1111" s="43" t="s">
        <v>2832</v>
      </c>
      <c r="Q1111" s="43" t="s">
        <v>65</v>
      </c>
      <c r="R1111" s="109">
        <v>8000</v>
      </c>
      <c r="S1111" s="52"/>
    </row>
    <row r="1112" spans="1:19" x14ac:dyDescent="0.3">
      <c r="A1112" s="50">
        <v>45413</v>
      </c>
      <c r="B1112" s="25" t="s">
        <v>6548</v>
      </c>
      <c r="C1112" s="43" t="s">
        <v>2122</v>
      </c>
      <c r="D1112" s="43" t="s">
        <v>6549</v>
      </c>
      <c r="E1112" s="109" t="s">
        <v>6550</v>
      </c>
      <c r="F1112" s="109" t="s">
        <v>6551</v>
      </c>
      <c r="G1112" s="43">
        <v>6</v>
      </c>
      <c r="H1112" s="43">
        <v>3</v>
      </c>
      <c r="I1112" s="147" t="s">
        <v>605</v>
      </c>
      <c r="J1112" s="43" t="s">
        <v>539</v>
      </c>
      <c r="K1112" s="43" t="s">
        <v>199</v>
      </c>
      <c r="L1112" s="23">
        <f t="shared" si="42"/>
        <v>892.85714285714278</v>
      </c>
      <c r="M1112" s="23">
        <f t="shared" si="43"/>
        <v>107.14285714285712</v>
      </c>
      <c r="N1112" s="23">
        <v>1000</v>
      </c>
      <c r="O1112" s="53" t="s">
        <v>6552</v>
      </c>
      <c r="P1112" s="43" t="s">
        <v>2832</v>
      </c>
      <c r="Q1112" s="43" t="s">
        <v>6553</v>
      </c>
      <c r="R1112" s="109" t="s">
        <v>6554</v>
      </c>
      <c r="S1112" s="52"/>
    </row>
    <row r="1113" spans="1:19" x14ac:dyDescent="0.3">
      <c r="A1113" s="50">
        <v>45413</v>
      </c>
      <c r="B1113" s="25" t="s">
        <v>6555</v>
      </c>
      <c r="C1113" s="43" t="s">
        <v>6556</v>
      </c>
      <c r="D1113" s="43" t="s">
        <v>6557</v>
      </c>
      <c r="E1113" s="109" t="s">
        <v>6558</v>
      </c>
      <c r="F1113" s="109" t="s">
        <v>6559</v>
      </c>
      <c r="G1113" s="43">
        <v>5</v>
      </c>
      <c r="H1113" s="43">
        <v>3</v>
      </c>
      <c r="I1113" s="147" t="s">
        <v>605</v>
      </c>
      <c r="J1113" s="43" t="s">
        <v>539</v>
      </c>
      <c r="K1113" s="43" t="s">
        <v>200</v>
      </c>
      <c r="L1113" s="23">
        <f t="shared" si="42"/>
        <v>892.85714285714278</v>
      </c>
      <c r="M1113" s="23">
        <f t="shared" si="43"/>
        <v>107.14285714285712</v>
      </c>
      <c r="N1113" s="23">
        <v>1000</v>
      </c>
      <c r="O1113" s="53" t="s">
        <v>6560</v>
      </c>
      <c r="P1113" s="43" t="s">
        <v>6428</v>
      </c>
      <c r="Q1113" s="43" t="s">
        <v>2022</v>
      </c>
      <c r="R1113" s="109" t="s">
        <v>6561</v>
      </c>
      <c r="S1113" s="52"/>
    </row>
    <row r="1114" spans="1:19" x14ac:dyDescent="0.3">
      <c r="A1114" s="50">
        <v>45413</v>
      </c>
      <c r="B1114" s="25" t="s">
        <v>6562</v>
      </c>
      <c r="C1114" s="43" t="s">
        <v>6563</v>
      </c>
      <c r="D1114" s="43" t="s">
        <v>6564</v>
      </c>
      <c r="E1114" s="109" t="s">
        <v>6565</v>
      </c>
      <c r="F1114" s="109" t="s">
        <v>6566</v>
      </c>
      <c r="G1114" s="43">
        <v>4</v>
      </c>
      <c r="H1114" s="43">
        <v>3</v>
      </c>
      <c r="I1114" s="147" t="s">
        <v>605</v>
      </c>
      <c r="J1114" s="43" t="s">
        <v>539</v>
      </c>
      <c r="K1114" s="43" t="s">
        <v>199</v>
      </c>
      <c r="L1114" s="23">
        <f t="shared" si="42"/>
        <v>892.85714285714278</v>
      </c>
      <c r="M1114" s="23">
        <f t="shared" si="43"/>
        <v>107.14285714285712</v>
      </c>
      <c r="N1114" s="23">
        <v>1000</v>
      </c>
      <c r="O1114" s="53" t="s">
        <v>6567</v>
      </c>
      <c r="P1114" s="43" t="s">
        <v>2832</v>
      </c>
      <c r="Q1114" s="43" t="s">
        <v>340</v>
      </c>
      <c r="R1114" s="109">
        <v>555</v>
      </c>
      <c r="S1114" s="52"/>
    </row>
    <row r="1115" spans="1:19" x14ac:dyDescent="0.3">
      <c r="A1115" s="50">
        <v>45413</v>
      </c>
      <c r="B1115" s="25" t="s">
        <v>6568</v>
      </c>
      <c r="C1115" s="43" t="s">
        <v>6569</v>
      </c>
      <c r="D1115" s="43" t="s">
        <v>6570</v>
      </c>
      <c r="E1115" s="109" t="s">
        <v>6571</v>
      </c>
      <c r="F1115" s="109" t="s">
        <v>6572</v>
      </c>
      <c r="G1115" s="43">
        <v>6</v>
      </c>
      <c r="H1115" s="43">
        <v>4</v>
      </c>
      <c r="I1115" s="147" t="s">
        <v>617</v>
      </c>
      <c r="J1115" s="43" t="s">
        <v>539</v>
      </c>
      <c r="K1115" s="43" t="s">
        <v>200</v>
      </c>
      <c r="L1115" s="23">
        <f t="shared" si="42"/>
        <v>1116.0714285714284</v>
      </c>
      <c r="M1115" s="23">
        <f t="shared" si="43"/>
        <v>133.92857142857142</v>
      </c>
      <c r="N1115" s="23">
        <v>1250</v>
      </c>
      <c r="O1115" s="53" t="s">
        <v>6573</v>
      </c>
      <c r="P1115" s="43" t="s">
        <v>6428</v>
      </c>
      <c r="Q1115" s="43" t="s">
        <v>225</v>
      </c>
      <c r="R1115" s="109">
        <v>555</v>
      </c>
      <c r="S1115" s="52"/>
    </row>
    <row r="1116" spans="1:19" x14ac:dyDescent="0.3">
      <c r="A1116" s="50">
        <v>45414</v>
      </c>
      <c r="B1116" s="25" t="s">
        <v>6574</v>
      </c>
      <c r="C1116" s="43" t="s">
        <v>6575</v>
      </c>
      <c r="D1116" s="43" t="s">
        <v>6576</v>
      </c>
      <c r="E1116" s="109" t="s">
        <v>6577</v>
      </c>
      <c r="F1116" s="109" t="s">
        <v>6578</v>
      </c>
      <c r="G1116" s="43">
        <v>7</v>
      </c>
      <c r="H1116" s="43">
        <v>5</v>
      </c>
      <c r="I1116" s="147" t="s">
        <v>617</v>
      </c>
      <c r="J1116" s="43" t="s">
        <v>539</v>
      </c>
      <c r="K1116" s="43" t="s">
        <v>199</v>
      </c>
      <c r="L1116" s="23">
        <f t="shared" si="42"/>
        <v>1830.3571428571427</v>
      </c>
      <c r="M1116" s="23">
        <f t="shared" si="43"/>
        <v>219.64285714285711</v>
      </c>
      <c r="N1116" s="23">
        <v>2050</v>
      </c>
      <c r="O1116" s="53" t="s">
        <v>6579</v>
      </c>
      <c r="P1116" s="43" t="s">
        <v>5743</v>
      </c>
      <c r="Q1116" s="43" t="s">
        <v>65</v>
      </c>
      <c r="R1116" s="109">
        <v>555</v>
      </c>
      <c r="S1116" s="52"/>
    </row>
    <row r="1117" spans="1:19" x14ac:dyDescent="0.3">
      <c r="A1117" s="50">
        <v>45414</v>
      </c>
      <c r="B1117" s="25" t="s">
        <v>6580</v>
      </c>
      <c r="C1117" s="43" t="s">
        <v>6581</v>
      </c>
      <c r="D1117" s="43" t="s">
        <v>6582</v>
      </c>
      <c r="E1117" s="109" t="s">
        <v>6583</v>
      </c>
      <c r="F1117" s="109" t="s">
        <v>6584</v>
      </c>
      <c r="G1117" s="43">
        <v>6</v>
      </c>
      <c r="H1117" s="43">
        <v>4</v>
      </c>
      <c r="I1117" s="147" t="s">
        <v>605</v>
      </c>
      <c r="J1117" s="43" t="s">
        <v>539</v>
      </c>
      <c r="K1117" s="43" t="s">
        <v>1518</v>
      </c>
      <c r="L1117" s="23">
        <f t="shared" si="42"/>
        <v>892.85714285714278</v>
      </c>
      <c r="M1117" s="23">
        <f t="shared" si="43"/>
        <v>107.14285714285712</v>
      </c>
      <c r="N1117" s="23">
        <v>1000</v>
      </c>
      <c r="O1117" s="53" t="s">
        <v>6585</v>
      </c>
      <c r="P1117" s="43" t="s">
        <v>335</v>
      </c>
      <c r="Q1117" s="43" t="s">
        <v>6586</v>
      </c>
      <c r="R1117" s="109" t="s">
        <v>6554</v>
      </c>
      <c r="S1117" s="52"/>
    </row>
    <row r="1118" spans="1:19" x14ac:dyDescent="0.3">
      <c r="A1118" s="50">
        <v>45414</v>
      </c>
      <c r="B1118" s="25" t="s">
        <v>6587</v>
      </c>
      <c r="C1118" s="43" t="s">
        <v>6588</v>
      </c>
      <c r="D1118" s="43" t="s">
        <v>6589</v>
      </c>
      <c r="E1118" s="109" t="s">
        <v>6590</v>
      </c>
      <c r="F1118" s="109" t="s">
        <v>6591</v>
      </c>
      <c r="G1118" s="43">
        <v>10</v>
      </c>
      <c r="H1118" s="43">
        <v>10</v>
      </c>
      <c r="I1118" s="147" t="s">
        <v>605</v>
      </c>
      <c r="J1118" s="43" t="s">
        <v>539</v>
      </c>
      <c r="K1118" s="43" t="s">
        <v>200</v>
      </c>
      <c r="L1118" s="23">
        <f t="shared" si="42"/>
        <v>3562.4999999999995</v>
      </c>
      <c r="M1118" s="23">
        <f t="shared" si="43"/>
        <v>427.49999999999994</v>
      </c>
      <c r="N1118" s="23">
        <v>3990</v>
      </c>
      <c r="O1118" s="53" t="s">
        <v>6592</v>
      </c>
      <c r="P1118" s="43" t="s">
        <v>2832</v>
      </c>
      <c r="Q1118" s="43" t="s">
        <v>225</v>
      </c>
      <c r="R1118" s="109" t="s">
        <v>6554</v>
      </c>
      <c r="S1118" s="52"/>
    </row>
    <row r="1119" spans="1:19" x14ac:dyDescent="0.3">
      <c r="A1119" s="50">
        <v>45414</v>
      </c>
      <c r="B1119" s="25" t="s">
        <v>6593</v>
      </c>
      <c r="C1119" s="43" t="s">
        <v>6594</v>
      </c>
      <c r="D1119" s="43" t="s">
        <v>6595</v>
      </c>
      <c r="E1119" s="109" t="s">
        <v>6596</v>
      </c>
      <c r="F1119" s="109" t="s">
        <v>6597</v>
      </c>
      <c r="G1119" s="43">
        <v>6</v>
      </c>
      <c r="H1119" s="43">
        <v>6</v>
      </c>
      <c r="I1119" s="147" t="s">
        <v>617</v>
      </c>
      <c r="J1119" s="43" t="s">
        <v>539</v>
      </c>
      <c r="K1119" s="43" t="s">
        <v>1586</v>
      </c>
      <c r="L1119" s="23">
        <f t="shared" si="42"/>
        <v>892.85714285714278</v>
      </c>
      <c r="M1119" s="23">
        <f t="shared" si="43"/>
        <v>107.14285714285712</v>
      </c>
      <c r="N1119" s="23">
        <v>1000</v>
      </c>
      <c r="O1119" s="53" t="s">
        <v>6598</v>
      </c>
      <c r="P1119" s="43" t="s">
        <v>5743</v>
      </c>
      <c r="Q1119" s="43" t="s">
        <v>6586</v>
      </c>
      <c r="R1119" s="109" t="s">
        <v>6599</v>
      </c>
      <c r="S1119" s="52"/>
    </row>
    <row r="1120" spans="1:19" x14ac:dyDescent="0.3">
      <c r="A1120" s="50">
        <v>45414</v>
      </c>
      <c r="B1120" s="25" t="s">
        <v>6600</v>
      </c>
      <c r="C1120" s="43" t="s">
        <v>2898</v>
      </c>
      <c r="D1120" s="43" t="s">
        <v>6601</v>
      </c>
      <c r="E1120" s="109" t="s">
        <v>6602</v>
      </c>
      <c r="F1120" s="109" t="s">
        <v>6603</v>
      </c>
      <c r="G1120" s="43">
        <v>8</v>
      </c>
      <c r="H1120" s="43">
        <v>5</v>
      </c>
      <c r="I1120" s="147" t="s">
        <v>617</v>
      </c>
      <c r="J1120" s="43" t="s">
        <v>539</v>
      </c>
      <c r="K1120" s="43" t="s">
        <v>200</v>
      </c>
      <c r="L1120" s="23">
        <f t="shared" si="42"/>
        <v>1776.7857142857142</v>
      </c>
      <c r="M1120" s="23">
        <f t="shared" si="43"/>
        <v>213.21428571428569</v>
      </c>
      <c r="N1120" s="23">
        <v>1990</v>
      </c>
      <c r="O1120" s="53" t="s">
        <v>6604</v>
      </c>
      <c r="P1120" s="43" t="s">
        <v>6059</v>
      </c>
      <c r="Q1120" s="43" t="s">
        <v>6605</v>
      </c>
      <c r="R1120" s="109" t="s">
        <v>6606</v>
      </c>
      <c r="S1120" s="52"/>
    </row>
    <row r="1121" spans="1:19" x14ac:dyDescent="0.3">
      <c r="A1121" s="50">
        <v>45415</v>
      </c>
      <c r="B1121" s="25" t="s">
        <v>6607</v>
      </c>
      <c r="C1121" s="43" t="s">
        <v>3524</v>
      </c>
      <c r="D1121" s="43" t="s">
        <v>6608</v>
      </c>
      <c r="E1121" s="109" t="s">
        <v>6609</v>
      </c>
      <c r="F1121" s="109" t="s">
        <v>6610</v>
      </c>
      <c r="G1121" s="43">
        <v>5</v>
      </c>
      <c r="H1121" s="43">
        <v>4</v>
      </c>
      <c r="I1121" s="147" t="s">
        <v>617</v>
      </c>
      <c r="J1121" s="43" t="s">
        <v>539</v>
      </c>
      <c r="K1121" s="43" t="s">
        <v>200</v>
      </c>
      <c r="L1121" s="23">
        <f t="shared" si="42"/>
        <v>1071.4285714285713</v>
      </c>
      <c r="M1121" s="23">
        <f t="shared" si="43"/>
        <v>128.57142857142856</v>
      </c>
      <c r="N1121" s="23">
        <v>1200</v>
      </c>
      <c r="O1121" s="53" t="s">
        <v>6611</v>
      </c>
      <c r="P1121" s="43" t="s">
        <v>1482</v>
      </c>
      <c r="Q1121" s="43" t="s">
        <v>3026</v>
      </c>
      <c r="R1121" s="109" t="s">
        <v>6561</v>
      </c>
      <c r="S1121" s="52"/>
    </row>
    <row r="1122" spans="1:19" x14ac:dyDescent="0.3">
      <c r="A1122" s="50">
        <v>45415</v>
      </c>
      <c r="B1122" s="25" t="s">
        <v>6612</v>
      </c>
      <c r="C1122" s="43" t="s">
        <v>6613</v>
      </c>
      <c r="D1122" s="43" t="s">
        <v>6614</v>
      </c>
      <c r="E1122" s="109" t="s">
        <v>6615</v>
      </c>
      <c r="F1122" s="109" t="s">
        <v>6616</v>
      </c>
      <c r="G1122" s="43">
        <v>5</v>
      </c>
      <c r="H1122" s="43">
        <v>3</v>
      </c>
      <c r="I1122" s="147" t="s">
        <v>617</v>
      </c>
      <c r="J1122" s="43" t="s">
        <v>539</v>
      </c>
      <c r="K1122" s="43" t="s">
        <v>200</v>
      </c>
      <c r="L1122" s="23">
        <f t="shared" si="42"/>
        <v>937.49999999999989</v>
      </c>
      <c r="M1122" s="23">
        <f t="shared" si="43"/>
        <v>112.49999999999999</v>
      </c>
      <c r="N1122" s="23">
        <v>1050</v>
      </c>
      <c r="O1122" s="53" t="s">
        <v>6617</v>
      </c>
      <c r="P1122" s="43" t="s">
        <v>1482</v>
      </c>
      <c r="Q1122" s="43" t="s">
        <v>225</v>
      </c>
      <c r="R1122" s="109" t="s">
        <v>6606</v>
      </c>
      <c r="S1122" s="52"/>
    </row>
    <row r="1123" spans="1:19" x14ac:dyDescent="0.3">
      <c r="A1123" s="50">
        <v>45416</v>
      </c>
      <c r="B1123" s="25" t="s">
        <v>6618</v>
      </c>
      <c r="C1123" s="43" t="s">
        <v>6619</v>
      </c>
      <c r="D1123" s="43" t="s">
        <v>6620</v>
      </c>
      <c r="E1123" s="109" t="s">
        <v>6621</v>
      </c>
      <c r="F1123" s="109" t="s">
        <v>6622</v>
      </c>
      <c r="G1123" s="43">
        <v>6</v>
      </c>
      <c r="H1123" s="43">
        <v>6</v>
      </c>
      <c r="I1123" s="147" t="s">
        <v>605</v>
      </c>
      <c r="J1123" s="43" t="s">
        <v>539</v>
      </c>
      <c r="K1123" s="43" t="s">
        <v>200</v>
      </c>
      <c r="L1123" s="23">
        <f t="shared" si="42"/>
        <v>1160.7142857142856</v>
      </c>
      <c r="M1123" s="23">
        <f t="shared" si="43"/>
        <v>139.28571428571425</v>
      </c>
      <c r="N1123" s="23">
        <v>1300</v>
      </c>
      <c r="O1123" s="53" t="s">
        <v>6623</v>
      </c>
      <c r="P1123" s="43" t="s">
        <v>6428</v>
      </c>
      <c r="Q1123" s="43" t="s">
        <v>6586</v>
      </c>
      <c r="R1123" s="109" t="s">
        <v>6606</v>
      </c>
      <c r="S1123" s="52"/>
    </row>
    <row r="1124" spans="1:19" x14ac:dyDescent="0.3">
      <c r="A1124" s="50">
        <v>45419</v>
      </c>
      <c r="B1124" s="25" t="s">
        <v>6624</v>
      </c>
      <c r="C1124" s="43" t="s">
        <v>6307</v>
      </c>
      <c r="D1124" s="43" t="s">
        <v>6625</v>
      </c>
      <c r="E1124" s="109" t="s">
        <v>6626</v>
      </c>
      <c r="F1124" s="109" t="s">
        <v>6627</v>
      </c>
      <c r="G1124" s="43">
        <v>8</v>
      </c>
      <c r="H1124" s="43">
        <v>5</v>
      </c>
      <c r="I1124" s="147" t="s">
        <v>605</v>
      </c>
      <c r="J1124" s="43" t="s">
        <v>539</v>
      </c>
      <c r="K1124" s="43" t="s">
        <v>1518</v>
      </c>
      <c r="L1124" s="23">
        <f t="shared" si="42"/>
        <v>1339.2857142857142</v>
      </c>
      <c r="M1124" s="23">
        <f t="shared" si="43"/>
        <v>160.71428571428569</v>
      </c>
      <c r="N1124" s="23">
        <v>1500</v>
      </c>
      <c r="O1124" s="53" t="s">
        <v>6628</v>
      </c>
      <c r="P1124" s="43" t="s">
        <v>2832</v>
      </c>
      <c r="Q1124" s="43" t="s">
        <v>340</v>
      </c>
      <c r="R1124" s="109" t="s">
        <v>6606</v>
      </c>
      <c r="S1124" s="52"/>
    </row>
    <row r="1125" spans="1:19" x14ac:dyDescent="0.3">
      <c r="A1125" s="50">
        <v>45419</v>
      </c>
      <c r="B1125" s="25" t="s">
        <v>6629</v>
      </c>
      <c r="C1125" s="43" t="s">
        <v>6630</v>
      </c>
      <c r="D1125" s="43" t="s">
        <v>6631</v>
      </c>
      <c r="E1125" s="109" t="s">
        <v>6632</v>
      </c>
      <c r="F1125" s="109" t="s">
        <v>6633</v>
      </c>
      <c r="G1125" s="43">
        <v>7</v>
      </c>
      <c r="H1125" s="43">
        <v>6</v>
      </c>
      <c r="I1125" s="147" t="s">
        <v>617</v>
      </c>
      <c r="J1125" s="43" t="s">
        <v>539</v>
      </c>
      <c r="K1125" s="43" t="s">
        <v>2488</v>
      </c>
      <c r="L1125" s="23">
        <f t="shared" si="42"/>
        <v>1776.7857142857142</v>
      </c>
      <c r="M1125" s="23">
        <f t="shared" si="43"/>
        <v>213.21428571428569</v>
      </c>
      <c r="N1125" s="23">
        <v>1990</v>
      </c>
      <c r="O1125" s="53" t="s">
        <v>6634</v>
      </c>
      <c r="P1125" s="43" t="s">
        <v>6428</v>
      </c>
      <c r="Q1125" s="43" t="s">
        <v>225</v>
      </c>
      <c r="R1125" s="109" t="s">
        <v>6561</v>
      </c>
      <c r="S1125" s="52"/>
    </row>
    <row r="1126" spans="1:19" x14ac:dyDescent="0.3">
      <c r="A1126" s="50">
        <v>45419</v>
      </c>
      <c r="B1126" s="25" t="s">
        <v>6635</v>
      </c>
      <c r="C1126" s="43" t="s">
        <v>842</v>
      </c>
      <c r="D1126" s="43" t="s">
        <v>6636</v>
      </c>
      <c r="E1126" s="109" t="s">
        <v>6637</v>
      </c>
      <c r="F1126" s="109" t="s">
        <v>6638</v>
      </c>
      <c r="G1126" s="43">
        <v>5</v>
      </c>
      <c r="H1126" s="43">
        <v>4</v>
      </c>
      <c r="I1126" s="147" t="s">
        <v>605</v>
      </c>
      <c r="J1126" s="43" t="s">
        <v>539</v>
      </c>
      <c r="K1126" s="43" t="s">
        <v>200</v>
      </c>
      <c r="L1126" s="23">
        <f t="shared" si="42"/>
        <v>624.99999999999989</v>
      </c>
      <c r="M1126" s="23">
        <f t="shared" si="43"/>
        <v>74.999999999999986</v>
      </c>
      <c r="N1126" s="23">
        <v>700</v>
      </c>
      <c r="O1126" s="53">
        <v>0</v>
      </c>
      <c r="P1126" s="43" t="s">
        <v>65</v>
      </c>
      <c r="Q1126" s="43" t="s">
        <v>65</v>
      </c>
      <c r="R1126" s="109" t="s">
        <v>6554</v>
      </c>
      <c r="S1126" s="52"/>
    </row>
    <row r="1127" spans="1:19" x14ac:dyDescent="0.3">
      <c r="A1127" s="50">
        <v>45419</v>
      </c>
      <c r="B1127" s="25" t="s">
        <v>6639</v>
      </c>
      <c r="C1127" s="43" t="s">
        <v>4459</v>
      </c>
      <c r="D1127" s="43" t="s">
        <v>6640</v>
      </c>
      <c r="E1127" s="109" t="s">
        <v>6641</v>
      </c>
      <c r="F1127" s="109" t="s">
        <v>6642</v>
      </c>
      <c r="G1127" s="43">
        <v>4</v>
      </c>
      <c r="H1127" s="43">
        <v>2</v>
      </c>
      <c r="I1127" s="147" t="s">
        <v>605</v>
      </c>
      <c r="J1127" s="43" t="s">
        <v>539</v>
      </c>
      <c r="K1127" s="43" t="s">
        <v>200</v>
      </c>
      <c r="L1127" s="23">
        <f t="shared" si="42"/>
        <v>624.99999999999989</v>
      </c>
      <c r="M1127" s="23">
        <f t="shared" si="43"/>
        <v>74.999999999999986</v>
      </c>
      <c r="N1127" s="23">
        <v>700</v>
      </c>
      <c r="O1127" s="53">
        <v>0</v>
      </c>
      <c r="P1127" s="43" t="s">
        <v>5743</v>
      </c>
      <c r="Q1127" s="43" t="s">
        <v>3026</v>
      </c>
      <c r="R1127" s="109" t="s">
        <v>6554</v>
      </c>
      <c r="S1127" s="52"/>
    </row>
    <row r="1128" spans="1:19" x14ac:dyDescent="0.3">
      <c r="A1128" s="50">
        <v>45419</v>
      </c>
      <c r="B1128" s="25" t="s">
        <v>6643</v>
      </c>
      <c r="C1128" s="43" t="s">
        <v>3524</v>
      </c>
      <c r="D1128" s="43" t="s">
        <v>6644</v>
      </c>
      <c r="E1128" s="109" t="s">
        <v>6645</v>
      </c>
      <c r="F1128" s="109" t="s">
        <v>6646</v>
      </c>
      <c r="G1128" s="43">
        <v>5</v>
      </c>
      <c r="H1128" s="43">
        <v>3</v>
      </c>
      <c r="I1128" s="147" t="s">
        <v>617</v>
      </c>
      <c r="J1128" s="43" t="s">
        <v>539</v>
      </c>
      <c r="K1128" s="43" t="s">
        <v>200</v>
      </c>
      <c r="L1128" s="23">
        <f t="shared" si="42"/>
        <v>946.42857142857133</v>
      </c>
      <c r="M1128" s="23">
        <f t="shared" si="43"/>
        <v>113.57142857142856</v>
      </c>
      <c r="N1128" s="23">
        <v>1060</v>
      </c>
      <c r="O1128" s="53" t="s">
        <v>6647</v>
      </c>
      <c r="P1128" s="43" t="s">
        <v>2832</v>
      </c>
      <c r="Q1128" s="43" t="s">
        <v>6553</v>
      </c>
      <c r="R1128" s="109" t="s">
        <v>6561</v>
      </c>
      <c r="S1128" s="52"/>
    </row>
    <row r="1129" spans="1:19" x14ac:dyDescent="0.3">
      <c r="A1129" s="50">
        <v>45419</v>
      </c>
      <c r="B1129" s="25" t="s">
        <v>6648</v>
      </c>
      <c r="C1129" s="43" t="s">
        <v>6649</v>
      </c>
      <c r="D1129" s="43" t="s">
        <v>6650</v>
      </c>
      <c r="E1129" s="109" t="s">
        <v>6651</v>
      </c>
      <c r="F1129" s="109" t="s">
        <v>6652</v>
      </c>
      <c r="G1129" s="43">
        <v>5</v>
      </c>
      <c r="H1129" s="43">
        <v>3</v>
      </c>
      <c r="I1129" s="147" t="s">
        <v>605</v>
      </c>
      <c r="J1129" s="43" t="s">
        <v>539</v>
      </c>
      <c r="K1129" s="43" t="s">
        <v>200</v>
      </c>
      <c r="L1129" s="23">
        <f t="shared" si="42"/>
        <v>892.85714285714278</v>
      </c>
      <c r="M1129" s="23">
        <f t="shared" si="43"/>
        <v>107.14285714285712</v>
      </c>
      <c r="N1129" s="23">
        <v>1000</v>
      </c>
      <c r="O1129" s="53" t="s">
        <v>6653</v>
      </c>
      <c r="P1129" s="43" t="s">
        <v>335</v>
      </c>
      <c r="Q1129" s="43" t="s">
        <v>6654</v>
      </c>
      <c r="R1129" s="109" t="s">
        <v>6655</v>
      </c>
      <c r="S1129" s="52"/>
    </row>
    <row r="1130" spans="1:19" x14ac:dyDescent="0.3">
      <c r="A1130" s="50">
        <v>45420</v>
      </c>
      <c r="B1130" s="25" t="s">
        <v>6656</v>
      </c>
      <c r="C1130" s="43"/>
      <c r="D1130" s="43"/>
      <c r="E1130" s="109"/>
      <c r="F1130" s="109"/>
      <c r="G1130" s="43"/>
      <c r="H1130" s="43"/>
      <c r="I1130" s="147"/>
      <c r="J1130" s="43"/>
      <c r="K1130" s="43"/>
      <c r="L1130" s="23">
        <f t="shared" si="42"/>
        <v>0</v>
      </c>
      <c r="M1130" s="23">
        <f t="shared" si="43"/>
        <v>0</v>
      </c>
      <c r="N1130" s="23">
        <v>0</v>
      </c>
      <c r="O1130" s="53"/>
      <c r="P1130" s="43"/>
      <c r="Q1130" s="43"/>
      <c r="R1130" s="28"/>
      <c r="S1130" s="52"/>
    </row>
    <row r="1131" spans="1:19" x14ac:dyDescent="0.3">
      <c r="A1131" s="50">
        <v>45420</v>
      </c>
      <c r="B1131" s="25" t="s">
        <v>6657</v>
      </c>
      <c r="C1131" s="25" t="s">
        <v>6658</v>
      </c>
      <c r="D1131" s="25" t="s">
        <v>6659</v>
      </c>
      <c r="E1131" s="135" t="s">
        <v>6660</v>
      </c>
      <c r="F1131" s="135" t="s">
        <v>6661</v>
      </c>
      <c r="G1131" s="26">
        <v>7</v>
      </c>
      <c r="H1131" s="26">
        <v>3</v>
      </c>
      <c r="I1131" s="26" t="s">
        <v>605</v>
      </c>
      <c r="J1131" s="26" t="s">
        <v>539</v>
      </c>
      <c r="K1131" s="26" t="s">
        <v>2488</v>
      </c>
      <c r="L1131" s="23">
        <f t="shared" si="42"/>
        <v>1160.7142857142856</v>
      </c>
      <c r="M1131" s="23">
        <f t="shared" si="43"/>
        <v>139.28571428571425</v>
      </c>
      <c r="N1131" s="286">
        <v>1300</v>
      </c>
      <c r="O1131" s="27" t="s">
        <v>6662</v>
      </c>
      <c r="P1131" s="25" t="s">
        <v>782</v>
      </c>
      <c r="Q1131" s="25" t="s">
        <v>782</v>
      </c>
      <c r="R1131" s="109" t="s">
        <v>6599</v>
      </c>
      <c r="S1131" s="25"/>
    </row>
    <row r="1132" spans="1:19" x14ac:dyDescent="0.3">
      <c r="A1132" s="50">
        <v>45420</v>
      </c>
      <c r="B1132" s="25" t="s">
        <v>6663</v>
      </c>
      <c r="C1132" s="25" t="s">
        <v>6664</v>
      </c>
      <c r="D1132" s="25" t="s">
        <v>6665</v>
      </c>
      <c r="E1132" s="135" t="s">
        <v>6666</v>
      </c>
      <c r="F1132" s="135" t="s">
        <v>6667</v>
      </c>
      <c r="G1132" s="26">
        <v>10</v>
      </c>
      <c r="H1132" s="26">
        <v>10</v>
      </c>
      <c r="I1132" s="26" t="s">
        <v>605</v>
      </c>
      <c r="J1132" s="26" t="s">
        <v>539</v>
      </c>
      <c r="K1132" s="26" t="s">
        <v>200</v>
      </c>
      <c r="L1132" s="23">
        <f t="shared" si="42"/>
        <v>5348.2142857142853</v>
      </c>
      <c r="M1132" s="23">
        <f t="shared" si="43"/>
        <v>641.78571428571422</v>
      </c>
      <c r="N1132" s="286">
        <v>5990</v>
      </c>
      <c r="O1132" s="27" t="s">
        <v>6668</v>
      </c>
      <c r="P1132" s="25" t="s">
        <v>1482</v>
      </c>
      <c r="Q1132" s="25" t="s">
        <v>3026</v>
      </c>
      <c r="R1132" s="28" t="s">
        <v>6561</v>
      </c>
      <c r="S1132" s="25"/>
    </row>
    <row r="1133" spans="1:19" x14ac:dyDescent="0.3">
      <c r="A1133" s="50">
        <v>45421</v>
      </c>
      <c r="B1133" s="25" t="s">
        <v>6669</v>
      </c>
      <c r="C1133" s="43" t="s">
        <v>6670</v>
      </c>
      <c r="D1133" s="43" t="s">
        <v>6671</v>
      </c>
      <c r="E1133" s="109" t="s">
        <v>6672</v>
      </c>
      <c r="F1133" s="109" t="s">
        <v>6673</v>
      </c>
      <c r="G1133" s="43">
        <v>7</v>
      </c>
      <c r="H1133" s="43">
        <v>5</v>
      </c>
      <c r="I1133" s="147" t="s">
        <v>605</v>
      </c>
      <c r="J1133" s="43" t="s">
        <v>539</v>
      </c>
      <c r="K1133" s="43" t="s">
        <v>200</v>
      </c>
      <c r="L1133" s="23">
        <f t="shared" si="42"/>
        <v>1071.4285714285713</v>
      </c>
      <c r="M1133" s="23">
        <f t="shared" si="43"/>
        <v>128.57142857142856</v>
      </c>
      <c r="N1133" s="23">
        <v>1200</v>
      </c>
      <c r="O1133" s="53" t="s">
        <v>6674</v>
      </c>
      <c r="P1133" s="43" t="s">
        <v>2832</v>
      </c>
      <c r="Q1133" s="43" t="s">
        <v>3026</v>
      </c>
      <c r="R1133" s="28" t="s">
        <v>6606</v>
      </c>
      <c r="S1133" s="52"/>
    </row>
    <row r="1134" spans="1:19" x14ac:dyDescent="0.3">
      <c r="A1134" s="50">
        <v>45421</v>
      </c>
      <c r="B1134" s="25" t="s">
        <v>6675</v>
      </c>
      <c r="C1134" s="43" t="s">
        <v>6676</v>
      </c>
      <c r="D1134" s="43" t="s">
        <v>6677</v>
      </c>
      <c r="E1134" s="109" t="s">
        <v>6678</v>
      </c>
      <c r="F1134" s="109" t="s">
        <v>6679</v>
      </c>
      <c r="G1134" s="43">
        <v>6</v>
      </c>
      <c r="H1134" s="43">
        <v>3</v>
      </c>
      <c r="I1134" s="147" t="s">
        <v>605</v>
      </c>
      <c r="J1134" s="43" t="s">
        <v>539</v>
      </c>
      <c r="K1134" s="43" t="s">
        <v>200</v>
      </c>
      <c r="L1134" s="23">
        <f t="shared" si="42"/>
        <v>1071.4285714285713</v>
      </c>
      <c r="M1134" s="23">
        <f t="shared" si="43"/>
        <v>128.57142857142856</v>
      </c>
      <c r="N1134" s="23">
        <v>1200</v>
      </c>
      <c r="O1134" s="53" t="s">
        <v>6680</v>
      </c>
      <c r="P1134" s="43" t="s">
        <v>335</v>
      </c>
      <c r="Q1134" s="43" t="s">
        <v>225</v>
      </c>
      <c r="R1134" s="109" t="s">
        <v>6554</v>
      </c>
      <c r="S1134" s="52"/>
    </row>
    <row r="1135" spans="1:19" x14ac:dyDescent="0.3">
      <c r="A1135" s="50">
        <v>45421</v>
      </c>
      <c r="B1135" s="25" t="s">
        <v>6681</v>
      </c>
      <c r="C1135" s="43" t="s">
        <v>6682</v>
      </c>
      <c r="D1135" s="43" t="s">
        <v>6683</v>
      </c>
      <c r="E1135" s="109" t="s">
        <v>6684</v>
      </c>
      <c r="F1135" s="109" t="s">
        <v>6685</v>
      </c>
      <c r="G1135" s="43">
        <v>6</v>
      </c>
      <c r="H1135" s="43">
        <v>3</v>
      </c>
      <c r="I1135" s="147" t="s">
        <v>605</v>
      </c>
      <c r="J1135" s="43" t="s">
        <v>539</v>
      </c>
      <c r="K1135" s="43" t="s">
        <v>199</v>
      </c>
      <c r="L1135" s="23">
        <f t="shared" si="42"/>
        <v>892.85714285714278</v>
      </c>
      <c r="M1135" s="23">
        <f t="shared" si="43"/>
        <v>107.14285714285712</v>
      </c>
      <c r="N1135" s="23">
        <v>1000</v>
      </c>
      <c r="O1135" s="53" t="s">
        <v>6686</v>
      </c>
      <c r="P1135" s="43" t="s">
        <v>335</v>
      </c>
      <c r="Q1135" s="43" t="s">
        <v>6687</v>
      </c>
      <c r="R1135" s="109" t="s">
        <v>6554</v>
      </c>
      <c r="S1135" s="52"/>
    </row>
    <row r="1136" spans="1:19" x14ac:dyDescent="0.3">
      <c r="A1136" s="50">
        <v>45422</v>
      </c>
      <c r="B1136" s="25" t="s">
        <v>6688</v>
      </c>
      <c r="C1136" s="43" t="s">
        <v>6689</v>
      </c>
      <c r="D1136" s="43" t="s">
        <v>6690</v>
      </c>
      <c r="E1136" s="109" t="s">
        <v>6691</v>
      </c>
      <c r="F1136" s="109" t="s">
        <v>6692</v>
      </c>
      <c r="G1136" s="43">
        <v>4</v>
      </c>
      <c r="H1136" s="43">
        <v>4</v>
      </c>
      <c r="I1136" s="147" t="s">
        <v>605</v>
      </c>
      <c r="J1136" s="43" t="s">
        <v>539</v>
      </c>
      <c r="K1136" s="43" t="s">
        <v>1586</v>
      </c>
      <c r="L1136" s="23">
        <f t="shared" si="42"/>
        <v>892.85714285714278</v>
      </c>
      <c r="M1136" s="23">
        <f t="shared" si="43"/>
        <v>107.14285714285712</v>
      </c>
      <c r="N1136" s="23">
        <v>1000</v>
      </c>
      <c r="O1136" s="53" t="s">
        <v>6693</v>
      </c>
      <c r="P1136" s="43" t="s">
        <v>1482</v>
      </c>
      <c r="Q1136" s="43" t="s">
        <v>3026</v>
      </c>
      <c r="R1136" s="109" t="s">
        <v>6554</v>
      </c>
      <c r="S1136" s="52"/>
    </row>
    <row r="1137" spans="1:19" x14ac:dyDescent="0.3">
      <c r="A1137" s="50">
        <v>45422</v>
      </c>
      <c r="B1137" s="25" t="s">
        <v>6694</v>
      </c>
      <c r="C1137" s="43" t="s">
        <v>6695</v>
      </c>
      <c r="D1137" s="43" t="s">
        <v>6696</v>
      </c>
      <c r="E1137" s="109" t="s">
        <v>6697</v>
      </c>
      <c r="F1137" s="109" t="s">
        <v>6698</v>
      </c>
      <c r="G1137" s="43">
        <v>5</v>
      </c>
      <c r="H1137" s="43">
        <v>3</v>
      </c>
      <c r="I1137" s="147" t="s">
        <v>605</v>
      </c>
      <c r="J1137" s="43" t="s">
        <v>539</v>
      </c>
      <c r="K1137" s="43" t="s">
        <v>1518</v>
      </c>
      <c r="L1137" s="23">
        <f t="shared" si="42"/>
        <v>714.28571428571422</v>
      </c>
      <c r="M1137" s="23">
        <f t="shared" si="43"/>
        <v>85.714285714285708</v>
      </c>
      <c r="N1137" s="23">
        <v>800</v>
      </c>
      <c r="O1137" s="53" t="s">
        <v>6699</v>
      </c>
      <c r="P1137" s="43" t="s">
        <v>5743</v>
      </c>
      <c r="Q1137" s="43" t="s">
        <v>65</v>
      </c>
      <c r="R1137" s="109" t="s">
        <v>6599</v>
      </c>
      <c r="S1137" s="52"/>
    </row>
    <row r="1138" spans="1:19" x14ac:dyDescent="0.3">
      <c r="A1138" s="50">
        <v>45422</v>
      </c>
      <c r="B1138" s="25" t="s">
        <v>6700</v>
      </c>
      <c r="C1138" s="43" t="s">
        <v>6701</v>
      </c>
      <c r="D1138" s="43" t="s">
        <v>6702</v>
      </c>
      <c r="E1138" s="109" t="s">
        <v>6703</v>
      </c>
      <c r="F1138" s="109" t="s">
        <v>6704</v>
      </c>
      <c r="G1138" s="43">
        <v>10</v>
      </c>
      <c r="H1138" s="43">
        <v>10</v>
      </c>
      <c r="I1138" s="147" t="s">
        <v>617</v>
      </c>
      <c r="J1138" s="43" t="s">
        <v>539</v>
      </c>
      <c r="K1138" s="43" t="s">
        <v>199</v>
      </c>
      <c r="L1138" s="23">
        <f t="shared" si="42"/>
        <v>2669.6428571428569</v>
      </c>
      <c r="M1138" s="23">
        <f t="shared" si="43"/>
        <v>320.35714285714283</v>
      </c>
      <c r="N1138" s="23">
        <v>2990</v>
      </c>
      <c r="O1138" s="53" t="s">
        <v>6705</v>
      </c>
      <c r="P1138" s="43" t="s">
        <v>6428</v>
      </c>
      <c r="Q1138" s="43" t="s">
        <v>340</v>
      </c>
      <c r="R1138" s="109" t="s">
        <v>6606</v>
      </c>
      <c r="S1138" s="52"/>
    </row>
    <row r="1139" spans="1:19" x14ac:dyDescent="0.3">
      <c r="A1139" s="50">
        <v>45422</v>
      </c>
      <c r="B1139" s="25" t="s">
        <v>6706</v>
      </c>
      <c r="C1139" s="43" t="s">
        <v>5972</v>
      </c>
      <c r="D1139" s="43" t="s">
        <v>6707</v>
      </c>
      <c r="E1139" s="109" t="s">
        <v>6708</v>
      </c>
      <c r="F1139" s="109" t="s">
        <v>6709</v>
      </c>
      <c r="G1139" s="43">
        <v>5</v>
      </c>
      <c r="H1139" s="43">
        <v>2</v>
      </c>
      <c r="I1139" s="147" t="s">
        <v>605</v>
      </c>
      <c r="J1139" s="43" t="s">
        <v>539</v>
      </c>
      <c r="K1139" s="43" t="s">
        <v>200</v>
      </c>
      <c r="L1139" s="23">
        <f t="shared" si="42"/>
        <v>624.99999999999989</v>
      </c>
      <c r="M1139" s="23">
        <f t="shared" si="43"/>
        <v>74.999999999999986</v>
      </c>
      <c r="N1139" s="23">
        <v>700</v>
      </c>
      <c r="O1139" s="53" t="s">
        <v>6710</v>
      </c>
      <c r="P1139" s="43" t="s">
        <v>1482</v>
      </c>
      <c r="Q1139" s="43" t="s">
        <v>3026</v>
      </c>
      <c r="R1139" s="109" t="s">
        <v>6606</v>
      </c>
      <c r="S1139" s="52"/>
    </row>
    <row r="1140" spans="1:19" x14ac:dyDescent="0.3">
      <c r="A1140" s="50">
        <v>45423</v>
      </c>
      <c r="B1140" s="25" t="s">
        <v>6711</v>
      </c>
      <c r="C1140" s="43" t="s">
        <v>6712</v>
      </c>
      <c r="D1140" s="43" t="s">
        <v>6713</v>
      </c>
      <c r="E1140" s="109" t="s">
        <v>6714</v>
      </c>
      <c r="F1140" s="109" t="s">
        <v>6715</v>
      </c>
      <c r="G1140" s="43">
        <v>5</v>
      </c>
      <c r="H1140" s="43">
        <v>5</v>
      </c>
      <c r="I1140" s="147" t="s">
        <v>6716</v>
      </c>
      <c r="J1140" s="43" t="s">
        <v>539</v>
      </c>
      <c r="K1140" s="43" t="s">
        <v>199</v>
      </c>
      <c r="L1140" s="23">
        <f t="shared" si="42"/>
        <v>1776.7857142857142</v>
      </c>
      <c r="M1140" s="23">
        <f t="shared" si="43"/>
        <v>213.21428571428569</v>
      </c>
      <c r="N1140" s="23">
        <v>1990</v>
      </c>
      <c r="O1140" s="53" t="s">
        <v>6717</v>
      </c>
      <c r="P1140" s="43" t="s">
        <v>6428</v>
      </c>
      <c r="Q1140" s="43" t="s">
        <v>2022</v>
      </c>
      <c r="R1140" s="109" t="s">
        <v>6606</v>
      </c>
      <c r="S1140" s="52"/>
    </row>
    <row r="1141" spans="1:19" x14ac:dyDescent="0.3">
      <c r="A1141" s="50">
        <v>45423</v>
      </c>
      <c r="B1141" s="25" t="s">
        <v>6718</v>
      </c>
      <c r="C1141" s="43" t="s">
        <v>410</v>
      </c>
      <c r="D1141" s="43" t="s">
        <v>6719</v>
      </c>
      <c r="E1141" s="109" t="s">
        <v>6720</v>
      </c>
      <c r="F1141" s="109" t="s">
        <v>6721</v>
      </c>
      <c r="G1141" s="43">
        <v>7</v>
      </c>
      <c r="H1141" s="43">
        <v>5</v>
      </c>
      <c r="I1141" s="147" t="s">
        <v>605</v>
      </c>
      <c r="J1141" s="43" t="s">
        <v>539</v>
      </c>
      <c r="K1141" s="43" t="s">
        <v>200</v>
      </c>
      <c r="L1141" s="23">
        <f t="shared" si="42"/>
        <v>1339.2857142857142</v>
      </c>
      <c r="M1141" s="23">
        <f t="shared" si="43"/>
        <v>160.71428571428569</v>
      </c>
      <c r="N1141" s="23">
        <v>1500</v>
      </c>
      <c r="O1141" s="53" t="s">
        <v>6722</v>
      </c>
      <c r="P1141" s="43" t="s">
        <v>1482</v>
      </c>
      <c r="Q1141" s="43" t="s">
        <v>3026</v>
      </c>
      <c r="R1141" s="109" t="s">
        <v>6599</v>
      </c>
      <c r="S1141" s="52"/>
    </row>
    <row r="1142" spans="1:19" x14ac:dyDescent="0.3">
      <c r="A1142" s="50">
        <v>45423</v>
      </c>
      <c r="B1142" s="25" t="s">
        <v>6723</v>
      </c>
      <c r="C1142" s="43" t="s">
        <v>6724</v>
      </c>
      <c r="D1142" s="43" t="s">
        <v>6725</v>
      </c>
      <c r="E1142" s="109" t="s">
        <v>6726</v>
      </c>
      <c r="F1142" s="109" t="s">
        <v>6727</v>
      </c>
      <c r="G1142" s="43">
        <v>5</v>
      </c>
      <c r="H1142" s="43">
        <v>3</v>
      </c>
      <c r="I1142" s="147" t="s">
        <v>605</v>
      </c>
      <c r="J1142" s="43" t="s">
        <v>539</v>
      </c>
      <c r="K1142" s="43" t="s">
        <v>199</v>
      </c>
      <c r="L1142" s="23">
        <f t="shared" si="42"/>
        <v>624.99999999999989</v>
      </c>
      <c r="M1142" s="23">
        <f t="shared" si="43"/>
        <v>74.999999999999986</v>
      </c>
      <c r="N1142" s="23">
        <v>700</v>
      </c>
      <c r="O1142" s="53" t="s">
        <v>6728</v>
      </c>
      <c r="P1142" s="43" t="s">
        <v>335</v>
      </c>
      <c r="Q1142" s="43" t="s">
        <v>65</v>
      </c>
      <c r="R1142" s="109" t="s">
        <v>6606</v>
      </c>
      <c r="S1142" s="52"/>
    </row>
    <row r="1143" spans="1:19" x14ac:dyDescent="0.3">
      <c r="A1143" s="50">
        <v>45423</v>
      </c>
      <c r="B1143" s="25" t="s">
        <v>6729</v>
      </c>
      <c r="C1143" s="43" t="s">
        <v>6730</v>
      </c>
      <c r="D1143" s="43" t="s">
        <v>6731</v>
      </c>
      <c r="E1143" s="109" t="s">
        <v>6732</v>
      </c>
      <c r="F1143" s="109" t="s">
        <v>6733</v>
      </c>
      <c r="G1143" s="43">
        <v>5</v>
      </c>
      <c r="H1143" s="43">
        <v>5</v>
      </c>
      <c r="I1143" s="147" t="s">
        <v>605</v>
      </c>
      <c r="J1143" s="43"/>
      <c r="K1143" s="43"/>
      <c r="L1143" s="23">
        <f t="shared" si="42"/>
        <v>0</v>
      </c>
      <c r="M1143" s="23">
        <f t="shared" si="43"/>
        <v>0</v>
      </c>
      <c r="N1143" s="23">
        <v>0</v>
      </c>
      <c r="O1143" s="53" t="s">
        <v>6734</v>
      </c>
      <c r="P1143" s="43" t="s">
        <v>1482</v>
      </c>
      <c r="Q1143" s="43" t="s">
        <v>3026</v>
      </c>
      <c r="R1143" s="109" t="s">
        <v>6606</v>
      </c>
      <c r="S1143" s="52"/>
    </row>
    <row r="1144" spans="1:19" x14ac:dyDescent="0.3">
      <c r="A1144" s="50">
        <v>45423</v>
      </c>
      <c r="B1144" s="25" t="s">
        <v>6735</v>
      </c>
      <c r="C1144" s="43" t="s">
        <v>6736</v>
      </c>
      <c r="D1144" s="43" t="s">
        <v>6737</v>
      </c>
      <c r="E1144" s="109" t="s">
        <v>6738</v>
      </c>
      <c r="F1144" s="109" t="s">
        <v>6739</v>
      </c>
      <c r="G1144" s="43">
        <v>5</v>
      </c>
      <c r="H1144" s="43">
        <v>5</v>
      </c>
      <c r="I1144" s="147" t="s">
        <v>605</v>
      </c>
      <c r="J1144" s="43" t="s">
        <v>539</v>
      </c>
      <c r="K1144" s="43" t="s">
        <v>200</v>
      </c>
      <c r="L1144" s="23">
        <f t="shared" si="42"/>
        <v>892.85714285714278</v>
      </c>
      <c r="M1144" s="23">
        <f t="shared" si="43"/>
        <v>107.14285714285712</v>
      </c>
      <c r="N1144" s="23">
        <v>1000</v>
      </c>
      <c r="O1144" s="53" t="s">
        <v>6740</v>
      </c>
      <c r="P1144" s="43" t="s">
        <v>6428</v>
      </c>
      <c r="Q1144" s="43" t="s">
        <v>2022</v>
      </c>
      <c r="R1144" s="109" t="s">
        <v>6606</v>
      </c>
      <c r="S1144" s="52"/>
    </row>
    <row r="1145" spans="1:19" x14ac:dyDescent="0.3">
      <c r="A1145" s="50">
        <v>45426</v>
      </c>
      <c r="B1145" s="25" t="s">
        <v>6741</v>
      </c>
      <c r="C1145" s="43" t="s">
        <v>6742</v>
      </c>
      <c r="D1145" s="43" t="s">
        <v>6743</v>
      </c>
      <c r="E1145" s="109" t="s">
        <v>6744</v>
      </c>
      <c r="F1145" s="109" t="s">
        <v>6745</v>
      </c>
      <c r="G1145" s="43">
        <v>7</v>
      </c>
      <c r="H1145" s="43">
        <v>5</v>
      </c>
      <c r="I1145" s="147" t="s">
        <v>605</v>
      </c>
      <c r="J1145" s="43" t="s">
        <v>539</v>
      </c>
      <c r="K1145" s="43" t="s">
        <v>2488</v>
      </c>
      <c r="L1145" s="23">
        <f t="shared" si="42"/>
        <v>1776.7857142857142</v>
      </c>
      <c r="M1145" s="23">
        <f t="shared" si="43"/>
        <v>213.21428571428569</v>
      </c>
      <c r="N1145" s="23">
        <v>1990</v>
      </c>
      <c r="O1145" s="53" t="s">
        <v>6746</v>
      </c>
      <c r="P1145" s="43" t="s">
        <v>1482</v>
      </c>
      <c r="Q1145" s="43" t="s">
        <v>3026</v>
      </c>
      <c r="R1145" s="109" t="s">
        <v>6655</v>
      </c>
      <c r="S1145" s="52"/>
    </row>
    <row r="1146" spans="1:19" x14ac:dyDescent="0.3">
      <c r="A1146" s="50">
        <v>45426</v>
      </c>
      <c r="B1146" s="25" t="s">
        <v>6747</v>
      </c>
      <c r="C1146" s="43" t="s">
        <v>6748</v>
      </c>
      <c r="D1146" s="43" t="s">
        <v>6749</v>
      </c>
      <c r="E1146" s="109" t="s">
        <v>6750</v>
      </c>
      <c r="F1146" s="109" t="s">
        <v>6751</v>
      </c>
      <c r="G1146" s="43">
        <v>7</v>
      </c>
      <c r="H1146" s="43">
        <v>5</v>
      </c>
      <c r="I1146" s="147" t="s">
        <v>617</v>
      </c>
      <c r="J1146" s="43" t="s">
        <v>539</v>
      </c>
      <c r="K1146" s="43" t="s">
        <v>199</v>
      </c>
      <c r="L1146" s="23">
        <f t="shared" si="42"/>
        <v>1776.7857142857142</v>
      </c>
      <c r="M1146" s="23">
        <f t="shared" si="43"/>
        <v>213.21428571428569</v>
      </c>
      <c r="N1146" s="23">
        <v>1990</v>
      </c>
      <c r="O1146" s="53" t="s">
        <v>6752</v>
      </c>
      <c r="P1146" s="43" t="s">
        <v>6428</v>
      </c>
      <c r="Q1146" s="43"/>
      <c r="R1146" s="109" t="s">
        <v>6606</v>
      </c>
      <c r="S1146" s="52"/>
    </row>
    <row r="1147" spans="1:19" x14ac:dyDescent="0.3">
      <c r="A1147" s="50">
        <v>45427</v>
      </c>
      <c r="B1147" s="25" t="s">
        <v>6753</v>
      </c>
      <c r="C1147" s="43" t="s">
        <v>6754</v>
      </c>
      <c r="D1147" s="43" t="s">
        <v>6755</v>
      </c>
      <c r="E1147" s="109" t="s">
        <v>6756</v>
      </c>
      <c r="F1147" s="109" t="s">
        <v>6757</v>
      </c>
      <c r="G1147" s="43">
        <v>7</v>
      </c>
      <c r="H1147" s="43">
        <v>3</v>
      </c>
      <c r="I1147" s="147" t="s">
        <v>605</v>
      </c>
      <c r="J1147" s="43" t="s">
        <v>539</v>
      </c>
      <c r="K1147" s="43" t="s">
        <v>200</v>
      </c>
      <c r="L1147" s="23">
        <f t="shared" si="42"/>
        <v>714.28571428571422</v>
      </c>
      <c r="M1147" s="23">
        <f t="shared" si="43"/>
        <v>85.714285714285708</v>
      </c>
      <c r="N1147" s="23">
        <v>800</v>
      </c>
      <c r="O1147" s="53" t="s">
        <v>6758</v>
      </c>
      <c r="P1147" s="43" t="s">
        <v>1482</v>
      </c>
      <c r="Q1147" s="43"/>
      <c r="R1147" s="109" t="s">
        <v>6655</v>
      </c>
      <c r="S1147" s="52"/>
    </row>
    <row r="1148" spans="1:19" x14ac:dyDescent="0.3">
      <c r="A1148" s="50">
        <v>45427</v>
      </c>
      <c r="B1148" s="25" t="s">
        <v>6759</v>
      </c>
      <c r="C1148" s="43" t="s">
        <v>6760</v>
      </c>
      <c r="D1148" s="43" t="s">
        <v>6761</v>
      </c>
      <c r="E1148" s="109" t="s">
        <v>6762</v>
      </c>
      <c r="F1148" s="109" t="s">
        <v>6763</v>
      </c>
      <c r="G1148" s="43">
        <v>5</v>
      </c>
      <c r="H1148" s="43">
        <v>3</v>
      </c>
      <c r="I1148" s="147" t="s">
        <v>605</v>
      </c>
      <c r="J1148" s="43" t="s">
        <v>539</v>
      </c>
      <c r="K1148" s="43" t="s">
        <v>2488</v>
      </c>
      <c r="L1148" s="23">
        <f t="shared" si="42"/>
        <v>714.28571428571422</v>
      </c>
      <c r="M1148" s="23">
        <f t="shared" si="43"/>
        <v>85.714285714285708</v>
      </c>
      <c r="N1148" s="23">
        <v>800</v>
      </c>
      <c r="O1148" s="53" t="s">
        <v>6764</v>
      </c>
      <c r="P1148" s="43" t="s">
        <v>2832</v>
      </c>
      <c r="Q1148" s="43" t="s">
        <v>358</v>
      </c>
      <c r="R1148" s="109" t="s">
        <v>6765</v>
      </c>
      <c r="S1148" s="52"/>
    </row>
    <row r="1149" spans="1:19" x14ac:dyDescent="0.3">
      <c r="A1149" s="50">
        <v>45427</v>
      </c>
      <c r="B1149" s="25" t="s">
        <v>6766</v>
      </c>
      <c r="C1149" s="43" t="s">
        <v>6767</v>
      </c>
      <c r="D1149" s="43" t="s">
        <v>6768</v>
      </c>
      <c r="E1149" s="109" t="s">
        <v>6769</v>
      </c>
      <c r="F1149" s="109" t="s">
        <v>6770</v>
      </c>
      <c r="G1149" s="43">
        <v>6</v>
      </c>
      <c r="H1149" s="43">
        <v>2</v>
      </c>
      <c r="I1149" s="147" t="s">
        <v>605</v>
      </c>
      <c r="J1149" s="43" t="s">
        <v>539</v>
      </c>
      <c r="K1149" s="43" t="s">
        <v>1586</v>
      </c>
      <c r="L1149" s="23">
        <f t="shared" si="42"/>
        <v>624.99999999999989</v>
      </c>
      <c r="M1149" s="23">
        <f t="shared" si="43"/>
        <v>74.999999999999986</v>
      </c>
      <c r="N1149" s="23">
        <v>700</v>
      </c>
      <c r="O1149" s="53" t="s">
        <v>6771</v>
      </c>
      <c r="P1149" s="43" t="s">
        <v>2832</v>
      </c>
      <c r="Q1149" s="43" t="s">
        <v>782</v>
      </c>
      <c r="R1149" s="109" t="s">
        <v>6554</v>
      </c>
      <c r="S1149" s="52"/>
    </row>
    <row r="1150" spans="1:19" x14ac:dyDescent="0.3">
      <c r="A1150" s="50">
        <v>45427</v>
      </c>
      <c r="B1150" s="25" t="s">
        <v>6772</v>
      </c>
      <c r="C1150" s="43" t="s">
        <v>2122</v>
      </c>
      <c r="D1150" s="43" t="s">
        <v>6773</v>
      </c>
      <c r="E1150" s="109" t="s">
        <v>6774</v>
      </c>
      <c r="F1150" s="109" t="s">
        <v>6775</v>
      </c>
      <c r="G1150" s="43">
        <v>10</v>
      </c>
      <c r="H1150" s="43">
        <v>7</v>
      </c>
      <c r="I1150" s="147" t="s">
        <v>611</v>
      </c>
      <c r="J1150" s="43" t="s">
        <v>539</v>
      </c>
      <c r="K1150" s="43" t="s">
        <v>1173</v>
      </c>
      <c r="L1150" s="23">
        <f t="shared" si="42"/>
        <v>0</v>
      </c>
      <c r="M1150" s="23">
        <f t="shared" si="43"/>
        <v>0</v>
      </c>
      <c r="N1150" s="23">
        <v>0</v>
      </c>
      <c r="O1150" s="53" t="s">
        <v>6776</v>
      </c>
      <c r="P1150" s="43" t="s">
        <v>6059</v>
      </c>
      <c r="Q1150" s="43" t="s">
        <v>358</v>
      </c>
      <c r="R1150" s="109" t="s">
        <v>6606</v>
      </c>
      <c r="S1150" s="52"/>
    </row>
    <row r="1151" spans="1:19" x14ac:dyDescent="0.3">
      <c r="A1151" s="50">
        <v>45427</v>
      </c>
      <c r="B1151" s="25" t="s">
        <v>6777</v>
      </c>
      <c r="C1151" s="43" t="s">
        <v>6778</v>
      </c>
      <c r="D1151" s="43" t="s">
        <v>6779</v>
      </c>
      <c r="E1151" s="109" t="s">
        <v>6780</v>
      </c>
      <c r="F1151" s="109" t="s">
        <v>6781</v>
      </c>
      <c r="G1151" s="43">
        <v>5</v>
      </c>
      <c r="H1151" s="43">
        <v>4</v>
      </c>
      <c r="I1151" s="147" t="s">
        <v>605</v>
      </c>
      <c r="J1151" s="43" t="s">
        <v>539</v>
      </c>
      <c r="K1151" s="43" t="s">
        <v>199</v>
      </c>
      <c r="L1151" s="23">
        <f t="shared" si="42"/>
        <v>714.28571428571422</v>
      </c>
      <c r="M1151" s="23">
        <f t="shared" si="43"/>
        <v>85.714285714285708</v>
      </c>
      <c r="N1151" s="23">
        <v>800</v>
      </c>
      <c r="O1151" s="53" t="s">
        <v>6782</v>
      </c>
      <c r="P1151" s="43" t="s">
        <v>5743</v>
      </c>
      <c r="Q1151" s="43" t="s">
        <v>65</v>
      </c>
      <c r="R1151" s="109" t="s">
        <v>6765</v>
      </c>
      <c r="S1151" s="52"/>
    </row>
    <row r="1152" spans="1:19" x14ac:dyDescent="0.3">
      <c r="A1152" s="50">
        <v>45427</v>
      </c>
      <c r="B1152" s="25" t="s">
        <v>6783</v>
      </c>
      <c r="C1152" s="43" t="s">
        <v>6784</v>
      </c>
      <c r="D1152" s="43" t="s">
        <v>6785</v>
      </c>
      <c r="E1152" s="109" t="s">
        <v>6786</v>
      </c>
      <c r="F1152" s="109" t="s">
        <v>6787</v>
      </c>
      <c r="G1152" s="43">
        <v>5</v>
      </c>
      <c r="H1152" s="43">
        <v>5</v>
      </c>
      <c r="I1152" s="147" t="s">
        <v>605</v>
      </c>
      <c r="J1152" s="43" t="s">
        <v>539</v>
      </c>
      <c r="K1152" s="43" t="s">
        <v>199</v>
      </c>
      <c r="L1152" s="23">
        <f t="shared" si="42"/>
        <v>1249.9999999999998</v>
      </c>
      <c r="M1152" s="23">
        <f t="shared" si="43"/>
        <v>149.99999999999997</v>
      </c>
      <c r="N1152" s="23">
        <v>1400</v>
      </c>
      <c r="O1152" s="53" t="s">
        <v>6788</v>
      </c>
      <c r="P1152" s="43" t="s">
        <v>1482</v>
      </c>
      <c r="Q1152" s="43" t="s">
        <v>3026</v>
      </c>
      <c r="R1152" s="109" t="s">
        <v>6765</v>
      </c>
      <c r="S1152" s="52"/>
    </row>
    <row r="1153" spans="1:19" x14ac:dyDescent="0.3">
      <c r="A1153" s="50">
        <v>45428</v>
      </c>
      <c r="B1153" s="25" t="s">
        <v>6789</v>
      </c>
      <c r="C1153" s="43" t="s">
        <v>6790</v>
      </c>
      <c r="D1153" s="43" t="s">
        <v>6791</v>
      </c>
      <c r="E1153" s="109" t="s">
        <v>6792</v>
      </c>
      <c r="F1153" s="109" t="s">
        <v>6793</v>
      </c>
      <c r="G1153" s="43">
        <v>8</v>
      </c>
      <c r="H1153" s="43">
        <v>5</v>
      </c>
      <c r="I1153" s="147" t="s">
        <v>617</v>
      </c>
      <c r="J1153" s="43" t="s">
        <v>539</v>
      </c>
      <c r="K1153" s="43" t="s">
        <v>2488</v>
      </c>
      <c r="L1153" s="23">
        <f t="shared" si="42"/>
        <v>1071.4285714285713</v>
      </c>
      <c r="M1153" s="23">
        <f t="shared" si="43"/>
        <v>128.57142857142856</v>
      </c>
      <c r="N1153" s="23">
        <v>1200</v>
      </c>
      <c r="O1153" s="53" t="s">
        <v>6794</v>
      </c>
      <c r="P1153" s="43" t="s">
        <v>5743</v>
      </c>
      <c r="Q1153" s="43" t="s">
        <v>340</v>
      </c>
      <c r="R1153" s="109" t="s">
        <v>6599</v>
      </c>
      <c r="S1153" s="52"/>
    </row>
    <row r="1154" spans="1:19" x14ac:dyDescent="0.3">
      <c r="A1154" s="50">
        <v>45428</v>
      </c>
      <c r="B1154" s="25" t="s">
        <v>6795</v>
      </c>
      <c r="C1154" s="43" t="s">
        <v>6796</v>
      </c>
      <c r="D1154" s="43" t="s">
        <v>6797</v>
      </c>
      <c r="E1154" s="109" t="s">
        <v>6798</v>
      </c>
      <c r="F1154" s="109" t="s">
        <v>6799</v>
      </c>
      <c r="G1154" s="43">
        <v>6</v>
      </c>
      <c r="H1154" s="43">
        <v>3</v>
      </c>
      <c r="I1154" s="147" t="s">
        <v>605</v>
      </c>
      <c r="J1154" s="43" t="s">
        <v>539</v>
      </c>
      <c r="K1154" s="43" t="s">
        <v>199</v>
      </c>
      <c r="L1154" s="23">
        <f t="shared" si="42"/>
        <v>714.28571428571422</v>
      </c>
      <c r="M1154" s="23">
        <f t="shared" si="43"/>
        <v>85.714285714285708</v>
      </c>
      <c r="N1154" s="23">
        <v>800</v>
      </c>
      <c r="O1154" s="53" t="s">
        <v>6800</v>
      </c>
      <c r="P1154" s="43" t="s">
        <v>6801</v>
      </c>
      <c r="Q1154" s="43" t="s">
        <v>782</v>
      </c>
      <c r="R1154" s="109" t="s">
        <v>6606</v>
      </c>
      <c r="S1154" s="52"/>
    </row>
    <row r="1155" spans="1:19" x14ac:dyDescent="0.3">
      <c r="A1155" s="50">
        <v>45428</v>
      </c>
      <c r="B1155" s="25" t="s">
        <v>6802</v>
      </c>
      <c r="C1155" s="43" t="s">
        <v>6803</v>
      </c>
      <c r="D1155" s="43" t="s">
        <v>6804</v>
      </c>
      <c r="E1155" s="109" t="s">
        <v>6805</v>
      </c>
      <c r="F1155" s="109" t="s">
        <v>6806</v>
      </c>
      <c r="G1155" s="43">
        <v>5</v>
      </c>
      <c r="H1155" s="43">
        <v>3</v>
      </c>
      <c r="I1155" s="147" t="s">
        <v>605</v>
      </c>
      <c r="J1155" s="43" t="s">
        <v>539</v>
      </c>
      <c r="K1155" s="43" t="s">
        <v>2488</v>
      </c>
      <c r="L1155" s="23">
        <f t="shared" si="42"/>
        <v>714.28571428571422</v>
      </c>
      <c r="M1155" s="23">
        <f t="shared" si="43"/>
        <v>85.714285714285708</v>
      </c>
      <c r="N1155" s="23">
        <v>800</v>
      </c>
      <c r="O1155" s="53" t="s">
        <v>6807</v>
      </c>
      <c r="P1155" s="43" t="s">
        <v>2832</v>
      </c>
      <c r="Q1155" s="43" t="s">
        <v>592</v>
      </c>
      <c r="R1155" s="109" t="s">
        <v>6765</v>
      </c>
      <c r="S1155" s="52"/>
    </row>
    <row r="1156" spans="1:19" x14ac:dyDescent="0.3">
      <c r="A1156" s="50">
        <v>45428</v>
      </c>
      <c r="B1156" s="25" t="s">
        <v>6808</v>
      </c>
      <c r="C1156" s="43" t="s">
        <v>6809</v>
      </c>
      <c r="D1156" s="43" t="s">
        <v>6810</v>
      </c>
      <c r="E1156" s="109" t="s">
        <v>6811</v>
      </c>
      <c r="F1156" s="109" t="s">
        <v>6812</v>
      </c>
      <c r="G1156" s="43">
        <v>5</v>
      </c>
      <c r="H1156" s="43">
        <v>4</v>
      </c>
      <c r="I1156" s="147" t="s">
        <v>3003</v>
      </c>
      <c r="J1156" s="43" t="s">
        <v>539</v>
      </c>
      <c r="K1156" s="43" t="s">
        <v>199</v>
      </c>
      <c r="L1156" s="23">
        <f t="shared" si="42"/>
        <v>982.142857142857</v>
      </c>
      <c r="M1156" s="23">
        <f t="shared" si="43"/>
        <v>117.85714285714283</v>
      </c>
      <c r="N1156" s="23">
        <v>1100</v>
      </c>
      <c r="O1156" s="53" t="s">
        <v>6813</v>
      </c>
      <c r="P1156" s="43" t="s">
        <v>1482</v>
      </c>
      <c r="Q1156" s="43" t="s">
        <v>3026</v>
      </c>
      <c r="R1156" s="109" t="s">
        <v>6606</v>
      </c>
      <c r="S1156" s="52"/>
    </row>
    <row r="1157" spans="1:19" x14ac:dyDescent="0.3">
      <c r="A1157" s="50">
        <v>45428</v>
      </c>
      <c r="B1157" s="25" t="s">
        <v>6814</v>
      </c>
      <c r="C1157" s="43" t="s">
        <v>6815</v>
      </c>
      <c r="D1157" s="43" t="s">
        <v>6816</v>
      </c>
      <c r="E1157" s="109" t="s">
        <v>6817</v>
      </c>
      <c r="F1157" s="109" t="s">
        <v>6818</v>
      </c>
      <c r="G1157" s="43">
        <v>4</v>
      </c>
      <c r="H1157" s="43">
        <v>2</v>
      </c>
      <c r="I1157" s="147" t="s">
        <v>3003</v>
      </c>
      <c r="J1157" s="43" t="s">
        <v>539</v>
      </c>
      <c r="K1157" s="43" t="s">
        <v>200</v>
      </c>
      <c r="L1157" s="23">
        <f t="shared" si="42"/>
        <v>714.28571428571422</v>
      </c>
      <c r="M1157" s="23">
        <f t="shared" si="43"/>
        <v>85.714285714285708</v>
      </c>
      <c r="N1157" s="23">
        <v>800</v>
      </c>
      <c r="O1157" s="53" t="s">
        <v>6819</v>
      </c>
      <c r="P1157" s="43" t="s">
        <v>6059</v>
      </c>
      <c r="Q1157" s="43" t="s">
        <v>3026</v>
      </c>
      <c r="R1157" s="109" t="s">
        <v>6554</v>
      </c>
      <c r="S1157" s="52"/>
    </row>
    <row r="1158" spans="1:19" x14ac:dyDescent="0.3">
      <c r="A1158" s="50">
        <v>45428</v>
      </c>
      <c r="B1158" s="25" t="s">
        <v>6820</v>
      </c>
      <c r="C1158" s="43" t="s">
        <v>6821</v>
      </c>
      <c r="D1158" s="43" t="s">
        <v>6822</v>
      </c>
      <c r="E1158" s="109" t="s">
        <v>6823</v>
      </c>
      <c r="F1158" s="109" t="s">
        <v>6824</v>
      </c>
      <c r="G1158" s="43">
        <v>5</v>
      </c>
      <c r="H1158" s="43">
        <v>3</v>
      </c>
      <c r="I1158" s="147" t="s">
        <v>605</v>
      </c>
      <c r="J1158" s="43" t="s">
        <v>539</v>
      </c>
      <c r="K1158" s="43" t="s">
        <v>199</v>
      </c>
      <c r="L1158" s="23">
        <f t="shared" si="42"/>
        <v>714.28571428571422</v>
      </c>
      <c r="M1158" s="23">
        <f t="shared" si="43"/>
        <v>85.714285714285708</v>
      </c>
      <c r="N1158" s="23">
        <v>800</v>
      </c>
      <c r="O1158" s="53" t="s">
        <v>6825</v>
      </c>
      <c r="P1158" s="43" t="s">
        <v>2832</v>
      </c>
      <c r="Q1158" s="43" t="s">
        <v>6826</v>
      </c>
      <c r="R1158" s="109" t="s">
        <v>6655</v>
      </c>
      <c r="S1158" s="52"/>
    </row>
    <row r="1159" spans="1:19" x14ac:dyDescent="0.3">
      <c r="A1159" s="50">
        <v>45428</v>
      </c>
      <c r="B1159" s="25" t="s">
        <v>6827</v>
      </c>
      <c r="C1159" s="43" t="s">
        <v>6828</v>
      </c>
      <c r="D1159" s="43" t="s">
        <v>6829</v>
      </c>
      <c r="E1159" s="109" t="s">
        <v>6830</v>
      </c>
      <c r="F1159" s="109" t="s">
        <v>6831</v>
      </c>
      <c r="G1159" s="43">
        <v>5</v>
      </c>
      <c r="H1159" s="43">
        <v>4</v>
      </c>
      <c r="I1159" s="147" t="s">
        <v>3003</v>
      </c>
      <c r="J1159" s="43" t="s">
        <v>539</v>
      </c>
      <c r="K1159" s="43" t="s">
        <v>200</v>
      </c>
      <c r="L1159" s="23">
        <f t="shared" si="42"/>
        <v>1071.4285714285713</v>
      </c>
      <c r="M1159" s="23">
        <f t="shared" si="43"/>
        <v>128.57142857142856</v>
      </c>
      <c r="N1159" s="23">
        <v>1200</v>
      </c>
      <c r="O1159" s="53" t="s">
        <v>6832</v>
      </c>
      <c r="P1159" s="43" t="s">
        <v>5743</v>
      </c>
      <c r="Q1159" s="43" t="s">
        <v>3026</v>
      </c>
      <c r="R1159" s="109" t="s">
        <v>6655</v>
      </c>
      <c r="S1159" s="52"/>
    </row>
    <row r="1160" spans="1:19" x14ac:dyDescent="0.3">
      <c r="A1160" s="50">
        <v>45429</v>
      </c>
      <c r="B1160" s="25" t="s">
        <v>6833</v>
      </c>
      <c r="C1160" s="43" t="s">
        <v>6834</v>
      </c>
      <c r="D1160" s="43" t="s">
        <v>6835</v>
      </c>
      <c r="E1160" s="109" t="s">
        <v>6836</v>
      </c>
      <c r="F1160" s="109" t="s">
        <v>6837</v>
      </c>
      <c r="G1160" s="43">
        <v>4</v>
      </c>
      <c r="H1160" s="43">
        <v>3</v>
      </c>
      <c r="I1160" s="147" t="s">
        <v>3003</v>
      </c>
      <c r="J1160" s="43" t="s">
        <v>539</v>
      </c>
      <c r="K1160" s="43" t="s">
        <v>199</v>
      </c>
      <c r="L1160" s="23">
        <f t="shared" si="42"/>
        <v>714.28571428571422</v>
      </c>
      <c r="M1160" s="23">
        <f t="shared" si="43"/>
        <v>85.714285714285708</v>
      </c>
      <c r="N1160" s="23">
        <v>800</v>
      </c>
      <c r="O1160" s="53" t="s">
        <v>6838</v>
      </c>
      <c r="P1160" s="43" t="s">
        <v>6428</v>
      </c>
      <c r="Q1160" s="43" t="s">
        <v>3026</v>
      </c>
      <c r="R1160" s="109" t="s">
        <v>6765</v>
      </c>
      <c r="S1160" s="52"/>
    </row>
    <row r="1161" spans="1:19" x14ac:dyDescent="0.3">
      <c r="A1161" s="50">
        <v>45429</v>
      </c>
      <c r="B1161" s="25" t="s">
        <v>6839</v>
      </c>
      <c r="C1161" s="43" t="s">
        <v>6840</v>
      </c>
      <c r="D1161" s="43" t="s">
        <v>6841</v>
      </c>
      <c r="E1161" s="109" t="s">
        <v>6842</v>
      </c>
      <c r="F1161" s="109" t="s">
        <v>6843</v>
      </c>
      <c r="G1161" s="43">
        <v>5</v>
      </c>
      <c r="H1161" s="43">
        <v>2</v>
      </c>
      <c r="I1161" s="147" t="s">
        <v>605</v>
      </c>
      <c r="J1161" s="43" t="s">
        <v>539</v>
      </c>
      <c r="K1161" s="43" t="s">
        <v>2488</v>
      </c>
      <c r="L1161" s="23">
        <f t="shared" si="42"/>
        <v>624.99999999999989</v>
      </c>
      <c r="M1161" s="23">
        <f t="shared" si="43"/>
        <v>74.999999999999986</v>
      </c>
      <c r="N1161" s="23">
        <v>700</v>
      </c>
      <c r="O1161" s="53" t="s">
        <v>6844</v>
      </c>
      <c r="P1161" s="43" t="s">
        <v>6059</v>
      </c>
      <c r="Q1161" s="43" t="s">
        <v>3026</v>
      </c>
      <c r="R1161" s="109" t="s">
        <v>6599</v>
      </c>
      <c r="S1161" s="52"/>
    </row>
    <row r="1162" spans="1:19" x14ac:dyDescent="0.3">
      <c r="A1162" s="50">
        <v>45429</v>
      </c>
      <c r="B1162" s="25" t="s">
        <v>6845</v>
      </c>
      <c r="C1162" s="43" t="s">
        <v>6846</v>
      </c>
      <c r="D1162" s="43" t="s">
        <v>6847</v>
      </c>
      <c r="E1162" s="109" t="s">
        <v>6848</v>
      </c>
      <c r="F1162" s="109" t="s">
        <v>6849</v>
      </c>
      <c r="G1162" s="43">
        <v>6</v>
      </c>
      <c r="H1162" s="43">
        <v>3</v>
      </c>
      <c r="I1162" s="147" t="s">
        <v>605</v>
      </c>
      <c r="J1162" s="43" t="s">
        <v>539</v>
      </c>
      <c r="K1162" s="43" t="s">
        <v>2488</v>
      </c>
      <c r="L1162" s="23">
        <f t="shared" si="42"/>
        <v>714.28571428571422</v>
      </c>
      <c r="M1162" s="23">
        <f t="shared" si="43"/>
        <v>85.714285714285708</v>
      </c>
      <c r="N1162" s="23">
        <v>800</v>
      </c>
      <c r="O1162" s="53" t="s">
        <v>6850</v>
      </c>
      <c r="P1162" s="43" t="s">
        <v>6428</v>
      </c>
      <c r="Q1162" s="43" t="s">
        <v>782</v>
      </c>
      <c r="R1162" s="109" t="s">
        <v>6599</v>
      </c>
      <c r="S1162" s="52"/>
    </row>
    <row r="1163" spans="1:19" x14ac:dyDescent="0.3">
      <c r="A1163" s="50">
        <v>45429</v>
      </c>
      <c r="B1163" s="25" t="s">
        <v>6851</v>
      </c>
      <c r="C1163" s="43" t="s">
        <v>6852</v>
      </c>
      <c r="D1163" s="43" t="s">
        <v>6853</v>
      </c>
      <c r="E1163" s="109" t="s">
        <v>6854</v>
      </c>
      <c r="F1163" s="109" t="s">
        <v>6855</v>
      </c>
      <c r="G1163" s="43">
        <v>6</v>
      </c>
      <c r="H1163" s="43">
        <v>4</v>
      </c>
      <c r="I1163" s="147" t="s">
        <v>605</v>
      </c>
      <c r="J1163" s="43" t="s">
        <v>539</v>
      </c>
      <c r="K1163" s="43" t="s">
        <v>199</v>
      </c>
      <c r="L1163" s="23">
        <f t="shared" si="42"/>
        <v>892.85714285714278</v>
      </c>
      <c r="M1163" s="23">
        <f t="shared" si="43"/>
        <v>107.14285714285712</v>
      </c>
      <c r="N1163" s="23">
        <v>1000</v>
      </c>
      <c r="O1163" s="53" t="s">
        <v>6856</v>
      </c>
      <c r="P1163" s="43" t="s">
        <v>6059</v>
      </c>
      <c r="Q1163" s="43" t="s">
        <v>782</v>
      </c>
      <c r="R1163" s="109" t="s">
        <v>6606</v>
      </c>
      <c r="S1163" s="52"/>
    </row>
    <row r="1164" spans="1:19" x14ac:dyDescent="0.3">
      <c r="A1164" s="50">
        <v>45430</v>
      </c>
      <c r="B1164" s="25" t="s">
        <v>6857</v>
      </c>
      <c r="C1164" s="43" t="s">
        <v>6858</v>
      </c>
      <c r="D1164" s="43" t="s">
        <v>6859</v>
      </c>
      <c r="E1164" s="109" t="s">
        <v>6860</v>
      </c>
      <c r="F1164" s="109" t="s">
        <v>6861</v>
      </c>
      <c r="G1164" s="43">
        <v>5</v>
      </c>
      <c r="H1164" s="43">
        <v>3</v>
      </c>
      <c r="I1164" s="147" t="s">
        <v>3003</v>
      </c>
      <c r="J1164" s="43" t="s">
        <v>539</v>
      </c>
      <c r="K1164" s="43" t="s">
        <v>980</v>
      </c>
      <c r="L1164" s="23">
        <f t="shared" si="42"/>
        <v>1339.2857142857142</v>
      </c>
      <c r="M1164" s="23">
        <f t="shared" si="43"/>
        <v>160.71428571428569</v>
      </c>
      <c r="N1164" s="23">
        <v>1500</v>
      </c>
      <c r="O1164" s="53" t="s">
        <v>6862</v>
      </c>
      <c r="P1164" s="43" t="s">
        <v>6059</v>
      </c>
      <c r="Q1164" s="43" t="s">
        <v>65</v>
      </c>
      <c r="R1164" s="109" t="s">
        <v>6561</v>
      </c>
      <c r="S1164" s="52"/>
    </row>
    <row r="1165" spans="1:19" x14ac:dyDescent="0.3">
      <c r="A1165" s="50">
        <v>45430</v>
      </c>
      <c r="B1165" s="25" t="s">
        <v>6863</v>
      </c>
      <c r="C1165" s="43" t="s">
        <v>6864</v>
      </c>
      <c r="D1165" s="43" t="s">
        <v>6865</v>
      </c>
      <c r="E1165" s="109" t="s">
        <v>6866</v>
      </c>
      <c r="F1165" s="109" t="s">
        <v>6867</v>
      </c>
      <c r="G1165" s="43">
        <v>10</v>
      </c>
      <c r="H1165" s="43">
        <v>10</v>
      </c>
      <c r="I1165" s="147" t="s">
        <v>871</v>
      </c>
      <c r="J1165" s="43" t="s">
        <v>539</v>
      </c>
      <c r="K1165" s="43" t="s">
        <v>980</v>
      </c>
      <c r="L1165" s="23">
        <f t="shared" si="42"/>
        <v>2669.6428571428569</v>
      </c>
      <c r="M1165" s="23">
        <f t="shared" si="43"/>
        <v>320.35714285714283</v>
      </c>
      <c r="N1165" s="23">
        <v>2990</v>
      </c>
      <c r="O1165" s="53" t="s">
        <v>6868</v>
      </c>
      <c r="P1165" s="43" t="s">
        <v>782</v>
      </c>
      <c r="Q1165" s="43" t="s">
        <v>782</v>
      </c>
      <c r="R1165" s="109" t="s">
        <v>6869</v>
      </c>
      <c r="S1165" s="52"/>
    </row>
    <row r="1166" spans="1:19" x14ac:dyDescent="0.3">
      <c r="A1166" s="50">
        <v>45430</v>
      </c>
      <c r="B1166" s="25" t="s">
        <v>6870</v>
      </c>
      <c r="C1166" s="43" t="s">
        <v>6871</v>
      </c>
      <c r="D1166" s="43" t="s">
        <v>6872</v>
      </c>
      <c r="E1166" s="109" t="s">
        <v>6873</v>
      </c>
      <c r="F1166" s="109" t="s">
        <v>6874</v>
      </c>
      <c r="G1166" s="43">
        <v>5</v>
      </c>
      <c r="H1166" s="43">
        <v>3</v>
      </c>
      <c r="I1166" s="147" t="s">
        <v>605</v>
      </c>
      <c r="J1166" s="43" t="s">
        <v>539</v>
      </c>
      <c r="K1166" s="43" t="s">
        <v>199</v>
      </c>
      <c r="L1166" s="23">
        <f t="shared" ref="L1166:L1229" si="44">+N1166/1.12</f>
        <v>624.99999999999989</v>
      </c>
      <c r="M1166" s="23">
        <f t="shared" ref="M1166:M1229" si="45">+L1166*12%</f>
        <v>74.999999999999986</v>
      </c>
      <c r="N1166" s="23">
        <v>700</v>
      </c>
      <c r="O1166" s="53"/>
      <c r="P1166" s="43" t="s">
        <v>340</v>
      </c>
      <c r="Q1166" s="43" t="s">
        <v>592</v>
      </c>
      <c r="R1166" s="109" t="s">
        <v>6875</v>
      </c>
      <c r="S1166" s="52"/>
    </row>
    <row r="1167" spans="1:19" x14ac:dyDescent="0.3">
      <c r="A1167" s="50">
        <v>45430</v>
      </c>
      <c r="B1167" s="25" t="s">
        <v>6876</v>
      </c>
      <c r="C1167" s="43" t="s">
        <v>6877</v>
      </c>
      <c r="D1167" s="43" t="s">
        <v>6878</v>
      </c>
      <c r="E1167" s="109" t="s">
        <v>6879</v>
      </c>
      <c r="F1167" s="109" t="s">
        <v>6880</v>
      </c>
      <c r="G1167" s="43">
        <v>5</v>
      </c>
      <c r="H1167" s="43">
        <v>4</v>
      </c>
      <c r="I1167" s="147" t="s">
        <v>605</v>
      </c>
      <c r="J1167" s="43" t="s">
        <v>539</v>
      </c>
      <c r="K1167" s="43" t="s">
        <v>980</v>
      </c>
      <c r="L1167" s="23">
        <f t="shared" si="44"/>
        <v>982.142857142857</v>
      </c>
      <c r="M1167" s="23">
        <f t="shared" si="45"/>
        <v>117.85714285714283</v>
      </c>
      <c r="N1167" s="23">
        <v>1100</v>
      </c>
      <c r="O1167" s="53" t="s">
        <v>6881</v>
      </c>
      <c r="P1167" s="43" t="s">
        <v>1482</v>
      </c>
      <c r="Q1167" s="43" t="s">
        <v>3026</v>
      </c>
      <c r="R1167" s="109" t="s">
        <v>6554</v>
      </c>
      <c r="S1167" s="52"/>
    </row>
    <row r="1168" spans="1:19" x14ac:dyDescent="0.3">
      <c r="A1168" s="50">
        <v>45430</v>
      </c>
      <c r="B1168" s="25" t="s">
        <v>6882</v>
      </c>
      <c r="C1168" s="43" t="s">
        <v>6883</v>
      </c>
      <c r="D1168" s="43" t="s">
        <v>6884</v>
      </c>
      <c r="E1168" s="109" t="s">
        <v>6885</v>
      </c>
      <c r="F1168" s="109" t="s">
        <v>6886</v>
      </c>
      <c r="G1168" s="43">
        <v>6</v>
      </c>
      <c r="H1168" s="43">
        <v>4</v>
      </c>
      <c r="I1168" s="147" t="s">
        <v>605</v>
      </c>
      <c r="J1168" s="43" t="s">
        <v>539</v>
      </c>
      <c r="K1168" s="43" t="s">
        <v>199</v>
      </c>
      <c r="L1168" s="23">
        <f t="shared" si="44"/>
        <v>535.71428571428567</v>
      </c>
      <c r="M1168" s="23">
        <f t="shared" si="45"/>
        <v>64.285714285714278</v>
      </c>
      <c r="N1168" s="23">
        <v>600</v>
      </c>
      <c r="O1168" s="53" t="s">
        <v>6887</v>
      </c>
      <c r="P1168" s="43" t="s">
        <v>782</v>
      </c>
      <c r="Q1168" s="43" t="s">
        <v>782</v>
      </c>
      <c r="R1168" s="109" t="s">
        <v>6606</v>
      </c>
      <c r="S1168" s="52"/>
    </row>
    <row r="1169" spans="1:19" x14ac:dyDescent="0.3">
      <c r="A1169" s="50">
        <v>45430</v>
      </c>
      <c r="B1169" s="25" t="s">
        <v>6888</v>
      </c>
      <c r="C1169" s="43" t="s">
        <v>6889</v>
      </c>
      <c r="D1169" s="43" t="s">
        <v>6890</v>
      </c>
      <c r="E1169" s="109" t="s">
        <v>6891</v>
      </c>
      <c r="F1169" s="109" t="s">
        <v>6892</v>
      </c>
      <c r="G1169" s="43">
        <v>5</v>
      </c>
      <c r="H1169" s="43">
        <v>4</v>
      </c>
      <c r="I1169" s="147" t="s">
        <v>605</v>
      </c>
      <c r="J1169" s="43" t="s">
        <v>539</v>
      </c>
      <c r="K1169" s="43" t="s">
        <v>199</v>
      </c>
      <c r="L1169" s="23">
        <f t="shared" si="44"/>
        <v>982.142857142857</v>
      </c>
      <c r="M1169" s="23">
        <f t="shared" si="45"/>
        <v>117.85714285714283</v>
      </c>
      <c r="N1169" s="23">
        <v>1100</v>
      </c>
      <c r="O1169" s="53" t="s">
        <v>6893</v>
      </c>
      <c r="P1169" s="43" t="s">
        <v>2832</v>
      </c>
      <c r="Q1169" s="43" t="s">
        <v>3026</v>
      </c>
      <c r="R1169" s="109" t="s">
        <v>6554</v>
      </c>
      <c r="S1169" s="52"/>
    </row>
    <row r="1170" spans="1:19" x14ac:dyDescent="0.3">
      <c r="A1170" s="50">
        <v>45433</v>
      </c>
      <c r="B1170" s="25" t="s">
        <v>6894</v>
      </c>
      <c r="C1170" s="43" t="s">
        <v>6895</v>
      </c>
      <c r="D1170" s="43" t="s">
        <v>6896</v>
      </c>
      <c r="E1170" s="109" t="s">
        <v>6897</v>
      </c>
      <c r="F1170" s="109" t="s">
        <v>6898</v>
      </c>
      <c r="G1170" s="43">
        <v>8</v>
      </c>
      <c r="H1170" s="43">
        <v>7</v>
      </c>
      <c r="I1170" s="147" t="s">
        <v>605</v>
      </c>
      <c r="J1170" s="43" t="s">
        <v>539</v>
      </c>
      <c r="K1170" s="43" t="s">
        <v>200</v>
      </c>
      <c r="L1170" s="23">
        <f t="shared" si="44"/>
        <v>1785.7142857142856</v>
      </c>
      <c r="M1170" s="23">
        <f t="shared" si="45"/>
        <v>214.28571428571425</v>
      </c>
      <c r="N1170" s="23">
        <v>2000</v>
      </c>
      <c r="O1170" s="53" t="s">
        <v>6899</v>
      </c>
      <c r="P1170" s="43" t="s">
        <v>335</v>
      </c>
      <c r="Q1170" s="43" t="s">
        <v>782</v>
      </c>
      <c r="R1170" s="109" t="s">
        <v>6900</v>
      </c>
      <c r="S1170" s="52"/>
    </row>
    <row r="1171" spans="1:19" x14ac:dyDescent="0.3">
      <c r="A1171" s="50">
        <v>45433</v>
      </c>
      <c r="B1171" s="25" t="s">
        <v>6901</v>
      </c>
      <c r="C1171" s="43" t="s">
        <v>3524</v>
      </c>
      <c r="D1171" s="43" t="s">
        <v>6902</v>
      </c>
      <c r="E1171" s="109" t="s">
        <v>6903</v>
      </c>
      <c r="F1171" s="109" t="s">
        <v>6904</v>
      </c>
      <c r="G1171" s="43">
        <v>7</v>
      </c>
      <c r="H1171" s="43">
        <v>5</v>
      </c>
      <c r="I1171" s="147" t="s">
        <v>605</v>
      </c>
      <c r="J1171" s="43" t="s">
        <v>539</v>
      </c>
      <c r="K1171" s="43" t="s">
        <v>200</v>
      </c>
      <c r="L1171" s="23">
        <f t="shared" si="44"/>
        <v>1776.7857142857142</v>
      </c>
      <c r="M1171" s="23">
        <f t="shared" si="45"/>
        <v>213.21428571428569</v>
      </c>
      <c r="N1171" s="23">
        <v>1990</v>
      </c>
      <c r="O1171" s="53" t="s">
        <v>6905</v>
      </c>
      <c r="P1171" s="43" t="s">
        <v>335</v>
      </c>
      <c r="Q1171" s="43" t="s">
        <v>225</v>
      </c>
      <c r="R1171" s="109" t="s">
        <v>6765</v>
      </c>
      <c r="S1171" s="52"/>
    </row>
    <row r="1172" spans="1:19" x14ac:dyDescent="0.3">
      <c r="A1172" s="50">
        <v>45433</v>
      </c>
      <c r="B1172" s="25" t="s">
        <v>6906</v>
      </c>
      <c r="C1172" s="43" t="s">
        <v>6907</v>
      </c>
      <c r="D1172" s="43" t="s">
        <v>6908</v>
      </c>
      <c r="E1172" s="109" t="s">
        <v>6909</v>
      </c>
      <c r="F1172" s="109" t="s">
        <v>6910</v>
      </c>
      <c r="G1172" s="43">
        <v>5</v>
      </c>
      <c r="H1172" s="43">
        <v>4</v>
      </c>
      <c r="I1172" s="147" t="s">
        <v>605</v>
      </c>
      <c r="J1172" s="43" t="s">
        <v>539</v>
      </c>
      <c r="K1172" s="43" t="s">
        <v>1518</v>
      </c>
      <c r="L1172" s="23">
        <f t="shared" si="44"/>
        <v>892.85714285714278</v>
      </c>
      <c r="M1172" s="23">
        <f t="shared" si="45"/>
        <v>107.14285714285712</v>
      </c>
      <c r="N1172" s="23">
        <v>1000</v>
      </c>
      <c r="O1172" s="53" t="s">
        <v>6911</v>
      </c>
      <c r="P1172" s="43" t="s">
        <v>6428</v>
      </c>
      <c r="Q1172" s="43" t="s">
        <v>6654</v>
      </c>
      <c r="R1172" s="109" t="s">
        <v>6912</v>
      </c>
      <c r="S1172" s="52"/>
    </row>
    <row r="1173" spans="1:19" x14ac:dyDescent="0.3">
      <c r="A1173" s="50">
        <v>45433</v>
      </c>
      <c r="B1173" s="25" t="s">
        <v>6913</v>
      </c>
      <c r="C1173" s="43" t="s">
        <v>6914</v>
      </c>
      <c r="D1173" s="43" t="s">
        <v>3035</v>
      </c>
      <c r="E1173" s="109" t="s">
        <v>6915</v>
      </c>
      <c r="F1173" s="109" t="s">
        <v>6916</v>
      </c>
      <c r="G1173" s="43">
        <v>3</v>
      </c>
      <c r="H1173" s="43">
        <v>2</v>
      </c>
      <c r="I1173" s="147" t="s">
        <v>605</v>
      </c>
      <c r="J1173" s="43" t="s">
        <v>539</v>
      </c>
      <c r="K1173" s="43" t="s">
        <v>200</v>
      </c>
      <c r="L1173" s="23">
        <f t="shared" si="44"/>
        <v>624.99999999999989</v>
      </c>
      <c r="M1173" s="23">
        <f t="shared" si="45"/>
        <v>74.999999999999986</v>
      </c>
      <c r="N1173" s="23">
        <v>700</v>
      </c>
      <c r="O1173" s="53" t="s">
        <v>6917</v>
      </c>
      <c r="P1173" s="43" t="s">
        <v>6059</v>
      </c>
      <c r="Q1173" s="43" t="s">
        <v>225</v>
      </c>
      <c r="R1173" s="109" t="s">
        <v>6554</v>
      </c>
      <c r="S1173" s="52"/>
    </row>
    <row r="1174" spans="1:19" x14ac:dyDescent="0.3">
      <c r="A1174" s="50">
        <v>45433</v>
      </c>
      <c r="B1174" s="25" t="s">
        <v>6918</v>
      </c>
      <c r="C1174" s="43" t="s">
        <v>6919</v>
      </c>
      <c r="D1174" s="43" t="s">
        <v>6920</v>
      </c>
      <c r="E1174" s="109" t="s">
        <v>6921</v>
      </c>
      <c r="F1174" s="109" t="s">
        <v>6922</v>
      </c>
      <c r="G1174" s="43">
        <v>4</v>
      </c>
      <c r="H1174" s="43">
        <v>5</v>
      </c>
      <c r="I1174" s="147" t="s">
        <v>605</v>
      </c>
      <c r="J1174" s="43" t="s">
        <v>539</v>
      </c>
      <c r="K1174" s="43" t="s">
        <v>1586</v>
      </c>
      <c r="L1174" s="23">
        <f t="shared" si="44"/>
        <v>892.85714285714278</v>
      </c>
      <c r="M1174" s="23">
        <f t="shared" si="45"/>
        <v>107.14285714285712</v>
      </c>
      <c r="N1174" s="23">
        <v>1000</v>
      </c>
      <c r="O1174" s="53" t="s">
        <v>6923</v>
      </c>
      <c r="P1174" s="43" t="s">
        <v>335</v>
      </c>
      <c r="Q1174" s="43" t="s">
        <v>3026</v>
      </c>
      <c r="R1174" s="109" t="s">
        <v>6554</v>
      </c>
      <c r="S1174" s="52"/>
    </row>
    <row r="1175" spans="1:19" x14ac:dyDescent="0.3">
      <c r="A1175" s="50">
        <v>45434</v>
      </c>
      <c r="B1175" s="25" t="s">
        <v>6924</v>
      </c>
      <c r="C1175" s="43" t="s">
        <v>6925</v>
      </c>
      <c r="D1175" s="43" t="s">
        <v>6926</v>
      </c>
      <c r="E1175" s="109" t="s">
        <v>6927</v>
      </c>
      <c r="F1175" s="109" t="s">
        <v>6928</v>
      </c>
      <c r="G1175" s="43">
        <v>5</v>
      </c>
      <c r="H1175" s="43">
        <v>6</v>
      </c>
      <c r="I1175" s="147" t="s">
        <v>605</v>
      </c>
      <c r="J1175" s="43" t="s">
        <v>539</v>
      </c>
      <c r="K1175" s="43" t="s">
        <v>980</v>
      </c>
      <c r="L1175" s="23">
        <f t="shared" si="44"/>
        <v>624.99999999999989</v>
      </c>
      <c r="M1175" s="23">
        <f t="shared" si="45"/>
        <v>74.999999999999986</v>
      </c>
      <c r="N1175" s="23">
        <v>700</v>
      </c>
      <c r="O1175" s="53" t="s">
        <v>6929</v>
      </c>
      <c r="P1175" s="43" t="s">
        <v>335</v>
      </c>
      <c r="Q1175" s="43" t="s">
        <v>782</v>
      </c>
      <c r="R1175" s="109" t="s">
        <v>6554</v>
      </c>
      <c r="S1175" s="52"/>
    </row>
    <row r="1176" spans="1:19" x14ac:dyDescent="0.3">
      <c r="A1176" s="50">
        <v>45434</v>
      </c>
      <c r="B1176" s="25" t="s">
        <v>6930</v>
      </c>
      <c r="C1176" s="43" t="s">
        <v>6931</v>
      </c>
      <c r="D1176" s="43" t="s">
        <v>6932</v>
      </c>
      <c r="E1176" s="109" t="s">
        <v>6933</v>
      </c>
      <c r="F1176" s="109" t="s">
        <v>6934</v>
      </c>
      <c r="G1176" s="43">
        <v>5</v>
      </c>
      <c r="H1176" s="43">
        <v>3</v>
      </c>
      <c r="I1176" s="147" t="s">
        <v>605</v>
      </c>
      <c r="J1176" s="43" t="s">
        <v>539</v>
      </c>
      <c r="K1176" s="43" t="s">
        <v>980</v>
      </c>
      <c r="L1176" s="23">
        <f t="shared" si="44"/>
        <v>714.28571428571422</v>
      </c>
      <c r="M1176" s="23">
        <f t="shared" si="45"/>
        <v>85.714285714285708</v>
      </c>
      <c r="N1176" s="23">
        <v>800</v>
      </c>
      <c r="O1176" s="53" t="s">
        <v>6935</v>
      </c>
      <c r="P1176" s="43" t="s">
        <v>2804</v>
      </c>
      <c r="Q1176" s="43" t="s">
        <v>65</v>
      </c>
      <c r="R1176" s="109" t="s">
        <v>6561</v>
      </c>
      <c r="S1176" s="52"/>
    </row>
    <row r="1177" spans="1:19" x14ac:dyDescent="0.3">
      <c r="A1177" s="50">
        <v>45434</v>
      </c>
      <c r="B1177" s="25" t="s">
        <v>6936</v>
      </c>
      <c r="C1177" s="43" t="s">
        <v>6937</v>
      </c>
      <c r="D1177" s="43" t="s">
        <v>6938</v>
      </c>
      <c r="E1177" s="109" t="s">
        <v>6939</v>
      </c>
      <c r="F1177" s="109" t="s">
        <v>6940</v>
      </c>
      <c r="G1177" s="43">
        <v>10</v>
      </c>
      <c r="H1177" s="43">
        <v>10</v>
      </c>
      <c r="I1177" s="147" t="s">
        <v>617</v>
      </c>
      <c r="J1177" s="43" t="s">
        <v>539</v>
      </c>
      <c r="K1177" s="43" t="s">
        <v>2488</v>
      </c>
      <c r="L1177" s="23">
        <f t="shared" si="44"/>
        <v>3562.4999999999995</v>
      </c>
      <c r="M1177" s="23">
        <f t="shared" si="45"/>
        <v>427.49999999999994</v>
      </c>
      <c r="N1177" s="23">
        <v>3990</v>
      </c>
      <c r="O1177" s="53" t="s">
        <v>6941</v>
      </c>
      <c r="P1177" s="43" t="s">
        <v>335</v>
      </c>
      <c r="Q1177" s="43" t="s">
        <v>225</v>
      </c>
      <c r="R1177" s="109" t="s">
        <v>6561</v>
      </c>
      <c r="S1177" s="52"/>
    </row>
    <row r="1178" spans="1:19" x14ac:dyDescent="0.3">
      <c r="A1178" s="50">
        <v>45434</v>
      </c>
      <c r="B1178" s="25" t="s">
        <v>6942</v>
      </c>
      <c r="C1178" s="43" t="s">
        <v>6943</v>
      </c>
      <c r="D1178" s="43" t="s">
        <v>6944</v>
      </c>
      <c r="E1178" s="109" t="s">
        <v>6945</v>
      </c>
      <c r="F1178" s="109" t="s">
        <v>6946</v>
      </c>
      <c r="G1178" s="43">
        <v>5</v>
      </c>
      <c r="H1178" s="43">
        <v>2</v>
      </c>
      <c r="I1178" s="147" t="s">
        <v>605</v>
      </c>
      <c r="J1178" s="43" t="s">
        <v>539</v>
      </c>
      <c r="K1178" s="43" t="s">
        <v>1586</v>
      </c>
      <c r="L1178" s="23">
        <f t="shared" si="44"/>
        <v>267.85714285714283</v>
      </c>
      <c r="M1178" s="23">
        <f t="shared" si="45"/>
        <v>32.142857142857139</v>
      </c>
      <c r="N1178" s="23">
        <v>300</v>
      </c>
      <c r="O1178" s="53" t="s">
        <v>6947</v>
      </c>
      <c r="P1178" s="43" t="s">
        <v>2832</v>
      </c>
      <c r="Q1178" s="43" t="s">
        <v>65</v>
      </c>
      <c r="R1178" s="109" t="s">
        <v>6554</v>
      </c>
      <c r="S1178" s="52"/>
    </row>
    <row r="1179" spans="1:19" x14ac:dyDescent="0.3">
      <c r="A1179" s="50">
        <v>45434</v>
      </c>
      <c r="B1179" s="25" t="s">
        <v>6948</v>
      </c>
      <c r="C1179" s="43" t="s">
        <v>6949</v>
      </c>
      <c r="D1179" s="43" t="s">
        <v>6950</v>
      </c>
      <c r="E1179" s="109" t="s">
        <v>6951</v>
      </c>
      <c r="F1179" s="109" t="s">
        <v>6952</v>
      </c>
      <c r="G1179" s="43">
        <v>7</v>
      </c>
      <c r="H1179" s="43">
        <v>6</v>
      </c>
      <c r="I1179" s="147" t="s">
        <v>617</v>
      </c>
      <c r="J1179" s="43" t="s">
        <v>539</v>
      </c>
      <c r="K1179" s="43" t="s">
        <v>200</v>
      </c>
      <c r="L1179" s="23">
        <f t="shared" si="44"/>
        <v>1776.7857142857142</v>
      </c>
      <c r="M1179" s="23">
        <f t="shared" si="45"/>
        <v>213.21428571428569</v>
      </c>
      <c r="N1179" s="23">
        <v>1990</v>
      </c>
      <c r="O1179" s="53" t="s">
        <v>6953</v>
      </c>
      <c r="P1179" s="43" t="s">
        <v>6428</v>
      </c>
      <c r="Q1179" s="43" t="s">
        <v>3026</v>
      </c>
      <c r="R1179" s="109" t="s">
        <v>6561</v>
      </c>
      <c r="S1179" s="52"/>
    </row>
    <row r="1180" spans="1:19" x14ac:dyDescent="0.3">
      <c r="A1180" s="50">
        <v>45435</v>
      </c>
      <c r="B1180" s="25" t="s">
        <v>6954</v>
      </c>
      <c r="C1180" s="43" t="s">
        <v>6955</v>
      </c>
      <c r="D1180" s="43" t="s">
        <v>6956</v>
      </c>
      <c r="E1180" s="109" t="s">
        <v>6957</v>
      </c>
      <c r="F1180" s="109" t="s">
        <v>6958</v>
      </c>
      <c r="G1180" s="43">
        <v>5</v>
      </c>
      <c r="H1180" s="43">
        <v>3</v>
      </c>
      <c r="I1180" s="147" t="s">
        <v>605</v>
      </c>
      <c r="J1180" s="43" t="s">
        <v>539</v>
      </c>
      <c r="K1180" s="43" t="s">
        <v>1518</v>
      </c>
      <c r="L1180" s="23">
        <f t="shared" si="44"/>
        <v>937.49999999999989</v>
      </c>
      <c r="M1180" s="23">
        <f t="shared" si="45"/>
        <v>112.49999999999999</v>
      </c>
      <c r="N1180" s="23">
        <v>1050</v>
      </c>
      <c r="O1180" s="53" t="s">
        <v>6959</v>
      </c>
      <c r="P1180" s="43" t="s">
        <v>335</v>
      </c>
      <c r="Q1180" s="43" t="s">
        <v>225</v>
      </c>
      <c r="R1180" s="109" t="s">
        <v>6765</v>
      </c>
      <c r="S1180" s="52"/>
    </row>
    <row r="1181" spans="1:19" x14ac:dyDescent="0.3">
      <c r="A1181" s="50">
        <v>45435</v>
      </c>
      <c r="B1181" s="25" t="s">
        <v>6960</v>
      </c>
      <c r="C1181" s="43" t="s">
        <v>6961</v>
      </c>
      <c r="D1181" s="43" t="s">
        <v>6962</v>
      </c>
      <c r="E1181" s="109" t="s">
        <v>6963</v>
      </c>
      <c r="F1181" s="109" t="s">
        <v>6964</v>
      </c>
      <c r="G1181" s="43">
        <v>7</v>
      </c>
      <c r="H1181" s="43">
        <v>7</v>
      </c>
      <c r="I1181" s="147" t="s">
        <v>605</v>
      </c>
      <c r="J1181" s="43" t="s">
        <v>539</v>
      </c>
      <c r="K1181" s="43" t="s">
        <v>200</v>
      </c>
      <c r="L1181" s="23">
        <f t="shared" si="44"/>
        <v>892.85714285714278</v>
      </c>
      <c r="M1181" s="23">
        <f t="shared" si="45"/>
        <v>107.14285714285712</v>
      </c>
      <c r="N1181" s="23">
        <v>1000</v>
      </c>
      <c r="O1181" s="53" t="s">
        <v>6965</v>
      </c>
      <c r="P1181" s="43" t="s">
        <v>1482</v>
      </c>
      <c r="Q1181" s="43" t="s">
        <v>3026</v>
      </c>
      <c r="R1181" s="109" t="s">
        <v>6655</v>
      </c>
      <c r="S1181" s="52"/>
    </row>
    <row r="1182" spans="1:19" x14ac:dyDescent="0.3">
      <c r="A1182" s="50">
        <v>45435</v>
      </c>
      <c r="B1182" s="25" t="s">
        <v>6966</v>
      </c>
      <c r="C1182" s="43" t="s">
        <v>6967</v>
      </c>
      <c r="D1182" s="43" t="s">
        <v>6968</v>
      </c>
      <c r="E1182" s="109" t="s">
        <v>6969</v>
      </c>
      <c r="F1182" s="109" t="s">
        <v>6970</v>
      </c>
      <c r="G1182" s="43">
        <v>5</v>
      </c>
      <c r="H1182" s="43">
        <v>4</v>
      </c>
      <c r="I1182" s="147" t="s">
        <v>605</v>
      </c>
      <c r="J1182" s="43" t="s">
        <v>539</v>
      </c>
      <c r="K1182" s="43" t="s">
        <v>1518</v>
      </c>
      <c r="L1182" s="23">
        <f t="shared" si="44"/>
        <v>624.99999999999989</v>
      </c>
      <c r="M1182" s="23">
        <f t="shared" si="45"/>
        <v>74.999999999999986</v>
      </c>
      <c r="N1182" s="23">
        <v>700</v>
      </c>
      <c r="O1182" s="53" t="s">
        <v>6971</v>
      </c>
      <c r="P1182" s="43" t="s">
        <v>6059</v>
      </c>
      <c r="Q1182" s="43" t="s">
        <v>3026</v>
      </c>
      <c r="R1182" s="109" t="s">
        <v>6655</v>
      </c>
      <c r="S1182" s="52"/>
    </row>
    <row r="1183" spans="1:19" x14ac:dyDescent="0.3">
      <c r="A1183" s="50">
        <v>45435</v>
      </c>
      <c r="B1183" s="25" t="s">
        <v>6972</v>
      </c>
      <c r="C1183" s="43" t="s">
        <v>6973</v>
      </c>
      <c r="D1183" s="43" t="s">
        <v>6974</v>
      </c>
      <c r="E1183" s="109" t="s">
        <v>6975</v>
      </c>
      <c r="F1183" s="109" t="s">
        <v>6976</v>
      </c>
      <c r="G1183" s="43">
        <v>7</v>
      </c>
      <c r="H1183" s="43">
        <v>3</v>
      </c>
      <c r="I1183" s="147" t="s">
        <v>617</v>
      </c>
      <c r="J1183" s="43" t="s">
        <v>539</v>
      </c>
      <c r="K1183" s="43" t="s">
        <v>199</v>
      </c>
      <c r="L1183" s="23">
        <f t="shared" si="44"/>
        <v>1383.9285714285713</v>
      </c>
      <c r="M1183" s="23">
        <f t="shared" si="45"/>
        <v>166.07142857142856</v>
      </c>
      <c r="N1183" s="23">
        <v>1550</v>
      </c>
      <c r="O1183" s="53" t="s">
        <v>6977</v>
      </c>
      <c r="P1183" s="43" t="s">
        <v>2832</v>
      </c>
      <c r="Q1183" s="43" t="s">
        <v>65</v>
      </c>
      <c r="R1183" s="109" t="s">
        <v>6554</v>
      </c>
      <c r="S1183" s="52"/>
    </row>
    <row r="1184" spans="1:19" x14ac:dyDescent="0.3">
      <c r="A1184" s="50">
        <v>45435</v>
      </c>
      <c r="B1184" s="25" t="s">
        <v>6978</v>
      </c>
      <c r="C1184" s="43" t="s">
        <v>6979</v>
      </c>
      <c r="D1184" s="43" t="s">
        <v>6980</v>
      </c>
      <c r="E1184" s="109" t="s">
        <v>6981</v>
      </c>
      <c r="F1184" s="109" t="s">
        <v>6982</v>
      </c>
      <c r="G1184" s="43">
        <v>7</v>
      </c>
      <c r="H1184" s="43">
        <v>5</v>
      </c>
      <c r="I1184" s="147" t="s">
        <v>3003</v>
      </c>
      <c r="J1184" s="43" t="s">
        <v>539</v>
      </c>
      <c r="K1184" s="43" t="s">
        <v>980</v>
      </c>
      <c r="L1184" s="23">
        <f t="shared" si="44"/>
        <v>982.142857142857</v>
      </c>
      <c r="M1184" s="23">
        <f t="shared" si="45"/>
        <v>117.85714285714283</v>
      </c>
      <c r="N1184" s="23">
        <v>1100</v>
      </c>
      <c r="O1184" s="53" t="s">
        <v>6983</v>
      </c>
      <c r="P1184" s="43" t="s">
        <v>6428</v>
      </c>
      <c r="Q1184" s="43" t="s">
        <v>3026</v>
      </c>
      <c r="R1184" s="109" t="s">
        <v>6561</v>
      </c>
      <c r="S1184" s="52"/>
    </row>
    <row r="1185" spans="1:19" x14ac:dyDescent="0.3">
      <c r="A1185" s="50">
        <v>45436</v>
      </c>
      <c r="B1185" s="25" t="s">
        <v>6984</v>
      </c>
      <c r="C1185" s="43" t="s">
        <v>6985</v>
      </c>
      <c r="D1185" s="43" t="s">
        <v>6986</v>
      </c>
      <c r="E1185" s="109" t="s">
        <v>6987</v>
      </c>
      <c r="F1185" s="109" t="s">
        <v>6988</v>
      </c>
      <c r="G1185" s="43">
        <v>7</v>
      </c>
      <c r="H1185" s="43">
        <v>5</v>
      </c>
      <c r="I1185" s="147" t="s">
        <v>611</v>
      </c>
      <c r="J1185" s="43" t="s">
        <v>539</v>
      </c>
      <c r="K1185" s="43" t="s">
        <v>199</v>
      </c>
      <c r="L1185" s="23">
        <f t="shared" si="44"/>
        <v>1776.7857142857142</v>
      </c>
      <c r="M1185" s="23">
        <f t="shared" si="45"/>
        <v>213.21428571428569</v>
      </c>
      <c r="N1185" s="23">
        <v>1990</v>
      </c>
      <c r="O1185" s="53" t="s">
        <v>6989</v>
      </c>
      <c r="P1185" s="43" t="s">
        <v>2832</v>
      </c>
      <c r="Q1185" s="43" t="s">
        <v>2022</v>
      </c>
      <c r="R1185" s="109" t="s">
        <v>6554</v>
      </c>
      <c r="S1185" s="52"/>
    </row>
    <row r="1186" spans="1:19" x14ac:dyDescent="0.3">
      <c r="A1186" s="50">
        <v>45436</v>
      </c>
      <c r="B1186" s="25" t="s">
        <v>6990</v>
      </c>
      <c r="C1186" s="43" t="s">
        <v>1367</v>
      </c>
      <c r="D1186" s="43" t="s">
        <v>6991</v>
      </c>
      <c r="E1186" s="109" t="s">
        <v>6992</v>
      </c>
      <c r="F1186" s="109" t="s">
        <v>6993</v>
      </c>
      <c r="G1186" s="43">
        <v>7</v>
      </c>
      <c r="H1186" s="43">
        <v>7</v>
      </c>
      <c r="I1186" s="147" t="s">
        <v>605</v>
      </c>
      <c r="J1186" s="43" t="s">
        <v>539</v>
      </c>
      <c r="K1186" s="43" t="s">
        <v>200</v>
      </c>
      <c r="L1186" s="23">
        <f t="shared" si="44"/>
        <v>2669.6428571428569</v>
      </c>
      <c r="M1186" s="23">
        <f t="shared" si="45"/>
        <v>320.35714285714283</v>
      </c>
      <c r="N1186" s="23">
        <v>2990</v>
      </c>
      <c r="O1186" s="53" t="s">
        <v>6994</v>
      </c>
      <c r="P1186" s="43" t="s">
        <v>335</v>
      </c>
      <c r="Q1186" s="43" t="s">
        <v>3026</v>
      </c>
      <c r="R1186" s="109" t="s">
        <v>6765</v>
      </c>
      <c r="S1186" s="52"/>
    </row>
    <row r="1187" spans="1:19" x14ac:dyDescent="0.3">
      <c r="A1187" s="50">
        <v>45437</v>
      </c>
      <c r="B1187" s="25" t="s">
        <v>6995</v>
      </c>
      <c r="C1187" s="43" t="s">
        <v>6996</v>
      </c>
      <c r="D1187" s="43" t="s">
        <v>6997</v>
      </c>
      <c r="E1187" s="109" t="s">
        <v>6998</v>
      </c>
      <c r="F1187" s="109" t="s">
        <v>6999</v>
      </c>
      <c r="G1187" s="43">
        <v>5</v>
      </c>
      <c r="H1187" s="43">
        <v>3</v>
      </c>
      <c r="I1187" s="147" t="s">
        <v>605</v>
      </c>
      <c r="J1187" s="43" t="s">
        <v>539</v>
      </c>
      <c r="K1187" s="43" t="s">
        <v>200</v>
      </c>
      <c r="L1187" s="23">
        <f t="shared" si="44"/>
        <v>714.28571428571422</v>
      </c>
      <c r="M1187" s="23">
        <f t="shared" si="45"/>
        <v>85.714285714285708</v>
      </c>
      <c r="N1187" s="23">
        <v>800</v>
      </c>
      <c r="O1187" s="53" t="s">
        <v>7000</v>
      </c>
      <c r="P1187" s="43" t="s">
        <v>335</v>
      </c>
      <c r="Q1187" s="43" t="s">
        <v>65</v>
      </c>
      <c r="R1187" s="109" t="s">
        <v>6765</v>
      </c>
      <c r="S1187" s="52"/>
    </row>
    <row r="1188" spans="1:19" x14ac:dyDescent="0.3">
      <c r="A1188" s="50">
        <v>45437</v>
      </c>
      <c r="B1188" s="25" t="s">
        <v>7001</v>
      </c>
      <c r="C1188" s="43" t="s">
        <v>7002</v>
      </c>
      <c r="D1188" s="43" t="s">
        <v>7003</v>
      </c>
      <c r="E1188" s="109" t="s">
        <v>7004</v>
      </c>
      <c r="F1188" s="109" t="s">
        <v>7005</v>
      </c>
      <c r="G1188" s="43">
        <v>5</v>
      </c>
      <c r="H1188" s="43">
        <v>4</v>
      </c>
      <c r="I1188" s="147" t="s">
        <v>605</v>
      </c>
      <c r="J1188" s="43" t="s">
        <v>539</v>
      </c>
      <c r="K1188" s="43" t="s">
        <v>2488</v>
      </c>
      <c r="L1188" s="23">
        <f t="shared" si="44"/>
        <v>982.142857142857</v>
      </c>
      <c r="M1188" s="23">
        <f t="shared" si="45"/>
        <v>117.85714285714283</v>
      </c>
      <c r="N1188" s="23">
        <v>1100</v>
      </c>
      <c r="O1188" s="53" t="s">
        <v>7006</v>
      </c>
      <c r="P1188" s="43" t="s">
        <v>2804</v>
      </c>
      <c r="Q1188" s="43" t="s">
        <v>3026</v>
      </c>
      <c r="R1188" s="109" t="s">
        <v>6554</v>
      </c>
      <c r="S1188" s="52"/>
    </row>
    <row r="1189" spans="1:19" x14ac:dyDescent="0.3">
      <c r="A1189" s="50">
        <v>45437</v>
      </c>
      <c r="B1189" s="25" t="s">
        <v>7007</v>
      </c>
      <c r="C1189" s="43" t="s">
        <v>7008</v>
      </c>
      <c r="D1189" s="43" t="s">
        <v>7009</v>
      </c>
      <c r="E1189" s="109" t="s">
        <v>7010</v>
      </c>
      <c r="F1189" s="109" t="s">
        <v>7011</v>
      </c>
      <c r="G1189" s="43">
        <v>5</v>
      </c>
      <c r="H1189" s="43">
        <v>5</v>
      </c>
      <c r="I1189" s="147" t="s">
        <v>7012</v>
      </c>
      <c r="J1189" s="43" t="s">
        <v>539</v>
      </c>
      <c r="K1189" s="43" t="s">
        <v>200</v>
      </c>
      <c r="L1189" s="23">
        <f t="shared" si="44"/>
        <v>1776.7857142857142</v>
      </c>
      <c r="M1189" s="23">
        <f t="shared" si="45"/>
        <v>213.21428571428569</v>
      </c>
      <c r="N1189" s="23">
        <v>1990</v>
      </c>
      <c r="O1189" s="53" t="s">
        <v>7013</v>
      </c>
      <c r="P1189" s="43" t="s">
        <v>335</v>
      </c>
      <c r="Q1189" s="43" t="s">
        <v>2022</v>
      </c>
      <c r="R1189" s="109" t="s">
        <v>6554</v>
      </c>
      <c r="S1189" s="52"/>
    </row>
    <row r="1190" spans="1:19" x14ac:dyDescent="0.3">
      <c r="A1190" s="50">
        <v>45440</v>
      </c>
      <c r="B1190" s="25" t="s">
        <v>7014</v>
      </c>
      <c r="C1190" s="43" t="s">
        <v>7015</v>
      </c>
      <c r="D1190" s="43" t="s">
        <v>7016</v>
      </c>
      <c r="E1190" s="109" t="s">
        <v>7017</v>
      </c>
      <c r="F1190" s="109" t="s">
        <v>7018</v>
      </c>
      <c r="G1190" s="43">
        <v>5</v>
      </c>
      <c r="H1190" s="43">
        <v>5</v>
      </c>
      <c r="I1190" s="147" t="s">
        <v>605</v>
      </c>
      <c r="J1190" s="43" t="s">
        <v>539</v>
      </c>
      <c r="K1190" s="43" t="s">
        <v>1586</v>
      </c>
      <c r="L1190" s="23">
        <f t="shared" si="44"/>
        <v>1071.4285714285713</v>
      </c>
      <c r="M1190" s="23">
        <f t="shared" si="45"/>
        <v>128.57142857142856</v>
      </c>
      <c r="N1190" s="23">
        <v>1200</v>
      </c>
      <c r="O1190" s="53" t="s">
        <v>7019</v>
      </c>
      <c r="P1190" s="43" t="s">
        <v>2804</v>
      </c>
      <c r="Q1190" s="43" t="s">
        <v>7020</v>
      </c>
      <c r="R1190" s="109" t="s">
        <v>7021</v>
      </c>
      <c r="S1190" s="52"/>
    </row>
    <row r="1191" spans="1:19" x14ac:dyDescent="0.3">
      <c r="A1191" s="50">
        <v>45441</v>
      </c>
      <c r="B1191" s="25" t="s">
        <v>7022</v>
      </c>
      <c r="C1191" s="43" t="s">
        <v>842</v>
      </c>
      <c r="D1191" s="43" t="s">
        <v>7023</v>
      </c>
      <c r="E1191" s="109" t="s">
        <v>7024</v>
      </c>
      <c r="F1191" s="109" t="s">
        <v>7025</v>
      </c>
      <c r="G1191" s="43">
        <v>5</v>
      </c>
      <c r="H1191" s="43">
        <v>3</v>
      </c>
      <c r="I1191" s="147" t="s">
        <v>7026</v>
      </c>
      <c r="J1191" s="43" t="s">
        <v>539</v>
      </c>
      <c r="K1191" s="43" t="s">
        <v>199</v>
      </c>
      <c r="L1191" s="23">
        <f t="shared" si="44"/>
        <v>1071.4285714285713</v>
      </c>
      <c r="M1191" s="23">
        <f t="shared" si="45"/>
        <v>128.57142857142856</v>
      </c>
      <c r="N1191" s="23">
        <v>1200</v>
      </c>
      <c r="O1191" s="53" t="s">
        <v>7027</v>
      </c>
      <c r="P1191" s="43" t="s">
        <v>6428</v>
      </c>
      <c r="Q1191" s="43" t="s">
        <v>65</v>
      </c>
      <c r="R1191" s="109" t="s">
        <v>6554</v>
      </c>
      <c r="S1191" s="52"/>
    </row>
    <row r="1192" spans="1:19" x14ac:dyDescent="0.3">
      <c r="A1192" s="50">
        <v>45440</v>
      </c>
      <c r="B1192" s="25" t="s">
        <v>7028</v>
      </c>
      <c r="C1192" s="43" t="s">
        <v>7029</v>
      </c>
      <c r="D1192" s="43" t="s">
        <v>7030</v>
      </c>
      <c r="E1192" s="109" t="s">
        <v>7031</v>
      </c>
      <c r="F1192" s="109" t="s">
        <v>7032</v>
      </c>
      <c r="G1192" s="43">
        <v>6</v>
      </c>
      <c r="H1192" s="43">
        <v>2</v>
      </c>
      <c r="I1192" s="147" t="s">
        <v>605</v>
      </c>
      <c r="J1192" s="43" t="s">
        <v>539</v>
      </c>
      <c r="K1192" s="43" t="s">
        <v>2488</v>
      </c>
      <c r="L1192" s="23">
        <f t="shared" si="44"/>
        <v>624.99999999999989</v>
      </c>
      <c r="M1192" s="23">
        <f t="shared" si="45"/>
        <v>74.999999999999986</v>
      </c>
      <c r="N1192" s="23">
        <v>700</v>
      </c>
      <c r="O1192" s="53" t="s">
        <v>7033</v>
      </c>
      <c r="P1192" s="43" t="s">
        <v>2804</v>
      </c>
      <c r="Q1192" s="43" t="s">
        <v>782</v>
      </c>
      <c r="R1192" s="109" t="s">
        <v>6561</v>
      </c>
      <c r="S1192" s="52"/>
    </row>
    <row r="1193" spans="1:19" x14ac:dyDescent="0.3">
      <c r="A1193" s="50">
        <v>45440</v>
      </c>
      <c r="B1193" s="25" t="s">
        <v>7034</v>
      </c>
      <c r="C1193" s="43" t="s">
        <v>7035</v>
      </c>
      <c r="D1193" s="43" t="s">
        <v>7036</v>
      </c>
      <c r="E1193" s="109" t="s">
        <v>7037</v>
      </c>
      <c r="F1193" s="109" t="s">
        <v>7038</v>
      </c>
      <c r="G1193" s="43">
        <v>5</v>
      </c>
      <c r="H1193" s="43">
        <v>3</v>
      </c>
      <c r="I1193" s="147" t="s">
        <v>605</v>
      </c>
      <c r="J1193" s="43" t="s">
        <v>539</v>
      </c>
      <c r="K1193" s="43" t="s">
        <v>1586</v>
      </c>
      <c r="L1193" s="23">
        <f t="shared" si="44"/>
        <v>446.42857142857139</v>
      </c>
      <c r="M1193" s="23">
        <f t="shared" si="45"/>
        <v>53.571428571428562</v>
      </c>
      <c r="N1193" s="23">
        <v>500</v>
      </c>
      <c r="O1193" s="53" t="s">
        <v>7039</v>
      </c>
      <c r="P1193" s="43" t="s">
        <v>335</v>
      </c>
      <c r="Q1193" s="43" t="s">
        <v>65</v>
      </c>
      <c r="R1193" s="109" t="s">
        <v>6599</v>
      </c>
      <c r="S1193" s="52"/>
    </row>
    <row r="1194" spans="1:19" x14ac:dyDescent="0.3">
      <c r="A1194" s="50">
        <v>45440</v>
      </c>
      <c r="B1194" s="25" t="s">
        <v>7040</v>
      </c>
      <c r="C1194" s="43" t="s">
        <v>7041</v>
      </c>
      <c r="D1194" s="43" t="s">
        <v>7042</v>
      </c>
      <c r="E1194" s="109" t="s">
        <v>7043</v>
      </c>
      <c r="F1194" s="109" t="s">
        <v>7044</v>
      </c>
      <c r="G1194" s="43">
        <v>5</v>
      </c>
      <c r="H1194" s="43">
        <v>3</v>
      </c>
      <c r="I1194" s="147" t="s">
        <v>7012</v>
      </c>
      <c r="J1194" s="43" t="s">
        <v>539</v>
      </c>
      <c r="K1194" s="43" t="s">
        <v>200</v>
      </c>
      <c r="L1194" s="23">
        <f t="shared" si="44"/>
        <v>937.49999999999989</v>
      </c>
      <c r="M1194" s="23">
        <f t="shared" si="45"/>
        <v>112.49999999999999</v>
      </c>
      <c r="N1194" s="23">
        <v>1050</v>
      </c>
      <c r="O1194" s="53" t="s">
        <v>7045</v>
      </c>
      <c r="P1194" s="43" t="s">
        <v>335</v>
      </c>
      <c r="Q1194" s="43" t="s">
        <v>2022</v>
      </c>
      <c r="R1194" s="109" t="s">
        <v>7046</v>
      </c>
      <c r="S1194" s="52"/>
    </row>
    <row r="1195" spans="1:19" x14ac:dyDescent="0.3">
      <c r="A1195" s="50">
        <v>45440</v>
      </c>
      <c r="B1195" s="25" t="s">
        <v>7047</v>
      </c>
      <c r="C1195" s="43" t="s">
        <v>3599</v>
      </c>
      <c r="D1195" s="43" t="s">
        <v>7048</v>
      </c>
      <c r="E1195" s="109" t="s">
        <v>7049</v>
      </c>
      <c r="F1195" s="109" t="s">
        <v>7050</v>
      </c>
      <c r="G1195" s="43">
        <v>6</v>
      </c>
      <c r="H1195" s="43">
        <v>5</v>
      </c>
      <c r="I1195" s="147" t="s">
        <v>617</v>
      </c>
      <c r="J1195" s="43" t="s">
        <v>539</v>
      </c>
      <c r="K1195" s="43" t="s">
        <v>2488</v>
      </c>
      <c r="L1195" s="23">
        <f t="shared" si="44"/>
        <v>1776.7857142857142</v>
      </c>
      <c r="M1195" s="23">
        <f t="shared" si="45"/>
        <v>213.21428571428569</v>
      </c>
      <c r="N1195" s="23">
        <v>1990</v>
      </c>
      <c r="O1195" s="53" t="s">
        <v>7051</v>
      </c>
      <c r="P1195" s="43" t="s">
        <v>6059</v>
      </c>
      <c r="Q1195" s="43" t="s">
        <v>225</v>
      </c>
      <c r="R1195" s="109" t="s">
        <v>6561</v>
      </c>
      <c r="S1195" s="52"/>
    </row>
    <row r="1196" spans="1:19" x14ac:dyDescent="0.3">
      <c r="A1196" s="50">
        <v>45441</v>
      </c>
      <c r="B1196" s="25" t="s">
        <v>7052</v>
      </c>
      <c r="C1196" s="43" t="s">
        <v>7053</v>
      </c>
      <c r="D1196" s="43" t="s">
        <v>7054</v>
      </c>
      <c r="E1196" s="109" t="s">
        <v>7055</v>
      </c>
      <c r="F1196" s="109" t="s">
        <v>7056</v>
      </c>
      <c r="G1196" s="43">
        <v>6</v>
      </c>
      <c r="H1196" s="43">
        <v>5</v>
      </c>
      <c r="I1196" s="147" t="s">
        <v>3003</v>
      </c>
      <c r="J1196" s="43" t="s">
        <v>539</v>
      </c>
      <c r="K1196" s="43" t="s">
        <v>199</v>
      </c>
      <c r="L1196" s="23">
        <f t="shared" si="44"/>
        <v>1249.9999999999998</v>
      </c>
      <c r="M1196" s="23">
        <f t="shared" si="45"/>
        <v>149.99999999999997</v>
      </c>
      <c r="N1196" s="23">
        <v>1400</v>
      </c>
      <c r="O1196" s="53" t="s">
        <v>7057</v>
      </c>
      <c r="P1196" s="43" t="s">
        <v>6134</v>
      </c>
      <c r="Q1196" s="43" t="s">
        <v>3026</v>
      </c>
      <c r="R1196" s="109" t="s">
        <v>6561</v>
      </c>
      <c r="S1196" s="52"/>
    </row>
    <row r="1197" spans="1:19" x14ac:dyDescent="0.3">
      <c r="A1197" s="50">
        <v>45441</v>
      </c>
      <c r="B1197" s="25" t="s">
        <v>7058</v>
      </c>
      <c r="C1197" s="43" t="s">
        <v>7059</v>
      </c>
      <c r="D1197" s="43" t="s">
        <v>7060</v>
      </c>
      <c r="E1197" s="109" t="s">
        <v>7061</v>
      </c>
      <c r="F1197" s="109" t="s">
        <v>7062</v>
      </c>
      <c r="G1197" s="43">
        <v>5</v>
      </c>
      <c r="H1197" s="43">
        <v>3</v>
      </c>
      <c r="I1197" s="147" t="s">
        <v>605</v>
      </c>
      <c r="J1197" s="43" t="s">
        <v>539</v>
      </c>
      <c r="K1197" s="43" t="s">
        <v>3307</v>
      </c>
      <c r="L1197" s="23">
        <f t="shared" si="44"/>
        <v>267.85714285714283</v>
      </c>
      <c r="M1197" s="23">
        <f t="shared" si="45"/>
        <v>32.142857142857139</v>
      </c>
      <c r="N1197" s="23">
        <v>300</v>
      </c>
      <c r="O1197" s="53" t="s">
        <v>7063</v>
      </c>
      <c r="P1197" s="43" t="s">
        <v>5743</v>
      </c>
      <c r="Q1197" s="43" t="s">
        <v>2804</v>
      </c>
      <c r="R1197" s="109" t="s">
        <v>7064</v>
      </c>
      <c r="S1197" s="52"/>
    </row>
    <row r="1198" spans="1:19" x14ac:dyDescent="0.3">
      <c r="A1198" s="50">
        <v>45442</v>
      </c>
      <c r="B1198" s="25" t="s">
        <v>7065</v>
      </c>
      <c r="C1198" s="43" t="s">
        <v>7066</v>
      </c>
      <c r="D1198" s="43" t="s">
        <v>7067</v>
      </c>
      <c r="E1198" s="109" t="s">
        <v>7068</v>
      </c>
      <c r="F1198" s="109" t="s">
        <v>7069</v>
      </c>
      <c r="G1198" s="43">
        <v>5</v>
      </c>
      <c r="H1198" s="43">
        <v>2</v>
      </c>
      <c r="I1198" s="147" t="s">
        <v>605</v>
      </c>
      <c r="J1198" s="43" t="s">
        <v>539</v>
      </c>
      <c r="K1198" s="43" t="s">
        <v>1162</v>
      </c>
      <c r="L1198" s="23">
        <f t="shared" si="44"/>
        <v>624.99999999999989</v>
      </c>
      <c r="M1198" s="23">
        <f t="shared" si="45"/>
        <v>74.999999999999986</v>
      </c>
      <c r="N1198" s="23">
        <v>700</v>
      </c>
      <c r="O1198" s="53" t="s">
        <v>7070</v>
      </c>
      <c r="P1198" s="43" t="s">
        <v>5743</v>
      </c>
      <c r="Q1198" s="43" t="s">
        <v>340</v>
      </c>
      <c r="R1198" s="109" t="s">
        <v>6554</v>
      </c>
      <c r="S1198" s="52"/>
    </row>
    <row r="1199" spans="1:19" x14ac:dyDescent="0.3">
      <c r="A1199" s="50">
        <v>45442</v>
      </c>
      <c r="B1199" s="25" t="s">
        <v>7071</v>
      </c>
      <c r="C1199" s="43" t="s">
        <v>7072</v>
      </c>
      <c r="D1199" s="43" t="s">
        <v>7073</v>
      </c>
      <c r="E1199" s="109" t="s">
        <v>7074</v>
      </c>
      <c r="F1199" s="109" t="s">
        <v>7075</v>
      </c>
      <c r="G1199" s="43">
        <v>5</v>
      </c>
      <c r="H1199" s="43">
        <v>3</v>
      </c>
      <c r="I1199" s="147" t="s">
        <v>3003</v>
      </c>
      <c r="J1199" s="43" t="s">
        <v>539</v>
      </c>
      <c r="K1199" s="43" t="s">
        <v>1518</v>
      </c>
      <c r="L1199" s="23">
        <f t="shared" si="44"/>
        <v>892.85714285714278</v>
      </c>
      <c r="M1199" s="23">
        <f t="shared" si="45"/>
        <v>107.14285714285712</v>
      </c>
      <c r="N1199" s="23">
        <v>1000</v>
      </c>
      <c r="O1199" s="53" t="s">
        <v>7076</v>
      </c>
      <c r="P1199" s="43" t="s">
        <v>1482</v>
      </c>
      <c r="Q1199" s="43" t="s">
        <v>6553</v>
      </c>
      <c r="R1199" s="109" t="s">
        <v>6554</v>
      </c>
      <c r="S1199" s="52"/>
    </row>
    <row r="1200" spans="1:19" x14ac:dyDescent="0.3">
      <c r="A1200" s="50">
        <v>45442</v>
      </c>
      <c r="B1200" s="25" t="s">
        <v>7077</v>
      </c>
      <c r="C1200" s="43" t="s">
        <v>7078</v>
      </c>
      <c r="D1200" s="43" t="s">
        <v>7079</v>
      </c>
      <c r="E1200" s="109" t="s">
        <v>7080</v>
      </c>
      <c r="F1200" s="109" t="s">
        <v>7081</v>
      </c>
      <c r="G1200" s="43">
        <v>7</v>
      </c>
      <c r="H1200" s="43">
        <v>5</v>
      </c>
      <c r="I1200" s="147" t="s">
        <v>605</v>
      </c>
      <c r="J1200" s="43" t="s">
        <v>539</v>
      </c>
      <c r="K1200" s="43" t="s">
        <v>200</v>
      </c>
      <c r="L1200" s="23">
        <f t="shared" si="44"/>
        <v>1776.7857142857142</v>
      </c>
      <c r="M1200" s="23">
        <f t="shared" si="45"/>
        <v>213.21428571428569</v>
      </c>
      <c r="N1200" s="23">
        <v>1990</v>
      </c>
      <c r="O1200" s="53" t="s">
        <v>7082</v>
      </c>
      <c r="P1200" s="43" t="s">
        <v>2804</v>
      </c>
      <c r="Q1200" s="43" t="s">
        <v>2022</v>
      </c>
      <c r="R1200" s="109" t="s">
        <v>6561</v>
      </c>
      <c r="S1200" s="52"/>
    </row>
    <row r="1201" spans="1:19" x14ac:dyDescent="0.3">
      <c r="A1201" s="50">
        <v>45443</v>
      </c>
      <c r="B1201" s="25" t="s">
        <v>7083</v>
      </c>
      <c r="C1201" s="43" t="s">
        <v>7084</v>
      </c>
      <c r="D1201" s="43" t="s">
        <v>7085</v>
      </c>
      <c r="E1201" s="109" t="s">
        <v>7086</v>
      </c>
      <c r="F1201" s="109" t="s">
        <v>7087</v>
      </c>
      <c r="G1201" s="43">
        <v>5</v>
      </c>
      <c r="H1201" s="43">
        <v>7</v>
      </c>
      <c r="I1201" s="147" t="s">
        <v>605</v>
      </c>
      <c r="J1201" s="43" t="s">
        <v>539</v>
      </c>
      <c r="K1201" s="43" t="s">
        <v>1586</v>
      </c>
      <c r="L1201" s="23">
        <f t="shared" si="44"/>
        <v>3562.4999999999995</v>
      </c>
      <c r="M1201" s="23">
        <f t="shared" si="45"/>
        <v>427.49999999999994</v>
      </c>
      <c r="N1201" s="23">
        <v>3990</v>
      </c>
      <c r="O1201" s="53" t="s">
        <v>7088</v>
      </c>
      <c r="P1201" s="43" t="s">
        <v>5743</v>
      </c>
      <c r="Q1201" s="43" t="s">
        <v>65</v>
      </c>
      <c r="R1201" s="109" t="s">
        <v>6765</v>
      </c>
      <c r="S1201" s="52"/>
    </row>
    <row r="1202" spans="1:19" x14ac:dyDescent="0.3">
      <c r="A1202" s="50">
        <v>45443</v>
      </c>
      <c r="B1202" s="25" t="s">
        <v>7089</v>
      </c>
      <c r="C1202" s="43" t="s">
        <v>7090</v>
      </c>
      <c r="D1202" s="43" t="s">
        <v>7091</v>
      </c>
      <c r="E1202" s="109" t="s">
        <v>7092</v>
      </c>
      <c r="F1202" s="109" t="s">
        <v>7093</v>
      </c>
      <c r="G1202" s="43">
        <v>7</v>
      </c>
      <c r="H1202" s="43">
        <v>5</v>
      </c>
      <c r="I1202" s="147" t="s">
        <v>605</v>
      </c>
      <c r="J1202" s="43" t="s">
        <v>539</v>
      </c>
      <c r="K1202" s="43" t="s">
        <v>1586</v>
      </c>
      <c r="L1202" s="23">
        <f t="shared" si="44"/>
        <v>892.85714285714278</v>
      </c>
      <c r="M1202" s="23">
        <f t="shared" si="45"/>
        <v>107.14285714285712</v>
      </c>
      <c r="N1202" s="23">
        <v>1000</v>
      </c>
      <c r="O1202" s="53" t="s">
        <v>7094</v>
      </c>
      <c r="P1202" s="43" t="s">
        <v>335</v>
      </c>
      <c r="Q1202" s="43" t="s">
        <v>65</v>
      </c>
      <c r="R1202" s="109" t="s">
        <v>6561</v>
      </c>
      <c r="S1202" s="52"/>
    </row>
    <row r="1203" spans="1:19" x14ac:dyDescent="0.3">
      <c r="A1203" s="50">
        <v>45443</v>
      </c>
      <c r="B1203" s="25" t="s">
        <v>7095</v>
      </c>
      <c r="C1203" s="43" t="s">
        <v>7096</v>
      </c>
      <c r="D1203" s="43" t="s">
        <v>7097</v>
      </c>
      <c r="E1203" s="109" t="s">
        <v>7098</v>
      </c>
      <c r="F1203" s="109" t="s">
        <v>7099</v>
      </c>
      <c r="G1203" s="43">
        <v>10</v>
      </c>
      <c r="H1203" s="43">
        <v>10</v>
      </c>
      <c r="I1203" s="147" t="s">
        <v>617</v>
      </c>
      <c r="J1203" s="43" t="s">
        <v>539</v>
      </c>
      <c r="K1203" s="43" t="s">
        <v>980</v>
      </c>
      <c r="L1203" s="23">
        <f t="shared" si="44"/>
        <v>5541.0714285714284</v>
      </c>
      <c r="M1203" s="23">
        <f t="shared" si="45"/>
        <v>664.92857142857144</v>
      </c>
      <c r="N1203" s="23">
        <v>6206</v>
      </c>
      <c r="O1203" s="53" t="s">
        <v>7100</v>
      </c>
      <c r="P1203" s="43" t="s">
        <v>2832</v>
      </c>
      <c r="Q1203" s="43" t="s">
        <v>225</v>
      </c>
      <c r="R1203" s="109" t="s">
        <v>6655</v>
      </c>
      <c r="S1203" s="52"/>
    </row>
    <row r="1204" spans="1:19" x14ac:dyDescent="0.3">
      <c r="A1204" s="20">
        <v>45444</v>
      </c>
      <c r="B1204" s="25" t="s">
        <v>7101</v>
      </c>
      <c r="C1204" s="25" t="s">
        <v>7102</v>
      </c>
      <c r="D1204" s="25" t="s">
        <v>7103</v>
      </c>
      <c r="E1204" s="28" t="s">
        <v>7104</v>
      </c>
      <c r="F1204" s="28" t="s">
        <v>7105</v>
      </c>
      <c r="G1204" s="25">
        <v>5</v>
      </c>
      <c r="H1204" s="25">
        <v>2</v>
      </c>
      <c r="I1204" s="25" t="s">
        <v>605</v>
      </c>
      <c r="J1204" s="25" t="s">
        <v>539</v>
      </c>
      <c r="K1204" s="25" t="s">
        <v>2488</v>
      </c>
      <c r="L1204" s="167">
        <f t="shared" si="44"/>
        <v>714.28571428571422</v>
      </c>
      <c r="M1204" s="167">
        <f t="shared" si="45"/>
        <v>85.714285714285708</v>
      </c>
      <c r="N1204" s="167">
        <v>800</v>
      </c>
      <c r="O1204" s="27" t="s">
        <v>7106</v>
      </c>
      <c r="P1204" s="25" t="s">
        <v>6059</v>
      </c>
      <c r="Q1204" s="25" t="s">
        <v>3026</v>
      </c>
      <c r="R1204" s="33">
        <v>8000</v>
      </c>
      <c r="S1204" s="29"/>
    </row>
    <row r="1205" spans="1:19" x14ac:dyDescent="0.3">
      <c r="A1205" s="20">
        <v>45444</v>
      </c>
      <c r="B1205" s="25" t="s">
        <v>7107</v>
      </c>
      <c r="C1205" s="25" t="s">
        <v>7108</v>
      </c>
      <c r="D1205" s="25" t="s">
        <v>7109</v>
      </c>
      <c r="E1205" s="28" t="s">
        <v>7110</v>
      </c>
      <c r="F1205" s="28" t="s">
        <v>7111</v>
      </c>
      <c r="G1205" s="25">
        <v>6</v>
      </c>
      <c r="H1205" s="25">
        <v>4</v>
      </c>
      <c r="I1205" s="25" t="s">
        <v>605</v>
      </c>
      <c r="J1205" s="25" t="s">
        <v>539</v>
      </c>
      <c r="K1205" s="25" t="s">
        <v>980</v>
      </c>
      <c r="L1205" s="167">
        <f t="shared" si="44"/>
        <v>267.85714285714283</v>
      </c>
      <c r="M1205" s="167">
        <f t="shared" si="45"/>
        <v>32.142857142857139</v>
      </c>
      <c r="N1205" s="167">
        <v>300</v>
      </c>
      <c r="O1205" s="27" t="s">
        <v>7112</v>
      </c>
      <c r="P1205" s="25" t="s">
        <v>335</v>
      </c>
      <c r="Q1205" s="25" t="s">
        <v>782</v>
      </c>
      <c r="R1205" s="33" t="s">
        <v>7113</v>
      </c>
      <c r="S1205" s="29"/>
    </row>
    <row r="1206" spans="1:19" x14ac:dyDescent="0.3">
      <c r="A1206" s="20">
        <v>45444</v>
      </c>
      <c r="B1206" s="25" t="s">
        <v>7114</v>
      </c>
      <c r="C1206" s="25" t="s">
        <v>7115</v>
      </c>
      <c r="D1206" s="25" t="s">
        <v>7116</v>
      </c>
      <c r="E1206" s="28" t="s">
        <v>7117</v>
      </c>
      <c r="F1206" s="28" t="s">
        <v>7118</v>
      </c>
      <c r="G1206" s="25">
        <v>6</v>
      </c>
      <c r="H1206" s="25">
        <v>4</v>
      </c>
      <c r="I1206" s="25" t="s">
        <v>605</v>
      </c>
      <c r="J1206" s="25" t="s">
        <v>539</v>
      </c>
      <c r="K1206" s="25" t="s">
        <v>200</v>
      </c>
      <c r="L1206" s="167">
        <f t="shared" si="44"/>
        <v>892.85714285714278</v>
      </c>
      <c r="M1206" s="167">
        <f t="shared" si="45"/>
        <v>107.14285714285712</v>
      </c>
      <c r="N1206" s="167">
        <v>1000</v>
      </c>
      <c r="O1206" s="27" t="s">
        <v>7119</v>
      </c>
      <c r="P1206" s="25" t="s">
        <v>2832</v>
      </c>
      <c r="Q1206" s="25" t="s">
        <v>340</v>
      </c>
      <c r="R1206" s="33" t="s">
        <v>6554</v>
      </c>
      <c r="S1206" s="29"/>
    </row>
    <row r="1207" spans="1:19" x14ac:dyDescent="0.3">
      <c r="A1207" s="20">
        <v>45444</v>
      </c>
      <c r="B1207" s="25" t="s">
        <v>7120</v>
      </c>
      <c r="C1207" s="25" t="s">
        <v>7121</v>
      </c>
      <c r="D1207" s="25" t="s">
        <v>7122</v>
      </c>
      <c r="E1207" s="28" t="s">
        <v>7123</v>
      </c>
      <c r="F1207" s="28" t="s">
        <v>7124</v>
      </c>
      <c r="G1207" s="25">
        <v>5</v>
      </c>
      <c r="H1207" s="25">
        <v>3</v>
      </c>
      <c r="I1207" s="25" t="s">
        <v>605</v>
      </c>
      <c r="J1207" s="25" t="s">
        <v>539</v>
      </c>
      <c r="K1207" s="25" t="s">
        <v>199</v>
      </c>
      <c r="L1207" s="167">
        <f t="shared" si="44"/>
        <v>892.85714285714278</v>
      </c>
      <c r="M1207" s="167">
        <f t="shared" si="45"/>
        <v>107.14285714285712</v>
      </c>
      <c r="N1207" s="167">
        <v>1000</v>
      </c>
      <c r="O1207" s="27" t="s">
        <v>7125</v>
      </c>
      <c r="P1207" s="25" t="s">
        <v>7126</v>
      </c>
      <c r="Q1207" s="25" t="s">
        <v>225</v>
      </c>
      <c r="R1207" s="33">
        <v>9060</v>
      </c>
      <c r="S1207" s="29"/>
    </row>
    <row r="1208" spans="1:19" x14ac:dyDescent="0.3">
      <c r="A1208" s="20">
        <v>45447</v>
      </c>
      <c r="B1208" s="25" t="s">
        <v>7127</v>
      </c>
      <c r="C1208" s="25" t="s">
        <v>7128</v>
      </c>
      <c r="D1208" s="25" t="s">
        <v>7129</v>
      </c>
      <c r="E1208" s="28" t="s">
        <v>7130</v>
      </c>
      <c r="F1208" s="28" t="s">
        <v>7131</v>
      </c>
      <c r="G1208" s="25">
        <v>5</v>
      </c>
      <c r="H1208" s="25">
        <v>3</v>
      </c>
      <c r="I1208" s="25" t="s">
        <v>3003</v>
      </c>
      <c r="J1208" s="25" t="s">
        <v>539</v>
      </c>
      <c r="K1208" s="25" t="s">
        <v>2488</v>
      </c>
      <c r="L1208" s="167">
        <f t="shared" si="44"/>
        <v>982.142857142857</v>
      </c>
      <c r="M1208" s="167">
        <f t="shared" si="45"/>
        <v>117.85714285714283</v>
      </c>
      <c r="N1208" s="167">
        <v>1100</v>
      </c>
      <c r="O1208" s="27" t="s">
        <v>7132</v>
      </c>
      <c r="P1208" s="25" t="s">
        <v>2804</v>
      </c>
      <c r="Q1208" s="25" t="s">
        <v>6553</v>
      </c>
      <c r="R1208" s="33">
        <v>9060</v>
      </c>
      <c r="S1208" s="29"/>
    </row>
    <row r="1209" spans="1:19" x14ac:dyDescent="0.3">
      <c r="A1209" s="20">
        <v>45447</v>
      </c>
      <c r="B1209" s="25" t="s">
        <v>7133</v>
      </c>
      <c r="C1209" s="25" t="s">
        <v>7134</v>
      </c>
      <c r="D1209" s="25" t="s">
        <v>7135</v>
      </c>
      <c r="E1209" s="28" t="s">
        <v>7136</v>
      </c>
      <c r="F1209" s="28" t="s">
        <v>7137</v>
      </c>
      <c r="G1209" s="25">
        <v>5</v>
      </c>
      <c r="H1209" s="25">
        <v>6</v>
      </c>
      <c r="I1209" s="25" t="s">
        <v>605</v>
      </c>
      <c r="J1209" s="25" t="s">
        <v>539</v>
      </c>
      <c r="K1209" s="25" t="s">
        <v>200</v>
      </c>
      <c r="L1209" s="167">
        <f t="shared" si="44"/>
        <v>1892.8571428571427</v>
      </c>
      <c r="M1209" s="167">
        <f t="shared" si="45"/>
        <v>227.14285714285711</v>
      </c>
      <c r="N1209" s="167">
        <v>2120</v>
      </c>
      <c r="O1209" s="27" t="s">
        <v>7138</v>
      </c>
      <c r="P1209" s="25" t="s">
        <v>2804</v>
      </c>
      <c r="Q1209" s="25" t="s">
        <v>65</v>
      </c>
      <c r="R1209" s="33" t="s">
        <v>6554</v>
      </c>
      <c r="S1209" s="29"/>
    </row>
    <row r="1210" spans="1:19" x14ac:dyDescent="0.3">
      <c r="A1210" s="20">
        <v>45448</v>
      </c>
      <c r="B1210" s="25" t="s">
        <v>7139</v>
      </c>
      <c r="C1210" s="25" t="s">
        <v>7140</v>
      </c>
      <c r="D1210" s="25" t="s">
        <v>7141</v>
      </c>
      <c r="E1210" s="28" t="s">
        <v>7142</v>
      </c>
      <c r="F1210" s="28" t="s">
        <v>7143</v>
      </c>
      <c r="G1210" s="25">
        <v>7</v>
      </c>
      <c r="H1210" s="25">
        <v>3</v>
      </c>
      <c r="I1210" s="25" t="s">
        <v>605</v>
      </c>
      <c r="J1210" s="25" t="s">
        <v>539</v>
      </c>
      <c r="K1210" s="25" t="s">
        <v>199</v>
      </c>
      <c r="L1210" s="167">
        <f t="shared" si="44"/>
        <v>892.85714285714278</v>
      </c>
      <c r="M1210" s="167">
        <f t="shared" si="45"/>
        <v>107.14285714285712</v>
      </c>
      <c r="N1210" s="167">
        <v>1000</v>
      </c>
      <c r="O1210" s="27" t="s">
        <v>7144</v>
      </c>
      <c r="P1210" s="25" t="s">
        <v>6428</v>
      </c>
      <c r="Q1210" s="25" t="s">
        <v>340</v>
      </c>
      <c r="R1210" s="33" t="s">
        <v>6554</v>
      </c>
      <c r="S1210" s="29"/>
    </row>
    <row r="1211" spans="1:19" x14ac:dyDescent="0.3">
      <c r="A1211" s="20">
        <v>45449</v>
      </c>
      <c r="B1211" s="43" t="s">
        <v>7145</v>
      </c>
      <c r="C1211" s="25" t="s">
        <v>7146</v>
      </c>
      <c r="D1211" s="25" t="s">
        <v>7147</v>
      </c>
      <c r="E1211" s="28" t="s">
        <v>7148</v>
      </c>
      <c r="F1211" s="28" t="s">
        <v>7149</v>
      </c>
      <c r="G1211" s="25">
        <v>6</v>
      </c>
      <c r="H1211" s="25">
        <v>6</v>
      </c>
      <c r="I1211" s="25" t="s">
        <v>611</v>
      </c>
      <c r="J1211" s="25" t="s">
        <v>539</v>
      </c>
      <c r="K1211" s="25" t="s">
        <v>199</v>
      </c>
      <c r="L1211" s="167">
        <f t="shared" si="44"/>
        <v>1776.7857142857142</v>
      </c>
      <c r="M1211" s="167">
        <f t="shared" si="45"/>
        <v>213.21428571428569</v>
      </c>
      <c r="N1211" s="167">
        <v>1990</v>
      </c>
      <c r="O1211" s="27" t="s">
        <v>7150</v>
      </c>
      <c r="P1211" s="25" t="s">
        <v>335</v>
      </c>
      <c r="Q1211" s="25" t="s">
        <v>782</v>
      </c>
      <c r="R1211" s="33" t="s">
        <v>6655</v>
      </c>
      <c r="S1211" s="29"/>
    </row>
    <row r="1212" spans="1:19" x14ac:dyDescent="0.3">
      <c r="A1212" s="20">
        <v>45449</v>
      </c>
      <c r="B1212" s="43" t="s">
        <v>7151</v>
      </c>
      <c r="C1212" s="25" t="s">
        <v>7152</v>
      </c>
      <c r="D1212" s="25" t="s">
        <v>7153</v>
      </c>
      <c r="E1212" s="28" t="s">
        <v>7154</v>
      </c>
      <c r="F1212" s="28" t="s">
        <v>7155</v>
      </c>
      <c r="G1212" s="25">
        <v>10</v>
      </c>
      <c r="H1212" s="25">
        <v>10</v>
      </c>
      <c r="I1212" s="25" t="s">
        <v>7156</v>
      </c>
      <c r="J1212" s="25" t="s">
        <v>539</v>
      </c>
      <c r="K1212" s="25" t="s">
        <v>980</v>
      </c>
      <c r="L1212" s="167">
        <f t="shared" si="44"/>
        <v>3562.4999999999995</v>
      </c>
      <c r="M1212" s="167">
        <f t="shared" si="45"/>
        <v>427.49999999999994</v>
      </c>
      <c r="N1212" s="167">
        <v>3990</v>
      </c>
      <c r="O1212" s="27" t="s">
        <v>7157</v>
      </c>
      <c r="P1212" s="25" t="s">
        <v>2804</v>
      </c>
      <c r="Q1212" s="25" t="s">
        <v>3026</v>
      </c>
      <c r="R1212" s="33">
        <v>9060</v>
      </c>
      <c r="S1212" s="29"/>
    </row>
    <row r="1213" spans="1:19" x14ac:dyDescent="0.3">
      <c r="A1213" s="20">
        <v>45449</v>
      </c>
      <c r="B1213" s="43" t="s">
        <v>7158</v>
      </c>
      <c r="C1213" s="25" t="s">
        <v>5369</v>
      </c>
      <c r="D1213" s="25" t="s">
        <v>7159</v>
      </c>
      <c r="E1213" s="28" t="s">
        <v>7160</v>
      </c>
      <c r="F1213" s="28" t="s">
        <v>7161</v>
      </c>
      <c r="G1213" s="25">
        <v>12</v>
      </c>
      <c r="H1213" s="25">
        <v>10</v>
      </c>
      <c r="I1213" s="25" t="s">
        <v>617</v>
      </c>
      <c r="J1213" s="25" t="s">
        <v>539</v>
      </c>
      <c r="K1213" s="25" t="s">
        <v>199</v>
      </c>
      <c r="L1213" s="167">
        <f t="shared" si="44"/>
        <v>4455.3571428571422</v>
      </c>
      <c r="M1213" s="167">
        <f t="shared" si="45"/>
        <v>534.642857142857</v>
      </c>
      <c r="N1213" s="167">
        <v>4990</v>
      </c>
      <c r="O1213" s="27" t="s">
        <v>7162</v>
      </c>
      <c r="P1213" s="25" t="s">
        <v>6428</v>
      </c>
      <c r="Q1213" s="25" t="s">
        <v>7163</v>
      </c>
      <c r="R1213" s="33" t="s">
        <v>6554</v>
      </c>
      <c r="S1213" s="29"/>
    </row>
    <row r="1214" spans="1:19" x14ac:dyDescent="0.3">
      <c r="A1214" s="20">
        <v>45449</v>
      </c>
      <c r="B1214" s="43" t="s">
        <v>7164</v>
      </c>
      <c r="C1214" s="25" t="s">
        <v>7165</v>
      </c>
      <c r="D1214" s="25" t="s">
        <v>7166</v>
      </c>
      <c r="E1214" s="28" t="s">
        <v>7167</v>
      </c>
      <c r="F1214" s="28" t="s">
        <v>7168</v>
      </c>
      <c r="G1214" s="25">
        <v>3</v>
      </c>
      <c r="H1214" s="25">
        <v>3</v>
      </c>
      <c r="I1214" s="25" t="s">
        <v>605</v>
      </c>
      <c r="J1214" s="25" t="s">
        <v>539</v>
      </c>
      <c r="K1214" s="25" t="s">
        <v>200</v>
      </c>
      <c r="L1214" s="167">
        <f t="shared" si="44"/>
        <v>624.99999999999989</v>
      </c>
      <c r="M1214" s="167">
        <f t="shared" si="45"/>
        <v>74.999999999999986</v>
      </c>
      <c r="N1214" s="167">
        <v>700</v>
      </c>
      <c r="O1214" s="27" t="s">
        <v>7169</v>
      </c>
      <c r="P1214" s="25" t="s">
        <v>5743</v>
      </c>
      <c r="Q1214" s="25" t="s">
        <v>2022</v>
      </c>
      <c r="R1214" s="33" t="s">
        <v>6554</v>
      </c>
      <c r="S1214" s="29"/>
    </row>
    <row r="1215" spans="1:19" x14ac:dyDescent="0.3">
      <c r="A1215" s="20">
        <v>45449</v>
      </c>
      <c r="B1215" s="43" t="s">
        <v>7170</v>
      </c>
      <c r="C1215" s="25" t="s">
        <v>7171</v>
      </c>
      <c r="D1215" s="25" t="s">
        <v>7172</v>
      </c>
      <c r="E1215" s="28" t="s">
        <v>7173</v>
      </c>
      <c r="F1215" s="28" t="s">
        <v>7174</v>
      </c>
      <c r="G1215" s="25">
        <v>5</v>
      </c>
      <c r="H1215" s="25">
        <v>5</v>
      </c>
      <c r="I1215" s="25" t="s">
        <v>611</v>
      </c>
      <c r="J1215" s="25" t="s">
        <v>539</v>
      </c>
      <c r="K1215" s="25" t="s">
        <v>199</v>
      </c>
      <c r="L1215" s="167">
        <f t="shared" si="44"/>
        <v>1776.7857142857142</v>
      </c>
      <c r="M1215" s="167">
        <f t="shared" si="45"/>
        <v>213.21428571428569</v>
      </c>
      <c r="N1215" s="167">
        <v>1990</v>
      </c>
      <c r="O1215" s="27" t="s">
        <v>7175</v>
      </c>
      <c r="P1215" s="25" t="s">
        <v>2832</v>
      </c>
      <c r="Q1215" s="25" t="s">
        <v>340</v>
      </c>
      <c r="R1215" s="33" t="s">
        <v>6554</v>
      </c>
      <c r="S1215" s="29"/>
    </row>
    <row r="1216" spans="1:19" x14ac:dyDescent="0.3">
      <c r="A1216" s="20">
        <v>45450</v>
      </c>
      <c r="B1216" s="43" t="s">
        <v>7176</v>
      </c>
      <c r="C1216" s="25" t="s">
        <v>7177</v>
      </c>
      <c r="D1216" s="25" t="s">
        <v>7178</v>
      </c>
      <c r="E1216" s="28" t="s">
        <v>7179</v>
      </c>
      <c r="F1216" s="28" t="s">
        <v>7180</v>
      </c>
      <c r="G1216" s="25">
        <v>12</v>
      </c>
      <c r="H1216" s="25">
        <v>12</v>
      </c>
      <c r="I1216" s="25" t="s">
        <v>617</v>
      </c>
      <c r="J1216" s="25" t="s">
        <v>539</v>
      </c>
      <c r="K1216" s="25" t="s">
        <v>199</v>
      </c>
      <c r="L1216" s="167">
        <f t="shared" si="44"/>
        <v>4910.7142857142853</v>
      </c>
      <c r="M1216" s="167">
        <f t="shared" si="45"/>
        <v>589.28571428571422</v>
      </c>
      <c r="N1216" s="167">
        <v>5500</v>
      </c>
      <c r="O1216" s="27" t="s">
        <v>7181</v>
      </c>
      <c r="P1216" s="25" t="s">
        <v>2832</v>
      </c>
      <c r="Q1216" s="25" t="s">
        <v>225</v>
      </c>
      <c r="R1216" s="33" t="s">
        <v>6655</v>
      </c>
      <c r="S1216" s="29"/>
    </row>
    <row r="1217" spans="1:19" x14ac:dyDescent="0.3">
      <c r="A1217" s="20">
        <v>45450</v>
      </c>
      <c r="B1217" s="43" t="s">
        <v>7182</v>
      </c>
      <c r="C1217" s="25" t="s">
        <v>2092</v>
      </c>
      <c r="D1217" s="25" t="s">
        <v>7183</v>
      </c>
      <c r="E1217" s="28" t="s">
        <v>7184</v>
      </c>
      <c r="F1217" s="28" t="s">
        <v>7185</v>
      </c>
      <c r="G1217" s="25">
        <v>7</v>
      </c>
      <c r="H1217" s="25">
        <v>4</v>
      </c>
      <c r="I1217" s="25" t="s">
        <v>605</v>
      </c>
      <c r="J1217" s="25" t="s">
        <v>539</v>
      </c>
      <c r="K1217" s="25" t="s">
        <v>2488</v>
      </c>
      <c r="L1217" s="167">
        <f t="shared" si="44"/>
        <v>1071.4285714285713</v>
      </c>
      <c r="M1217" s="167">
        <f t="shared" si="45"/>
        <v>128.57142857142856</v>
      </c>
      <c r="N1217" s="167">
        <v>1200</v>
      </c>
      <c r="O1217" s="27" t="s">
        <v>7186</v>
      </c>
      <c r="P1217" s="25" t="s">
        <v>6428</v>
      </c>
      <c r="Q1217" s="25" t="s">
        <v>782</v>
      </c>
      <c r="R1217" s="33" t="s">
        <v>6655</v>
      </c>
      <c r="S1217" s="29"/>
    </row>
    <row r="1218" spans="1:19" x14ac:dyDescent="0.3">
      <c r="A1218" s="20">
        <v>45451</v>
      </c>
      <c r="B1218" s="25" t="s">
        <v>7187</v>
      </c>
      <c r="C1218" s="25" t="s">
        <v>7188</v>
      </c>
      <c r="D1218" s="25" t="s">
        <v>7189</v>
      </c>
      <c r="E1218" s="28" t="s">
        <v>7190</v>
      </c>
      <c r="F1218" s="28" t="s">
        <v>7191</v>
      </c>
      <c r="G1218" s="25">
        <v>5</v>
      </c>
      <c r="H1218" s="25">
        <v>3</v>
      </c>
      <c r="I1218" s="25" t="s">
        <v>605</v>
      </c>
      <c r="J1218" s="25" t="s">
        <v>539</v>
      </c>
      <c r="K1218" s="25" t="s">
        <v>200</v>
      </c>
      <c r="L1218" s="167">
        <f t="shared" si="44"/>
        <v>1071.4285714285713</v>
      </c>
      <c r="M1218" s="167">
        <f t="shared" si="45"/>
        <v>128.57142857142856</v>
      </c>
      <c r="N1218" s="167">
        <v>1200</v>
      </c>
      <c r="O1218" s="27" t="s">
        <v>7192</v>
      </c>
      <c r="P1218" s="25" t="s">
        <v>2804</v>
      </c>
      <c r="Q1218" s="25" t="s">
        <v>225</v>
      </c>
      <c r="R1218" s="33">
        <v>9060</v>
      </c>
      <c r="S1218" s="29"/>
    </row>
    <row r="1219" spans="1:19" x14ac:dyDescent="0.3">
      <c r="A1219" s="20">
        <v>45451</v>
      </c>
      <c r="B1219" s="25" t="s">
        <v>7193</v>
      </c>
      <c r="C1219" s="25" t="s">
        <v>2365</v>
      </c>
      <c r="D1219" s="25" t="s">
        <v>7194</v>
      </c>
      <c r="E1219" s="28" t="s">
        <v>7195</v>
      </c>
      <c r="F1219" s="28" t="s">
        <v>7196</v>
      </c>
      <c r="G1219" s="25">
        <v>8</v>
      </c>
      <c r="H1219" s="25">
        <v>5</v>
      </c>
      <c r="I1219" s="25" t="s">
        <v>617</v>
      </c>
      <c r="J1219" s="25" t="s">
        <v>539</v>
      </c>
      <c r="K1219" s="25" t="s">
        <v>199</v>
      </c>
      <c r="L1219" s="167">
        <f t="shared" si="44"/>
        <v>937.49999999999989</v>
      </c>
      <c r="M1219" s="167">
        <f t="shared" si="45"/>
        <v>112.49999999999999</v>
      </c>
      <c r="N1219" s="167">
        <v>1050</v>
      </c>
      <c r="O1219" s="27" t="s">
        <v>7197</v>
      </c>
      <c r="P1219" s="25" t="s">
        <v>335</v>
      </c>
      <c r="Q1219" s="25" t="s">
        <v>340</v>
      </c>
      <c r="R1219" s="33" t="s">
        <v>6554</v>
      </c>
      <c r="S1219" s="29"/>
    </row>
    <row r="1220" spans="1:19" x14ac:dyDescent="0.3">
      <c r="A1220" s="20">
        <v>45451</v>
      </c>
      <c r="B1220" s="25" t="s">
        <v>7198</v>
      </c>
      <c r="C1220" s="25" t="s">
        <v>7199</v>
      </c>
      <c r="D1220" s="25" t="s">
        <v>7200</v>
      </c>
      <c r="E1220" s="28" t="s">
        <v>7201</v>
      </c>
      <c r="F1220" s="28" t="s">
        <v>7202</v>
      </c>
      <c r="G1220" s="25"/>
      <c r="H1220" s="25">
        <v>8</v>
      </c>
      <c r="I1220" s="25" t="s">
        <v>605</v>
      </c>
      <c r="J1220" s="25" t="s">
        <v>539</v>
      </c>
      <c r="K1220" s="25" t="s">
        <v>199</v>
      </c>
      <c r="L1220" s="167">
        <f t="shared" si="44"/>
        <v>892.85714285714278</v>
      </c>
      <c r="M1220" s="167">
        <f t="shared" si="45"/>
        <v>107.14285714285712</v>
      </c>
      <c r="N1220" s="167">
        <v>1000</v>
      </c>
      <c r="O1220" s="27" t="s">
        <v>7203</v>
      </c>
      <c r="P1220" s="25" t="s">
        <v>335</v>
      </c>
      <c r="Q1220" s="25" t="s">
        <v>782</v>
      </c>
      <c r="R1220" s="33" t="s">
        <v>6655</v>
      </c>
      <c r="S1220" s="29"/>
    </row>
    <row r="1221" spans="1:19" x14ac:dyDescent="0.3">
      <c r="A1221" s="20">
        <v>45451</v>
      </c>
      <c r="B1221" s="25" t="s">
        <v>7204</v>
      </c>
      <c r="C1221" s="25" t="s">
        <v>7205</v>
      </c>
      <c r="D1221" s="25" t="s">
        <v>7206</v>
      </c>
      <c r="E1221" s="28" t="s">
        <v>7207</v>
      </c>
      <c r="F1221" s="28" t="s">
        <v>7208</v>
      </c>
      <c r="G1221" s="25">
        <v>7</v>
      </c>
      <c r="H1221" s="25">
        <v>6</v>
      </c>
      <c r="I1221" s="25" t="s">
        <v>611</v>
      </c>
      <c r="J1221" s="25" t="s">
        <v>539</v>
      </c>
      <c r="K1221" s="25" t="s">
        <v>980</v>
      </c>
      <c r="L1221" s="167">
        <f t="shared" si="44"/>
        <v>1776.7857142857142</v>
      </c>
      <c r="M1221" s="167">
        <f t="shared" si="45"/>
        <v>213.21428571428569</v>
      </c>
      <c r="N1221" s="167">
        <v>1990</v>
      </c>
      <c r="O1221" s="27" t="s">
        <v>7209</v>
      </c>
      <c r="P1221" s="25" t="s">
        <v>2804</v>
      </c>
      <c r="Q1221" s="25" t="s">
        <v>65</v>
      </c>
      <c r="R1221" s="33" t="s">
        <v>6554</v>
      </c>
      <c r="S1221" s="29"/>
    </row>
    <row r="1222" spans="1:19" x14ac:dyDescent="0.3">
      <c r="A1222" s="20">
        <v>45454</v>
      </c>
      <c r="B1222" s="25" t="s">
        <v>7210</v>
      </c>
      <c r="C1222" s="25" t="s">
        <v>7211</v>
      </c>
      <c r="D1222" s="25" t="s">
        <v>7212</v>
      </c>
      <c r="E1222" s="28" t="s">
        <v>7213</v>
      </c>
      <c r="F1222" s="28" t="s">
        <v>7214</v>
      </c>
      <c r="G1222" s="25">
        <v>7</v>
      </c>
      <c r="H1222" s="25">
        <v>6</v>
      </c>
      <c r="I1222" s="25" t="s">
        <v>611</v>
      </c>
      <c r="J1222" s="25" t="s">
        <v>539</v>
      </c>
      <c r="K1222" s="25" t="s">
        <v>1586</v>
      </c>
      <c r="L1222" s="167">
        <f t="shared" si="44"/>
        <v>1517.8571428571427</v>
      </c>
      <c r="M1222" s="167">
        <f t="shared" si="45"/>
        <v>182.14285714285711</v>
      </c>
      <c r="N1222" s="167">
        <v>1700</v>
      </c>
      <c r="O1222" s="27" t="s">
        <v>7215</v>
      </c>
      <c r="P1222" s="25" t="s">
        <v>335</v>
      </c>
      <c r="Q1222" s="25" t="s">
        <v>782</v>
      </c>
      <c r="R1222" s="33">
        <v>9060</v>
      </c>
      <c r="S1222" s="29"/>
    </row>
    <row r="1223" spans="1:19" x14ac:dyDescent="0.3">
      <c r="A1223" s="20">
        <v>45454</v>
      </c>
      <c r="B1223" s="25" t="s">
        <v>7216</v>
      </c>
      <c r="C1223" s="25" t="s">
        <v>7217</v>
      </c>
      <c r="D1223" s="25" t="s">
        <v>7218</v>
      </c>
      <c r="E1223" s="28" t="s">
        <v>7219</v>
      </c>
      <c r="F1223" s="28" t="s">
        <v>7220</v>
      </c>
      <c r="G1223" s="25">
        <v>5</v>
      </c>
      <c r="H1223" s="25">
        <v>4</v>
      </c>
      <c r="I1223" s="25" t="s">
        <v>3003</v>
      </c>
      <c r="J1223" s="25" t="s">
        <v>539</v>
      </c>
      <c r="K1223" s="25" t="s">
        <v>2488</v>
      </c>
      <c r="L1223" s="167">
        <f t="shared" si="44"/>
        <v>982.142857142857</v>
      </c>
      <c r="M1223" s="167">
        <f t="shared" si="45"/>
        <v>117.85714285714283</v>
      </c>
      <c r="N1223" s="167">
        <v>1100</v>
      </c>
      <c r="O1223" s="27" t="s">
        <v>7221</v>
      </c>
      <c r="P1223" s="25" t="s">
        <v>335</v>
      </c>
      <c r="Q1223" s="25" t="s">
        <v>3026</v>
      </c>
      <c r="R1223" s="33" t="s">
        <v>6554</v>
      </c>
      <c r="S1223" s="29"/>
    </row>
    <row r="1224" spans="1:19" x14ac:dyDescent="0.3">
      <c r="A1224" s="20">
        <v>45455</v>
      </c>
      <c r="B1224" s="25" t="s">
        <v>7222</v>
      </c>
      <c r="C1224" s="25" t="s">
        <v>7223</v>
      </c>
      <c r="D1224" s="25" t="s">
        <v>7224</v>
      </c>
      <c r="E1224" s="28" t="s">
        <v>7225</v>
      </c>
      <c r="F1224" s="28" t="s">
        <v>7226</v>
      </c>
      <c r="G1224" s="25">
        <v>6</v>
      </c>
      <c r="H1224" s="25">
        <v>4</v>
      </c>
      <c r="I1224" s="25" t="s">
        <v>605</v>
      </c>
      <c r="J1224" s="25" t="s">
        <v>539</v>
      </c>
      <c r="K1224" s="25" t="s">
        <v>200</v>
      </c>
      <c r="L1224" s="167">
        <f t="shared" si="44"/>
        <v>1339.2857142857142</v>
      </c>
      <c r="M1224" s="167">
        <f t="shared" si="45"/>
        <v>160.71428571428569</v>
      </c>
      <c r="N1224" s="167">
        <v>1500</v>
      </c>
      <c r="O1224" s="27" t="s">
        <v>7227</v>
      </c>
      <c r="P1224" s="25" t="s">
        <v>6428</v>
      </c>
      <c r="Q1224" s="25" t="s">
        <v>225</v>
      </c>
      <c r="R1224" s="33" t="s">
        <v>6554</v>
      </c>
      <c r="S1224" s="29"/>
    </row>
    <row r="1225" spans="1:19" x14ac:dyDescent="0.3">
      <c r="A1225" s="20">
        <v>45455</v>
      </c>
      <c r="B1225" s="25" t="s">
        <v>7228</v>
      </c>
      <c r="C1225" s="25" t="s">
        <v>7229</v>
      </c>
      <c r="D1225" s="25" t="s">
        <v>7230</v>
      </c>
      <c r="E1225" s="28" t="s">
        <v>7231</v>
      </c>
      <c r="F1225" s="28" t="s">
        <v>7232</v>
      </c>
      <c r="G1225" s="25">
        <v>5</v>
      </c>
      <c r="H1225" s="25">
        <v>2</v>
      </c>
      <c r="I1225" s="25" t="s">
        <v>3003</v>
      </c>
      <c r="J1225" s="25" t="s">
        <v>539</v>
      </c>
      <c r="K1225" s="25" t="s">
        <v>1586</v>
      </c>
      <c r="L1225" s="167">
        <f t="shared" si="44"/>
        <v>714.28571428571422</v>
      </c>
      <c r="M1225" s="167">
        <f t="shared" si="45"/>
        <v>85.714285714285708</v>
      </c>
      <c r="N1225" s="167">
        <v>800</v>
      </c>
      <c r="O1225" s="27" t="s">
        <v>7233</v>
      </c>
      <c r="P1225" s="25" t="s">
        <v>1482</v>
      </c>
      <c r="Q1225" s="25" t="s">
        <v>3026</v>
      </c>
      <c r="R1225" s="33" t="s">
        <v>6554</v>
      </c>
      <c r="S1225" s="29"/>
    </row>
    <row r="1226" spans="1:19" x14ac:dyDescent="0.3">
      <c r="A1226" s="20">
        <v>45455</v>
      </c>
      <c r="B1226" s="25" t="s">
        <v>7234</v>
      </c>
      <c r="C1226" s="25" t="s">
        <v>7235</v>
      </c>
      <c r="D1226" s="25" t="s">
        <v>7236</v>
      </c>
      <c r="E1226" s="28" t="s">
        <v>7237</v>
      </c>
      <c r="F1226" s="28" t="s">
        <v>7238</v>
      </c>
      <c r="G1226" s="25">
        <v>6</v>
      </c>
      <c r="H1226" s="25">
        <v>3</v>
      </c>
      <c r="I1226" s="25" t="s">
        <v>617</v>
      </c>
      <c r="J1226" s="25" t="s">
        <v>539</v>
      </c>
      <c r="K1226" s="25" t="s">
        <v>1586</v>
      </c>
      <c r="L1226" s="167">
        <f t="shared" si="44"/>
        <v>1315.1785714285713</v>
      </c>
      <c r="M1226" s="167">
        <f t="shared" si="45"/>
        <v>157.82142857142856</v>
      </c>
      <c r="N1226" s="167">
        <v>1473</v>
      </c>
      <c r="O1226" s="27" t="s">
        <v>7239</v>
      </c>
      <c r="P1226" s="25" t="s">
        <v>2804</v>
      </c>
      <c r="Q1226" s="25" t="s">
        <v>65</v>
      </c>
      <c r="R1226" s="33" t="s">
        <v>6554</v>
      </c>
      <c r="S1226" s="29"/>
    </row>
    <row r="1227" spans="1:19" x14ac:dyDescent="0.3">
      <c r="A1227" s="20">
        <v>45456</v>
      </c>
      <c r="B1227" s="25" t="s">
        <v>7240</v>
      </c>
      <c r="C1227" s="25" t="s">
        <v>7241</v>
      </c>
      <c r="D1227" s="25" t="s">
        <v>7242</v>
      </c>
      <c r="E1227" s="28" t="s">
        <v>7243</v>
      </c>
      <c r="F1227" s="28" t="s">
        <v>7244</v>
      </c>
      <c r="G1227" s="25">
        <v>5</v>
      </c>
      <c r="H1227" s="25">
        <v>5</v>
      </c>
      <c r="I1227" s="25" t="s">
        <v>3003</v>
      </c>
      <c r="J1227" s="25" t="s">
        <v>539</v>
      </c>
      <c r="K1227" s="25" t="s">
        <v>2488</v>
      </c>
      <c r="L1227" s="167">
        <f t="shared" si="44"/>
        <v>1071.4285714285713</v>
      </c>
      <c r="M1227" s="167">
        <f t="shared" si="45"/>
        <v>128.57142857142856</v>
      </c>
      <c r="N1227" s="167">
        <v>1200</v>
      </c>
      <c r="O1227" s="27" t="s">
        <v>7245</v>
      </c>
      <c r="P1227" s="25" t="s">
        <v>5743</v>
      </c>
      <c r="Q1227" s="25" t="s">
        <v>3026</v>
      </c>
      <c r="R1227" s="33" t="s">
        <v>6554</v>
      </c>
      <c r="S1227" s="29"/>
    </row>
    <row r="1228" spans="1:19" x14ac:dyDescent="0.3">
      <c r="A1228" s="20">
        <v>45456</v>
      </c>
      <c r="B1228" s="25" t="s">
        <v>7246</v>
      </c>
      <c r="C1228" s="25" t="s">
        <v>7247</v>
      </c>
      <c r="D1228" s="25" t="s">
        <v>7248</v>
      </c>
      <c r="E1228" s="28" t="s">
        <v>7249</v>
      </c>
      <c r="F1228" s="28" t="s">
        <v>7250</v>
      </c>
      <c r="G1228" s="25">
        <v>5</v>
      </c>
      <c r="H1228" s="25">
        <v>3</v>
      </c>
      <c r="I1228" s="25" t="s">
        <v>605</v>
      </c>
      <c r="J1228" s="25" t="s">
        <v>539</v>
      </c>
      <c r="K1228" s="25" t="s">
        <v>2488</v>
      </c>
      <c r="L1228" s="167">
        <f t="shared" si="44"/>
        <v>892.85714285714278</v>
      </c>
      <c r="M1228" s="167">
        <f t="shared" si="45"/>
        <v>107.14285714285712</v>
      </c>
      <c r="N1228" s="167">
        <v>1000</v>
      </c>
      <c r="O1228" s="27" t="s">
        <v>7251</v>
      </c>
      <c r="P1228" s="25" t="s">
        <v>6428</v>
      </c>
      <c r="Q1228" s="25" t="s">
        <v>2022</v>
      </c>
      <c r="R1228" s="33" t="s">
        <v>6554</v>
      </c>
      <c r="S1228" s="29"/>
    </row>
    <row r="1229" spans="1:19" x14ac:dyDescent="0.3">
      <c r="A1229" s="20">
        <v>45456</v>
      </c>
      <c r="B1229" s="25" t="s">
        <v>7252</v>
      </c>
      <c r="C1229" s="25" t="s">
        <v>7253</v>
      </c>
      <c r="D1229" s="25" t="s">
        <v>7254</v>
      </c>
      <c r="E1229" s="28" t="s">
        <v>7255</v>
      </c>
      <c r="F1229" s="28" t="s">
        <v>7256</v>
      </c>
      <c r="G1229" s="25">
        <v>5</v>
      </c>
      <c r="H1229" s="25">
        <v>3</v>
      </c>
      <c r="I1229" s="25" t="s">
        <v>617</v>
      </c>
      <c r="J1229" s="25" t="s">
        <v>539</v>
      </c>
      <c r="K1229" s="25" t="s">
        <v>1586</v>
      </c>
      <c r="L1229" s="167">
        <f t="shared" si="44"/>
        <v>937.49999999999989</v>
      </c>
      <c r="M1229" s="167">
        <f t="shared" si="45"/>
        <v>112.49999999999999</v>
      </c>
      <c r="N1229" s="167">
        <v>1050</v>
      </c>
      <c r="O1229" s="27" t="s">
        <v>7257</v>
      </c>
      <c r="P1229" s="25" t="s">
        <v>2832</v>
      </c>
      <c r="Q1229" s="25" t="s">
        <v>225</v>
      </c>
      <c r="R1229" s="33">
        <v>9060</v>
      </c>
      <c r="S1229" s="29"/>
    </row>
    <row r="1230" spans="1:19" x14ac:dyDescent="0.3">
      <c r="A1230" s="20">
        <v>45457</v>
      </c>
      <c r="B1230" s="25" t="s">
        <v>7258</v>
      </c>
      <c r="C1230" s="25" t="s">
        <v>7259</v>
      </c>
      <c r="D1230" s="25" t="s">
        <v>7260</v>
      </c>
      <c r="E1230" s="28" t="s">
        <v>7261</v>
      </c>
      <c r="F1230" s="28" t="s">
        <v>7262</v>
      </c>
      <c r="G1230" s="25">
        <v>8</v>
      </c>
      <c r="H1230" s="25">
        <v>12</v>
      </c>
      <c r="I1230" s="25" t="s">
        <v>611</v>
      </c>
      <c r="J1230" s="25" t="s">
        <v>539</v>
      </c>
      <c r="K1230" s="25" t="s">
        <v>1586</v>
      </c>
      <c r="L1230" s="167">
        <f t="shared" ref="L1230:L1293" si="46">+N1230/1.12</f>
        <v>3562.4999999999995</v>
      </c>
      <c r="M1230" s="167">
        <f t="shared" ref="M1230:M1293" si="47">+L1230*12%</f>
        <v>427.49999999999994</v>
      </c>
      <c r="N1230" s="167">
        <v>3990</v>
      </c>
      <c r="O1230" s="27" t="s">
        <v>7263</v>
      </c>
      <c r="P1230" s="25" t="s">
        <v>6428</v>
      </c>
      <c r="Q1230" s="25" t="s">
        <v>782</v>
      </c>
      <c r="R1230" s="33" t="s">
        <v>6655</v>
      </c>
      <c r="S1230" s="29"/>
    </row>
    <row r="1231" spans="1:19" x14ac:dyDescent="0.3">
      <c r="A1231" s="20">
        <v>45457</v>
      </c>
      <c r="B1231" s="25" t="s">
        <v>7264</v>
      </c>
      <c r="C1231" s="25" t="s">
        <v>7265</v>
      </c>
      <c r="D1231" s="25" t="s">
        <v>7266</v>
      </c>
      <c r="E1231" s="28" t="s">
        <v>7267</v>
      </c>
      <c r="F1231" s="28" t="s">
        <v>7268</v>
      </c>
      <c r="G1231" s="25">
        <v>5</v>
      </c>
      <c r="H1231" s="25">
        <v>3</v>
      </c>
      <c r="I1231" s="25" t="s">
        <v>605</v>
      </c>
      <c r="J1231" s="25" t="s">
        <v>539</v>
      </c>
      <c r="K1231" s="25" t="s">
        <v>1518</v>
      </c>
      <c r="L1231" s="167">
        <f t="shared" si="46"/>
        <v>892.85714285714278</v>
      </c>
      <c r="M1231" s="167">
        <f t="shared" si="47"/>
        <v>107.14285714285712</v>
      </c>
      <c r="N1231" s="167">
        <v>1000</v>
      </c>
      <c r="O1231" s="27" t="s">
        <v>7269</v>
      </c>
      <c r="P1231" s="25" t="s">
        <v>2832</v>
      </c>
      <c r="Q1231" s="25" t="s">
        <v>65</v>
      </c>
      <c r="R1231" s="33">
        <v>8000</v>
      </c>
      <c r="S1231" s="29"/>
    </row>
    <row r="1232" spans="1:19" x14ac:dyDescent="0.3">
      <c r="A1232" s="20">
        <v>45457</v>
      </c>
      <c r="B1232" s="25" t="s">
        <v>7270</v>
      </c>
      <c r="C1232" s="25" t="s">
        <v>7271</v>
      </c>
      <c r="D1232" s="25" t="s">
        <v>7272</v>
      </c>
      <c r="E1232" s="28" t="s">
        <v>7273</v>
      </c>
      <c r="F1232" s="28" t="s">
        <v>7274</v>
      </c>
      <c r="G1232" s="25">
        <v>7</v>
      </c>
      <c r="H1232" s="25">
        <v>5</v>
      </c>
      <c r="I1232" s="25" t="s">
        <v>611</v>
      </c>
      <c r="J1232" s="25" t="s">
        <v>539</v>
      </c>
      <c r="K1232" s="25" t="s">
        <v>1586</v>
      </c>
      <c r="L1232" s="167">
        <f t="shared" si="46"/>
        <v>892.85714285714278</v>
      </c>
      <c r="M1232" s="167">
        <f t="shared" si="47"/>
        <v>107.14285714285712</v>
      </c>
      <c r="N1232" s="167">
        <v>1000</v>
      </c>
      <c r="O1232" s="27" t="s">
        <v>7275</v>
      </c>
      <c r="P1232" s="25" t="s">
        <v>335</v>
      </c>
      <c r="Q1232" s="25" t="s">
        <v>65</v>
      </c>
      <c r="R1232" s="33" t="s">
        <v>6554</v>
      </c>
      <c r="S1232" s="29"/>
    </row>
    <row r="1233" spans="1:19" x14ac:dyDescent="0.3">
      <c r="A1233" s="20">
        <v>45457</v>
      </c>
      <c r="B1233" s="25" t="s">
        <v>7276</v>
      </c>
      <c r="C1233" s="25" t="s">
        <v>7277</v>
      </c>
      <c r="D1233" s="25" t="s">
        <v>7278</v>
      </c>
      <c r="E1233" s="28" t="s">
        <v>7279</v>
      </c>
      <c r="F1233" s="28" t="s">
        <v>7280</v>
      </c>
      <c r="G1233" s="25">
        <v>8</v>
      </c>
      <c r="H1233" s="25">
        <v>5</v>
      </c>
      <c r="I1233" s="25" t="s">
        <v>3003</v>
      </c>
      <c r="J1233" s="25" t="s">
        <v>539</v>
      </c>
      <c r="K1233" s="25" t="s">
        <v>1586</v>
      </c>
      <c r="L1233" s="167">
        <f t="shared" si="46"/>
        <v>982.142857142857</v>
      </c>
      <c r="M1233" s="167">
        <f t="shared" si="47"/>
        <v>117.85714285714283</v>
      </c>
      <c r="N1233" s="167">
        <v>1100</v>
      </c>
      <c r="O1233" s="27" t="s">
        <v>7281</v>
      </c>
      <c r="P1233" s="25" t="s">
        <v>1482</v>
      </c>
      <c r="Q1233" s="25" t="s">
        <v>3026</v>
      </c>
      <c r="R1233" s="33" t="s">
        <v>6554</v>
      </c>
      <c r="S1233" s="29"/>
    </row>
    <row r="1234" spans="1:19" x14ac:dyDescent="0.3">
      <c r="A1234" s="20">
        <v>45457</v>
      </c>
      <c r="B1234" s="25" t="s">
        <v>7282</v>
      </c>
      <c r="C1234" s="25" t="s">
        <v>7283</v>
      </c>
      <c r="D1234" s="25" t="s">
        <v>7284</v>
      </c>
      <c r="E1234" s="28" t="s">
        <v>7285</v>
      </c>
      <c r="F1234" s="28" t="s">
        <v>7286</v>
      </c>
      <c r="G1234" s="25">
        <v>5</v>
      </c>
      <c r="H1234" s="25">
        <v>3</v>
      </c>
      <c r="I1234" s="25" t="s">
        <v>617</v>
      </c>
      <c r="J1234" s="25" t="s">
        <v>539</v>
      </c>
      <c r="K1234" s="25" t="s">
        <v>1586</v>
      </c>
      <c r="L1234" s="167">
        <f t="shared" si="46"/>
        <v>937.49999999999989</v>
      </c>
      <c r="M1234" s="167">
        <f t="shared" si="47"/>
        <v>112.49999999999999</v>
      </c>
      <c r="N1234" s="167">
        <v>1050</v>
      </c>
      <c r="O1234" s="27" t="s">
        <v>7287</v>
      </c>
      <c r="P1234" s="25" t="s">
        <v>2804</v>
      </c>
      <c r="Q1234" s="25" t="s">
        <v>340</v>
      </c>
      <c r="R1234" s="33">
        <v>8000</v>
      </c>
      <c r="S1234" s="29"/>
    </row>
    <row r="1235" spans="1:19" x14ac:dyDescent="0.3">
      <c r="A1235" s="20">
        <v>45457</v>
      </c>
      <c r="B1235" s="25" t="s">
        <v>7288</v>
      </c>
      <c r="C1235" s="25" t="s">
        <v>7289</v>
      </c>
      <c r="D1235" s="25" t="s">
        <v>7290</v>
      </c>
      <c r="E1235" s="28" t="s">
        <v>7291</v>
      </c>
      <c r="F1235" s="28" t="s">
        <v>7292</v>
      </c>
      <c r="G1235" s="25">
        <v>6</v>
      </c>
      <c r="H1235" s="25">
        <v>6</v>
      </c>
      <c r="I1235" s="25" t="s">
        <v>617</v>
      </c>
      <c r="J1235" s="25" t="s">
        <v>539</v>
      </c>
      <c r="K1235" s="25" t="s">
        <v>199</v>
      </c>
      <c r="L1235" s="167">
        <f t="shared" si="46"/>
        <v>2410.7142857142853</v>
      </c>
      <c r="M1235" s="167">
        <f t="shared" si="47"/>
        <v>289.28571428571422</v>
      </c>
      <c r="N1235" s="167">
        <v>2700</v>
      </c>
      <c r="O1235" s="27" t="s">
        <v>7293</v>
      </c>
      <c r="P1235" s="25" t="s">
        <v>2832</v>
      </c>
      <c r="Q1235" s="25" t="s">
        <v>225</v>
      </c>
      <c r="R1235" s="33" t="s">
        <v>6554</v>
      </c>
      <c r="S1235" s="29"/>
    </row>
    <row r="1236" spans="1:19" x14ac:dyDescent="0.3">
      <c r="A1236" s="20">
        <v>45457</v>
      </c>
      <c r="B1236" s="25" t="s">
        <v>7294</v>
      </c>
      <c r="C1236" s="25" t="s">
        <v>7295</v>
      </c>
      <c r="D1236" s="25" t="s">
        <v>7296</v>
      </c>
      <c r="E1236" s="37" t="s">
        <v>7297</v>
      </c>
      <c r="F1236" s="28" t="s">
        <v>7298</v>
      </c>
      <c r="G1236" s="25">
        <v>7</v>
      </c>
      <c r="H1236" s="25">
        <v>6</v>
      </c>
      <c r="I1236" s="25" t="s">
        <v>3003</v>
      </c>
      <c r="J1236" s="25" t="s">
        <v>539</v>
      </c>
      <c r="K1236" s="25" t="s">
        <v>199</v>
      </c>
      <c r="L1236" s="167">
        <f t="shared" si="46"/>
        <v>1249.9999999999998</v>
      </c>
      <c r="M1236" s="167">
        <f t="shared" si="47"/>
        <v>149.99999999999997</v>
      </c>
      <c r="N1236" s="167">
        <v>1400</v>
      </c>
      <c r="O1236" s="27" t="s">
        <v>7299</v>
      </c>
      <c r="P1236" s="25" t="s">
        <v>2832</v>
      </c>
      <c r="Q1236" s="25" t="s">
        <v>3026</v>
      </c>
      <c r="R1236" s="33" t="s">
        <v>6554</v>
      </c>
      <c r="S1236" s="29"/>
    </row>
    <row r="1237" spans="1:19" x14ac:dyDescent="0.3">
      <c r="A1237" s="20">
        <v>45457</v>
      </c>
      <c r="B1237" s="25" t="s">
        <v>7300</v>
      </c>
      <c r="C1237" s="25" t="s">
        <v>7301</v>
      </c>
      <c r="D1237" s="25" t="s">
        <v>7302</v>
      </c>
      <c r="E1237" s="41" t="s">
        <v>7303</v>
      </c>
      <c r="F1237" s="28" t="s">
        <v>7304</v>
      </c>
      <c r="G1237" s="25">
        <v>12</v>
      </c>
      <c r="H1237" s="25">
        <v>12</v>
      </c>
      <c r="I1237" s="25" t="s">
        <v>617</v>
      </c>
      <c r="J1237" s="25" t="s">
        <v>7305</v>
      </c>
      <c r="K1237" s="25" t="s">
        <v>199</v>
      </c>
      <c r="L1237" s="167">
        <f t="shared" si="46"/>
        <v>3562.4999999999995</v>
      </c>
      <c r="M1237" s="167">
        <f t="shared" si="47"/>
        <v>427.49999999999994</v>
      </c>
      <c r="N1237" s="167">
        <v>3990</v>
      </c>
      <c r="O1237" s="27" t="s">
        <v>7306</v>
      </c>
      <c r="P1237" s="25" t="s">
        <v>5743</v>
      </c>
      <c r="Q1237" s="25" t="s">
        <v>65</v>
      </c>
      <c r="R1237" s="33" t="s">
        <v>7307</v>
      </c>
      <c r="S1237" s="29"/>
    </row>
    <row r="1238" spans="1:19" x14ac:dyDescent="0.3">
      <c r="A1238" s="20">
        <v>45457</v>
      </c>
      <c r="B1238" s="25" t="s">
        <v>7308</v>
      </c>
      <c r="C1238" s="25" t="s">
        <v>7309</v>
      </c>
      <c r="D1238" s="25" t="s">
        <v>7310</v>
      </c>
      <c r="E1238" s="41" t="s">
        <v>7311</v>
      </c>
      <c r="F1238" s="28" t="s">
        <v>7312</v>
      </c>
      <c r="G1238" s="25">
        <v>5</v>
      </c>
      <c r="H1238" s="25">
        <v>3</v>
      </c>
      <c r="I1238" s="25" t="s">
        <v>617</v>
      </c>
      <c r="J1238" s="25" t="s">
        <v>539</v>
      </c>
      <c r="K1238" s="25" t="s">
        <v>200</v>
      </c>
      <c r="L1238" s="167">
        <f t="shared" si="46"/>
        <v>937.49999999999989</v>
      </c>
      <c r="M1238" s="167">
        <f t="shared" si="47"/>
        <v>112.49999999999999</v>
      </c>
      <c r="N1238" s="167">
        <v>1050</v>
      </c>
      <c r="O1238" s="27" t="s">
        <v>7313</v>
      </c>
      <c r="P1238" s="25" t="s">
        <v>335</v>
      </c>
      <c r="Q1238" s="25" t="s">
        <v>340</v>
      </c>
      <c r="R1238" s="33">
        <v>9060</v>
      </c>
      <c r="S1238" s="29"/>
    </row>
    <row r="1239" spans="1:19" x14ac:dyDescent="0.3">
      <c r="A1239" s="20">
        <v>45458</v>
      </c>
      <c r="B1239" s="25" t="s">
        <v>7314</v>
      </c>
      <c r="C1239" s="25" t="s">
        <v>7315</v>
      </c>
      <c r="D1239" s="25" t="s">
        <v>7316</v>
      </c>
      <c r="E1239" s="41" t="s">
        <v>7317</v>
      </c>
      <c r="F1239" s="28" t="s">
        <v>7318</v>
      </c>
      <c r="G1239" s="25">
        <v>5</v>
      </c>
      <c r="H1239" s="25">
        <v>4</v>
      </c>
      <c r="I1239" s="25" t="s">
        <v>605</v>
      </c>
      <c r="J1239" s="25" t="s">
        <v>539</v>
      </c>
      <c r="K1239" s="25" t="s">
        <v>1975</v>
      </c>
      <c r="L1239" s="167">
        <f t="shared" si="46"/>
        <v>1428.5714285714284</v>
      </c>
      <c r="M1239" s="167">
        <f t="shared" si="47"/>
        <v>171.42857142857142</v>
      </c>
      <c r="N1239" s="167">
        <v>1600</v>
      </c>
      <c r="O1239" s="27" t="s">
        <v>7319</v>
      </c>
      <c r="P1239" s="25" t="s">
        <v>5743</v>
      </c>
      <c r="Q1239" s="25" t="s">
        <v>65</v>
      </c>
      <c r="R1239" s="33">
        <v>700</v>
      </c>
      <c r="S1239" s="29"/>
    </row>
    <row r="1240" spans="1:19" x14ac:dyDescent="0.3">
      <c r="A1240" s="20">
        <v>45458</v>
      </c>
      <c r="B1240" s="25" t="s">
        <v>7320</v>
      </c>
      <c r="C1240" s="25" t="s">
        <v>7321</v>
      </c>
      <c r="D1240" s="25" t="s">
        <v>7322</v>
      </c>
      <c r="E1240" s="41" t="s">
        <v>7323</v>
      </c>
      <c r="F1240" s="28" t="s">
        <v>7324</v>
      </c>
      <c r="G1240" s="25">
        <v>6</v>
      </c>
      <c r="H1240" s="25">
        <v>4</v>
      </c>
      <c r="I1240" s="25" t="s">
        <v>611</v>
      </c>
      <c r="J1240" s="25" t="s">
        <v>539</v>
      </c>
      <c r="K1240" s="25" t="s">
        <v>2488</v>
      </c>
      <c r="L1240" s="167">
        <f t="shared" si="46"/>
        <v>1026.7857142857142</v>
      </c>
      <c r="M1240" s="167">
        <f t="shared" si="47"/>
        <v>123.21428571428571</v>
      </c>
      <c r="N1240" s="167">
        <v>1150</v>
      </c>
      <c r="O1240" s="27" t="s">
        <v>7325</v>
      </c>
      <c r="P1240" s="25" t="s">
        <v>2804</v>
      </c>
      <c r="Q1240" s="25" t="s">
        <v>782</v>
      </c>
      <c r="R1240" s="33">
        <v>8000</v>
      </c>
      <c r="S1240" s="29"/>
    </row>
    <row r="1241" spans="1:19" x14ac:dyDescent="0.3">
      <c r="A1241" s="20">
        <v>45458</v>
      </c>
      <c r="B1241" s="25" t="s">
        <v>7326</v>
      </c>
      <c r="C1241" s="25" t="s">
        <v>7327</v>
      </c>
      <c r="D1241" s="25" t="s">
        <v>7328</v>
      </c>
      <c r="E1241" s="41" t="s">
        <v>7329</v>
      </c>
      <c r="F1241" s="28" t="s">
        <v>7330</v>
      </c>
      <c r="G1241" s="25">
        <v>8</v>
      </c>
      <c r="H1241" s="25">
        <v>10</v>
      </c>
      <c r="I1241" s="25" t="s">
        <v>605</v>
      </c>
      <c r="J1241" s="25" t="s">
        <v>539</v>
      </c>
      <c r="K1241" s="25" t="s">
        <v>3307</v>
      </c>
      <c r="L1241" s="167">
        <f t="shared" si="46"/>
        <v>624.99999999999989</v>
      </c>
      <c r="M1241" s="167">
        <f t="shared" si="47"/>
        <v>74.999999999999986</v>
      </c>
      <c r="N1241" s="167">
        <v>700</v>
      </c>
      <c r="O1241" s="27" t="s">
        <v>7331</v>
      </c>
      <c r="P1241" s="25" t="s">
        <v>1482</v>
      </c>
      <c r="Q1241" s="25" t="s">
        <v>2022</v>
      </c>
      <c r="R1241" s="33" t="s">
        <v>6554</v>
      </c>
      <c r="S1241" s="29"/>
    </row>
    <row r="1242" spans="1:19" x14ac:dyDescent="0.3">
      <c r="A1242" s="20">
        <v>45458</v>
      </c>
      <c r="B1242" s="25" t="s">
        <v>7332</v>
      </c>
      <c r="C1242" s="25" t="s">
        <v>7333</v>
      </c>
      <c r="D1242" s="25" t="s">
        <v>7334</v>
      </c>
      <c r="E1242" s="41" t="s">
        <v>7335</v>
      </c>
      <c r="F1242" s="28" t="s">
        <v>7336</v>
      </c>
      <c r="G1242" s="25">
        <v>6</v>
      </c>
      <c r="H1242" s="25">
        <v>4</v>
      </c>
      <c r="I1242" s="25" t="s">
        <v>611</v>
      </c>
      <c r="J1242" s="25" t="s">
        <v>539</v>
      </c>
      <c r="K1242" s="25" t="s">
        <v>2488</v>
      </c>
      <c r="L1242" s="167">
        <f t="shared" si="46"/>
        <v>982.142857142857</v>
      </c>
      <c r="M1242" s="167">
        <f t="shared" si="47"/>
        <v>117.85714285714283</v>
      </c>
      <c r="N1242" s="167">
        <v>1100</v>
      </c>
      <c r="O1242" s="27" t="s">
        <v>7337</v>
      </c>
      <c r="P1242" s="25" t="s">
        <v>1482</v>
      </c>
      <c r="Q1242" s="25" t="s">
        <v>782</v>
      </c>
      <c r="R1242" s="33">
        <v>9060</v>
      </c>
      <c r="S1242" s="29"/>
    </row>
    <row r="1243" spans="1:19" x14ac:dyDescent="0.3">
      <c r="A1243" s="20">
        <v>45458</v>
      </c>
      <c r="B1243" s="25" t="s">
        <v>7338</v>
      </c>
      <c r="C1243" s="25" t="s">
        <v>7339</v>
      </c>
      <c r="D1243" s="25" t="s">
        <v>7340</v>
      </c>
      <c r="E1243" s="41" t="s">
        <v>7341</v>
      </c>
      <c r="F1243" s="28" t="s">
        <v>7342</v>
      </c>
      <c r="G1243" s="25">
        <v>5</v>
      </c>
      <c r="H1243" s="25">
        <v>3</v>
      </c>
      <c r="I1243" s="25" t="s">
        <v>605</v>
      </c>
      <c r="J1243" s="25" t="s">
        <v>539</v>
      </c>
      <c r="K1243" s="25" t="s">
        <v>1586</v>
      </c>
      <c r="L1243" s="167">
        <f t="shared" si="46"/>
        <v>1151.7857142857142</v>
      </c>
      <c r="M1243" s="167">
        <f t="shared" si="47"/>
        <v>138.21428571428569</v>
      </c>
      <c r="N1243" s="167">
        <v>1290</v>
      </c>
      <c r="O1243" s="27" t="s">
        <v>7343</v>
      </c>
      <c r="P1243" s="25" t="s">
        <v>1482</v>
      </c>
      <c r="Q1243" s="25" t="s">
        <v>65</v>
      </c>
      <c r="R1243" s="33" t="s">
        <v>7344</v>
      </c>
      <c r="S1243" s="29"/>
    </row>
    <row r="1244" spans="1:19" x14ac:dyDescent="0.3">
      <c r="A1244" s="36">
        <v>45461</v>
      </c>
      <c r="B1244" s="25" t="s">
        <v>7345</v>
      </c>
      <c r="C1244" s="25" t="s">
        <v>7346</v>
      </c>
      <c r="D1244" s="25" t="s">
        <v>7347</v>
      </c>
      <c r="E1244" s="41" t="s">
        <v>7348</v>
      </c>
      <c r="F1244" s="28" t="s">
        <v>7349</v>
      </c>
      <c r="G1244" s="25">
        <v>12</v>
      </c>
      <c r="H1244" s="25">
        <v>12</v>
      </c>
      <c r="I1244" s="25" t="s">
        <v>617</v>
      </c>
      <c r="J1244" s="25" t="s">
        <v>539</v>
      </c>
      <c r="K1244" s="25" t="s">
        <v>200</v>
      </c>
      <c r="L1244" s="167">
        <f t="shared" si="46"/>
        <v>3749.9999999999995</v>
      </c>
      <c r="M1244" s="167">
        <f t="shared" si="47"/>
        <v>449.99999999999994</v>
      </c>
      <c r="N1244" s="167">
        <v>4200</v>
      </c>
      <c r="O1244" s="27" t="s">
        <v>7350</v>
      </c>
      <c r="P1244" s="25" t="s">
        <v>2804</v>
      </c>
      <c r="Q1244" s="25" t="s">
        <v>782</v>
      </c>
      <c r="R1244" s="33" t="s">
        <v>6554</v>
      </c>
      <c r="S1244" s="29"/>
    </row>
    <row r="1245" spans="1:19" x14ac:dyDescent="0.3">
      <c r="A1245" s="36">
        <v>45461</v>
      </c>
      <c r="B1245" s="25" t="s">
        <v>7351</v>
      </c>
      <c r="C1245" s="25" t="s">
        <v>7352</v>
      </c>
      <c r="D1245" s="25" t="s">
        <v>7353</v>
      </c>
      <c r="E1245" s="41" t="s">
        <v>7354</v>
      </c>
      <c r="F1245" s="28" t="s">
        <v>7355</v>
      </c>
      <c r="G1245" s="25">
        <v>8</v>
      </c>
      <c r="H1245" s="25">
        <v>5</v>
      </c>
      <c r="I1245" s="25" t="s">
        <v>605</v>
      </c>
      <c r="J1245" s="25" t="s">
        <v>539</v>
      </c>
      <c r="K1245" s="25" t="s">
        <v>200</v>
      </c>
      <c r="L1245" s="167">
        <f t="shared" si="46"/>
        <v>1517.8571428571427</v>
      </c>
      <c r="M1245" s="167">
        <f t="shared" si="47"/>
        <v>182.14285714285711</v>
      </c>
      <c r="N1245" s="167">
        <v>1700</v>
      </c>
      <c r="O1245" s="27" t="s">
        <v>7356</v>
      </c>
      <c r="P1245" s="25" t="s">
        <v>335</v>
      </c>
      <c r="Q1245" s="25" t="s">
        <v>65</v>
      </c>
      <c r="R1245" s="33">
        <v>9060</v>
      </c>
      <c r="S1245" s="29"/>
    </row>
    <row r="1246" spans="1:19" x14ac:dyDescent="0.3">
      <c r="A1246" s="36">
        <v>45461</v>
      </c>
      <c r="B1246" s="25" t="s">
        <v>7357</v>
      </c>
      <c r="C1246" s="25" t="s">
        <v>7358</v>
      </c>
      <c r="D1246" s="25" t="s">
        <v>7178</v>
      </c>
      <c r="E1246" s="41" t="s">
        <v>7359</v>
      </c>
      <c r="F1246" s="28" t="s">
        <v>7360</v>
      </c>
      <c r="G1246" s="25">
        <v>7</v>
      </c>
      <c r="H1246" s="25">
        <v>6</v>
      </c>
      <c r="I1246" s="25" t="s">
        <v>617</v>
      </c>
      <c r="J1246" s="25" t="s">
        <v>539</v>
      </c>
      <c r="K1246" s="25" t="s">
        <v>2488</v>
      </c>
      <c r="L1246" s="167">
        <f t="shared" si="46"/>
        <v>1776.7857142857142</v>
      </c>
      <c r="M1246" s="167">
        <f t="shared" si="47"/>
        <v>213.21428571428569</v>
      </c>
      <c r="N1246" s="167">
        <v>1990</v>
      </c>
      <c r="O1246" s="27" t="s">
        <v>7361</v>
      </c>
      <c r="P1246" s="25" t="s">
        <v>2832</v>
      </c>
      <c r="Q1246" s="25" t="s">
        <v>225</v>
      </c>
      <c r="R1246" s="33" t="s">
        <v>6554</v>
      </c>
      <c r="S1246" s="29"/>
    </row>
    <row r="1247" spans="1:19" x14ac:dyDescent="0.3">
      <c r="A1247" s="36">
        <v>45461</v>
      </c>
      <c r="B1247" s="25" t="s">
        <v>7362</v>
      </c>
      <c r="C1247" s="25" t="s">
        <v>7363</v>
      </c>
      <c r="D1247" s="25" t="s">
        <v>7364</v>
      </c>
      <c r="E1247" s="41" t="s">
        <v>7365</v>
      </c>
      <c r="F1247" s="28" t="s">
        <v>7366</v>
      </c>
      <c r="G1247" s="25">
        <v>8</v>
      </c>
      <c r="H1247" s="25">
        <v>5</v>
      </c>
      <c r="I1247" s="25" t="s">
        <v>605</v>
      </c>
      <c r="J1247" s="25" t="s">
        <v>539</v>
      </c>
      <c r="K1247" s="25" t="s">
        <v>1586</v>
      </c>
      <c r="L1247" s="167">
        <f t="shared" si="46"/>
        <v>1339.2857142857142</v>
      </c>
      <c r="M1247" s="167">
        <f t="shared" si="47"/>
        <v>160.71428571428569</v>
      </c>
      <c r="N1247" s="167">
        <v>1500</v>
      </c>
      <c r="O1247" s="27" t="s">
        <v>7367</v>
      </c>
      <c r="P1247" s="25" t="s">
        <v>6059</v>
      </c>
      <c r="Q1247" s="25" t="s">
        <v>3026</v>
      </c>
      <c r="R1247" s="33" t="s">
        <v>6554</v>
      </c>
      <c r="S1247" s="29"/>
    </row>
    <row r="1248" spans="1:19" x14ac:dyDescent="0.3">
      <c r="A1248" s="20">
        <v>45462</v>
      </c>
      <c r="B1248" s="25" t="s">
        <v>7368</v>
      </c>
      <c r="C1248" s="25" t="s">
        <v>7369</v>
      </c>
      <c r="D1248" s="25" t="s">
        <v>7370</v>
      </c>
      <c r="E1248" s="34" t="s">
        <v>7371</v>
      </c>
      <c r="F1248" s="28" t="s">
        <v>7372</v>
      </c>
      <c r="G1248" s="25">
        <v>5</v>
      </c>
      <c r="H1248" s="25">
        <v>4</v>
      </c>
      <c r="I1248" s="25" t="s">
        <v>3003</v>
      </c>
      <c r="J1248" s="25" t="s">
        <v>539</v>
      </c>
      <c r="K1248" s="25" t="s">
        <v>980</v>
      </c>
      <c r="L1248" s="167">
        <f t="shared" si="46"/>
        <v>803.57142857142844</v>
      </c>
      <c r="M1248" s="167">
        <f t="shared" si="47"/>
        <v>96.428571428571416</v>
      </c>
      <c r="N1248" s="167">
        <v>900</v>
      </c>
      <c r="O1248" s="27" t="s">
        <v>7373</v>
      </c>
      <c r="P1248" s="25" t="s">
        <v>5743</v>
      </c>
      <c r="Q1248" s="25" t="s">
        <v>782</v>
      </c>
      <c r="R1248" s="33" t="s">
        <v>6554</v>
      </c>
      <c r="S1248" s="29"/>
    </row>
    <row r="1249" spans="1:19" x14ac:dyDescent="0.3">
      <c r="A1249" s="20">
        <v>45462</v>
      </c>
      <c r="B1249" s="25" t="s">
        <v>7374</v>
      </c>
      <c r="C1249" s="25" t="s">
        <v>1595</v>
      </c>
      <c r="D1249" s="25" t="s">
        <v>7375</v>
      </c>
      <c r="E1249" s="34" t="s">
        <v>7376</v>
      </c>
      <c r="F1249" s="28" t="s">
        <v>7377</v>
      </c>
      <c r="G1249" s="25">
        <v>6</v>
      </c>
      <c r="H1249" s="25">
        <v>5</v>
      </c>
      <c r="I1249" s="25" t="s">
        <v>605</v>
      </c>
      <c r="J1249" s="25" t="s">
        <v>539</v>
      </c>
      <c r="K1249" s="25" t="s">
        <v>2114</v>
      </c>
      <c r="L1249" s="167">
        <f t="shared" si="46"/>
        <v>1339.2857142857142</v>
      </c>
      <c r="M1249" s="167">
        <f t="shared" si="47"/>
        <v>160.71428571428569</v>
      </c>
      <c r="N1249" s="167">
        <v>1500</v>
      </c>
      <c r="O1249" s="27" t="s">
        <v>7378</v>
      </c>
      <c r="P1249" s="25" t="s">
        <v>2832</v>
      </c>
      <c r="Q1249" s="25" t="s">
        <v>225</v>
      </c>
      <c r="R1249" s="33">
        <v>9060</v>
      </c>
      <c r="S1249" s="29"/>
    </row>
    <row r="1250" spans="1:19" x14ac:dyDescent="0.3">
      <c r="A1250" s="20">
        <v>45463</v>
      </c>
      <c r="B1250" s="25" t="s">
        <v>7379</v>
      </c>
      <c r="C1250" s="25" t="s">
        <v>7380</v>
      </c>
      <c r="D1250" s="25" t="s">
        <v>7381</v>
      </c>
      <c r="E1250" s="34" t="s">
        <v>7382</v>
      </c>
      <c r="F1250" s="28" t="s">
        <v>7383</v>
      </c>
      <c r="G1250" s="25">
        <v>7</v>
      </c>
      <c r="H1250" s="25">
        <v>2</v>
      </c>
      <c r="I1250" s="25" t="s">
        <v>605</v>
      </c>
      <c r="J1250" s="25" t="s">
        <v>539</v>
      </c>
      <c r="K1250" s="25" t="s">
        <v>2488</v>
      </c>
      <c r="L1250" s="167">
        <f t="shared" si="46"/>
        <v>624.99999999999989</v>
      </c>
      <c r="M1250" s="167">
        <f t="shared" si="47"/>
        <v>74.999999999999986</v>
      </c>
      <c r="N1250" s="167">
        <v>700</v>
      </c>
      <c r="O1250" s="27" t="s">
        <v>7384</v>
      </c>
      <c r="P1250" s="25" t="s">
        <v>371</v>
      </c>
      <c r="Q1250" s="25" t="s">
        <v>782</v>
      </c>
      <c r="R1250" s="33" t="s">
        <v>6554</v>
      </c>
      <c r="S1250" s="29"/>
    </row>
    <row r="1251" spans="1:19" x14ac:dyDescent="0.3">
      <c r="A1251" s="20">
        <v>45463</v>
      </c>
      <c r="B1251" s="25" t="s">
        <v>7385</v>
      </c>
      <c r="C1251" s="25" t="s">
        <v>7386</v>
      </c>
      <c r="D1251" s="25" t="s">
        <v>7387</v>
      </c>
      <c r="E1251" s="34" t="s">
        <v>7388</v>
      </c>
      <c r="F1251" s="28" t="s">
        <v>7389</v>
      </c>
      <c r="G1251" s="25">
        <v>5</v>
      </c>
      <c r="H1251" s="25">
        <v>3</v>
      </c>
      <c r="I1251" s="25" t="s">
        <v>605</v>
      </c>
      <c r="J1251" s="25" t="s">
        <v>539</v>
      </c>
      <c r="K1251" s="25" t="s">
        <v>199</v>
      </c>
      <c r="L1251" s="167">
        <f t="shared" si="46"/>
        <v>446.42857142857139</v>
      </c>
      <c r="M1251" s="167">
        <f t="shared" si="47"/>
        <v>53.571428571428562</v>
      </c>
      <c r="N1251" s="167">
        <v>500</v>
      </c>
      <c r="O1251" s="27" t="s">
        <v>7390</v>
      </c>
      <c r="P1251" s="25" t="s">
        <v>5743</v>
      </c>
      <c r="Q1251" s="25" t="s">
        <v>65</v>
      </c>
      <c r="R1251" s="33" t="s">
        <v>6554</v>
      </c>
      <c r="S1251" s="29"/>
    </row>
    <row r="1252" spans="1:19" x14ac:dyDescent="0.3">
      <c r="A1252" s="20">
        <v>45463</v>
      </c>
      <c r="B1252" s="25" t="s">
        <v>7391</v>
      </c>
      <c r="C1252" s="25" t="s">
        <v>7392</v>
      </c>
      <c r="D1252" s="25" t="s">
        <v>7393</v>
      </c>
      <c r="E1252" s="34" t="s">
        <v>7394</v>
      </c>
      <c r="F1252" s="28" t="s">
        <v>7395</v>
      </c>
      <c r="G1252" s="25">
        <v>5</v>
      </c>
      <c r="H1252" s="25">
        <v>4</v>
      </c>
      <c r="I1252" s="25" t="s">
        <v>617</v>
      </c>
      <c r="J1252" s="25" t="s">
        <v>539</v>
      </c>
      <c r="K1252" s="25" t="s">
        <v>200</v>
      </c>
      <c r="L1252" s="167">
        <f t="shared" si="46"/>
        <v>1339.2857142857142</v>
      </c>
      <c r="M1252" s="167">
        <f t="shared" si="47"/>
        <v>160.71428571428569</v>
      </c>
      <c r="N1252" s="167">
        <v>1500</v>
      </c>
      <c r="O1252" s="27" t="s">
        <v>7396</v>
      </c>
      <c r="P1252" s="25" t="s">
        <v>2832</v>
      </c>
      <c r="Q1252" s="25" t="s">
        <v>225</v>
      </c>
      <c r="R1252" s="33" t="s">
        <v>7397</v>
      </c>
      <c r="S1252" s="29"/>
    </row>
    <row r="1253" spans="1:19" x14ac:dyDescent="0.3">
      <c r="A1253" s="20">
        <v>45463</v>
      </c>
      <c r="B1253" s="25" t="s">
        <v>7398</v>
      </c>
      <c r="C1253" s="25" t="s">
        <v>7399</v>
      </c>
      <c r="D1253" s="25" t="s">
        <v>7400</v>
      </c>
      <c r="E1253" s="34" t="s">
        <v>7401</v>
      </c>
      <c r="F1253" s="28" t="s">
        <v>7402</v>
      </c>
      <c r="G1253" s="25">
        <v>5</v>
      </c>
      <c r="H1253" s="25">
        <v>3</v>
      </c>
      <c r="I1253" s="25" t="s">
        <v>605</v>
      </c>
      <c r="J1253" s="25" t="s">
        <v>539</v>
      </c>
      <c r="K1253" s="25" t="s">
        <v>199</v>
      </c>
      <c r="L1253" s="167">
        <f t="shared" si="46"/>
        <v>982.142857142857</v>
      </c>
      <c r="M1253" s="167">
        <f t="shared" si="47"/>
        <v>117.85714285714283</v>
      </c>
      <c r="N1253" s="167">
        <v>1100</v>
      </c>
      <c r="O1253" s="27"/>
      <c r="P1253" s="25" t="s">
        <v>3805</v>
      </c>
      <c r="Q1253" s="25" t="s">
        <v>2022</v>
      </c>
      <c r="R1253" s="33" t="s">
        <v>6554</v>
      </c>
      <c r="S1253" s="29"/>
    </row>
    <row r="1254" spans="1:19" x14ac:dyDescent="0.3">
      <c r="A1254" s="20">
        <v>45463</v>
      </c>
      <c r="B1254" s="25" t="s">
        <v>7403</v>
      </c>
      <c r="C1254" s="25" t="s">
        <v>7404</v>
      </c>
      <c r="D1254" s="25" t="s">
        <v>7405</v>
      </c>
      <c r="E1254" s="28" t="s">
        <v>7406</v>
      </c>
      <c r="F1254" s="28" t="s">
        <v>7407</v>
      </c>
      <c r="G1254" s="25">
        <v>7</v>
      </c>
      <c r="H1254" s="25">
        <v>4</v>
      </c>
      <c r="I1254" s="25" t="s">
        <v>617</v>
      </c>
      <c r="J1254" s="25" t="s">
        <v>539</v>
      </c>
      <c r="K1254" s="25" t="s">
        <v>199</v>
      </c>
      <c r="L1254" s="167">
        <f t="shared" si="46"/>
        <v>1339.2857142857142</v>
      </c>
      <c r="M1254" s="167">
        <f t="shared" si="47"/>
        <v>160.71428571428569</v>
      </c>
      <c r="N1254" s="167">
        <v>1500</v>
      </c>
      <c r="O1254" s="27" t="s">
        <v>7408</v>
      </c>
      <c r="P1254" s="25" t="s">
        <v>2804</v>
      </c>
      <c r="Q1254" s="25" t="s">
        <v>65</v>
      </c>
      <c r="R1254" s="33" t="s">
        <v>7397</v>
      </c>
      <c r="S1254" s="29"/>
    </row>
    <row r="1255" spans="1:19" x14ac:dyDescent="0.3">
      <c r="A1255" s="20">
        <v>45464</v>
      </c>
      <c r="B1255" s="25" t="s">
        <v>7409</v>
      </c>
      <c r="C1255" s="25" t="s">
        <v>7410</v>
      </c>
      <c r="D1255" s="25" t="s">
        <v>7411</v>
      </c>
      <c r="E1255" s="28" t="s">
        <v>7412</v>
      </c>
      <c r="F1255" s="28" t="s">
        <v>7413</v>
      </c>
      <c r="G1255" s="25">
        <v>5</v>
      </c>
      <c r="H1255" s="25">
        <v>3</v>
      </c>
      <c r="I1255" s="25" t="s">
        <v>605</v>
      </c>
      <c r="J1255" s="25" t="s">
        <v>539</v>
      </c>
      <c r="K1255" s="25" t="s">
        <v>199</v>
      </c>
      <c r="L1255" s="167">
        <f t="shared" si="46"/>
        <v>1071.4285714285713</v>
      </c>
      <c r="M1255" s="167">
        <f t="shared" si="47"/>
        <v>128.57142857142856</v>
      </c>
      <c r="N1255" s="167">
        <v>1200</v>
      </c>
      <c r="O1255" s="27" t="s">
        <v>7414</v>
      </c>
      <c r="P1255" s="25" t="s">
        <v>2804</v>
      </c>
      <c r="Q1255" s="25" t="s">
        <v>65</v>
      </c>
      <c r="R1255" s="33" t="s">
        <v>7397</v>
      </c>
      <c r="S1255" s="29"/>
    </row>
    <row r="1256" spans="1:19" x14ac:dyDescent="0.3">
      <c r="A1256" s="20">
        <v>45464</v>
      </c>
      <c r="B1256" s="25" t="s">
        <v>7415</v>
      </c>
      <c r="C1256" s="25" t="s">
        <v>7416</v>
      </c>
      <c r="D1256" s="25" t="s">
        <v>7417</v>
      </c>
      <c r="E1256" s="28" t="s">
        <v>7418</v>
      </c>
      <c r="F1256" s="28" t="s">
        <v>7419</v>
      </c>
      <c r="G1256" s="25">
        <v>6</v>
      </c>
      <c r="H1256" s="25">
        <v>5</v>
      </c>
      <c r="I1256" s="25" t="s">
        <v>3003</v>
      </c>
      <c r="J1256" s="25" t="s">
        <v>539</v>
      </c>
      <c r="K1256" s="25" t="s">
        <v>980</v>
      </c>
      <c r="L1256" s="167">
        <f t="shared" si="46"/>
        <v>1339.2857142857142</v>
      </c>
      <c r="M1256" s="167">
        <f t="shared" si="47"/>
        <v>160.71428571428569</v>
      </c>
      <c r="N1256" s="167">
        <v>1500</v>
      </c>
      <c r="O1256" s="25"/>
      <c r="P1256" s="25" t="s">
        <v>335</v>
      </c>
      <c r="Q1256" s="25" t="s">
        <v>358</v>
      </c>
      <c r="R1256" s="33" t="s">
        <v>6554</v>
      </c>
      <c r="S1256" s="29"/>
    </row>
    <row r="1257" spans="1:19" x14ac:dyDescent="0.3">
      <c r="A1257" s="50">
        <v>45464</v>
      </c>
      <c r="B1257" s="43" t="s">
        <v>7420</v>
      </c>
      <c r="C1257" s="43" t="s">
        <v>177</v>
      </c>
      <c r="D1257" s="43" t="s">
        <v>7421</v>
      </c>
      <c r="E1257" s="109" t="s">
        <v>7422</v>
      </c>
      <c r="F1257" s="109" t="s">
        <v>7423</v>
      </c>
      <c r="G1257" s="43">
        <v>5</v>
      </c>
      <c r="H1257" s="43">
        <v>3</v>
      </c>
      <c r="I1257" s="43" t="s">
        <v>605</v>
      </c>
      <c r="J1257" s="43" t="s">
        <v>539</v>
      </c>
      <c r="K1257" s="43" t="s">
        <v>200</v>
      </c>
      <c r="L1257" s="167">
        <f t="shared" si="46"/>
        <v>892.85714285714278</v>
      </c>
      <c r="M1257" s="167">
        <f t="shared" si="47"/>
        <v>107.14285714285712</v>
      </c>
      <c r="N1257" s="167">
        <v>1000</v>
      </c>
      <c r="O1257" s="53" t="s">
        <v>7424</v>
      </c>
      <c r="P1257" s="43" t="s">
        <v>2832</v>
      </c>
      <c r="Q1257" s="43" t="s">
        <v>225</v>
      </c>
      <c r="R1257" s="112">
        <v>8000</v>
      </c>
      <c r="S1257" s="52"/>
    </row>
    <row r="1258" spans="1:19" x14ac:dyDescent="0.3">
      <c r="A1258" s="20">
        <v>45464</v>
      </c>
      <c r="B1258" s="25" t="s">
        <v>7425</v>
      </c>
      <c r="C1258" s="25" t="s">
        <v>7426</v>
      </c>
      <c r="D1258" s="25" t="s">
        <v>7427</v>
      </c>
      <c r="E1258" s="28" t="s">
        <v>7428</v>
      </c>
      <c r="F1258" s="28" t="s">
        <v>7429</v>
      </c>
      <c r="G1258" s="25">
        <v>7</v>
      </c>
      <c r="H1258" s="25">
        <v>4</v>
      </c>
      <c r="I1258" s="25" t="s">
        <v>605</v>
      </c>
      <c r="J1258" s="25" t="s">
        <v>539</v>
      </c>
      <c r="K1258" s="25" t="s">
        <v>1586</v>
      </c>
      <c r="L1258" s="167">
        <f t="shared" si="46"/>
        <v>892.85714285714278</v>
      </c>
      <c r="M1258" s="167">
        <f t="shared" si="47"/>
        <v>107.14285714285712</v>
      </c>
      <c r="N1258" s="167">
        <v>1000</v>
      </c>
      <c r="O1258" s="27" t="s">
        <v>7430</v>
      </c>
      <c r="P1258" s="25" t="s">
        <v>1482</v>
      </c>
      <c r="Q1258" s="25" t="s">
        <v>340</v>
      </c>
      <c r="R1258" s="33" t="s">
        <v>6554</v>
      </c>
      <c r="S1258" s="29"/>
    </row>
    <row r="1259" spans="1:19" x14ac:dyDescent="0.3">
      <c r="A1259" s="20">
        <v>45464</v>
      </c>
      <c r="B1259" s="25" t="s">
        <v>7431</v>
      </c>
      <c r="C1259" s="25" t="s">
        <v>7432</v>
      </c>
      <c r="D1259" s="25" t="s">
        <v>7433</v>
      </c>
      <c r="E1259" s="28" t="s">
        <v>7434</v>
      </c>
      <c r="F1259" s="28" t="s">
        <v>7435</v>
      </c>
      <c r="G1259" s="25">
        <v>5</v>
      </c>
      <c r="H1259" s="25">
        <v>3</v>
      </c>
      <c r="I1259" s="25" t="s">
        <v>605</v>
      </c>
      <c r="J1259" s="25" t="s">
        <v>539</v>
      </c>
      <c r="K1259" s="25" t="s">
        <v>1586</v>
      </c>
      <c r="L1259" s="167">
        <f t="shared" si="46"/>
        <v>892.85714285714278</v>
      </c>
      <c r="M1259" s="167">
        <f t="shared" si="47"/>
        <v>107.14285714285712</v>
      </c>
      <c r="N1259" s="167">
        <v>1000</v>
      </c>
      <c r="O1259" s="27" t="s">
        <v>7436</v>
      </c>
      <c r="P1259" s="25" t="s">
        <v>5743</v>
      </c>
      <c r="Q1259" s="25" t="s">
        <v>2022</v>
      </c>
      <c r="R1259" s="33" t="s">
        <v>6554</v>
      </c>
      <c r="S1259" s="29"/>
    </row>
    <row r="1260" spans="1:19" x14ac:dyDescent="0.3">
      <c r="A1260" s="20">
        <v>45464</v>
      </c>
      <c r="B1260" s="25" t="s">
        <v>7437</v>
      </c>
      <c r="C1260" s="25" t="s">
        <v>7438</v>
      </c>
      <c r="D1260" s="25" t="s">
        <v>7439</v>
      </c>
      <c r="E1260" s="28" t="s">
        <v>7440</v>
      </c>
      <c r="F1260" s="28" t="s">
        <v>7441</v>
      </c>
      <c r="G1260" s="25">
        <v>6</v>
      </c>
      <c r="H1260" s="25">
        <v>3</v>
      </c>
      <c r="I1260" s="25" t="s">
        <v>605</v>
      </c>
      <c r="J1260" s="25" t="s">
        <v>539</v>
      </c>
      <c r="K1260" s="25" t="s">
        <v>980</v>
      </c>
      <c r="L1260" s="167">
        <f t="shared" si="46"/>
        <v>1071.4285714285713</v>
      </c>
      <c r="M1260" s="167">
        <f t="shared" si="47"/>
        <v>128.57142857142856</v>
      </c>
      <c r="N1260" s="167">
        <v>1200</v>
      </c>
      <c r="O1260" s="27" t="s">
        <v>7442</v>
      </c>
      <c r="P1260" s="25" t="s">
        <v>371</v>
      </c>
      <c r="Q1260" s="25" t="s">
        <v>225</v>
      </c>
      <c r="R1260" s="33" t="s">
        <v>6554</v>
      </c>
      <c r="S1260" s="29"/>
    </row>
    <row r="1261" spans="1:19" x14ac:dyDescent="0.3">
      <c r="A1261" s="20">
        <v>45464</v>
      </c>
      <c r="B1261" s="25" t="s">
        <v>7443</v>
      </c>
      <c r="C1261" s="25" t="s">
        <v>7444</v>
      </c>
      <c r="D1261" s="25" t="s">
        <v>7445</v>
      </c>
      <c r="E1261" s="28" t="s">
        <v>7446</v>
      </c>
      <c r="F1261" s="28" t="s">
        <v>7447</v>
      </c>
      <c r="G1261" s="25">
        <v>10</v>
      </c>
      <c r="H1261" s="25">
        <v>10</v>
      </c>
      <c r="I1261" s="25" t="s">
        <v>605</v>
      </c>
      <c r="J1261" s="25"/>
      <c r="K1261" s="25"/>
      <c r="L1261" s="167">
        <f t="shared" si="46"/>
        <v>0</v>
      </c>
      <c r="M1261" s="167">
        <f t="shared" si="47"/>
        <v>0</v>
      </c>
      <c r="N1261" s="167"/>
      <c r="O1261" s="27" t="s">
        <v>7448</v>
      </c>
      <c r="P1261" s="25" t="s">
        <v>2832</v>
      </c>
      <c r="Q1261" s="25" t="s">
        <v>340</v>
      </c>
      <c r="R1261" s="33" t="s">
        <v>7397</v>
      </c>
      <c r="S1261" s="29"/>
    </row>
    <row r="1262" spans="1:19" x14ac:dyDescent="0.3">
      <c r="A1262" s="20">
        <v>45464</v>
      </c>
      <c r="B1262" s="25" t="s">
        <v>7449</v>
      </c>
      <c r="C1262" s="25" t="s">
        <v>2513</v>
      </c>
      <c r="D1262" s="25" t="s">
        <v>7450</v>
      </c>
      <c r="E1262" s="28" t="s">
        <v>7451</v>
      </c>
      <c r="F1262" s="28" t="s">
        <v>7452</v>
      </c>
      <c r="G1262" s="25">
        <v>6</v>
      </c>
      <c r="H1262" s="25">
        <v>4</v>
      </c>
      <c r="I1262" s="25" t="s">
        <v>617</v>
      </c>
      <c r="J1262" s="25" t="s">
        <v>539</v>
      </c>
      <c r="K1262" s="25" t="s">
        <v>1586</v>
      </c>
      <c r="L1262" s="167">
        <f t="shared" si="46"/>
        <v>937.49999999999989</v>
      </c>
      <c r="M1262" s="167">
        <f t="shared" si="47"/>
        <v>112.49999999999999</v>
      </c>
      <c r="N1262" s="167">
        <v>1050</v>
      </c>
      <c r="O1262" s="27" t="s">
        <v>7453</v>
      </c>
      <c r="P1262" s="25" t="s">
        <v>2804</v>
      </c>
      <c r="Q1262" s="25" t="s">
        <v>782</v>
      </c>
      <c r="R1262" s="33">
        <v>8000</v>
      </c>
      <c r="S1262" s="29"/>
    </row>
    <row r="1263" spans="1:19" x14ac:dyDescent="0.3">
      <c r="A1263" s="20">
        <v>45464</v>
      </c>
      <c r="B1263" s="25" t="s">
        <v>7454</v>
      </c>
      <c r="C1263" s="25" t="s">
        <v>7455</v>
      </c>
      <c r="D1263" s="25" t="s">
        <v>7456</v>
      </c>
      <c r="E1263" s="28" t="s">
        <v>7457</v>
      </c>
      <c r="F1263" s="28" t="s">
        <v>7458</v>
      </c>
      <c r="G1263" s="25">
        <v>6</v>
      </c>
      <c r="H1263" s="25">
        <v>5</v>
      </c>
      <c r="I1263" s="25" t="s">
        <v>605</v>
      </c>
      <c r="J1263" s="25" t="s">
        <v>539</v>
      </c>
      <c r="K1263" s="25" t="s">
        <v>2488</v>
      </c>
      <c r="L1263" s="167">
        <f t="shared" si="46"/>
        <v>1776.7857142857142</v>
      </c>
      <c r="M1263" s="167">
        <f t="shared" si="47"/>
        <v>213.21428571428569</v>
      </c>
      <c r="N1263" s="167">
        <v>1990</v>
      </c>
      <c r="O1263" s="27" t="s">
        <v>7459</v>
      </c>
      <c r="P1263" s="25" t="s">
        <v>6428</v>
      </c>
      <c r="Q1263" s="25" t="s">
        <v>65</v>
      </c>
      <c r="R1263" s="33" t="s">
        <v>7460</v>
      </c>
      <c r="S1263" s="29"/>
    </row>
    <row r="1264" spans="1:19" x14ac:dyDescent="0.3">
      <c r="A1264" s="20">
        <v>45464</v>
      </c>
      <c r="B1264" s="25" t="s">
        <v>7461</v>
      </c>
      <c r="C1264" s="25" t="s">
        <v>7462</v>
      </c>
      <c r="D1264" s="25" t="s">
        <v>7463</v>
      </c>
      <c r="E1264" s="28" t="s">
        <v>7464</v>
      </c>
      <c r="F1264" s="28" t="s">
        <v>7465</v>
      </c>
      <c r="G1264" s="25">
        <v>6</v>
      </c>
      <c r="H1264" s="25">
        <v>3</v>
      </c>
      <c r="I1264" s="25" t="s">
        <v>605</v>
      </c>
      <c r="J1264" s="25" t="s">
        <v>539</v>
      </c>
      <c r="K1264" s="25" t="s">
        <v>200</v>
      </c>
      <c r="L1264" s="167">
        <f t="shared" si="46"/>
        <v>1071.4285714285713</v>
      </c>
      <c r="M1264" s="167">
        <f t="shared" si="47"/>
        <v>128.57142857142856</v>
      </c>
      <c r="N1264" s="167">
        <v>1200</v>
      </c>
      <c r="O1264" s="27" t="s">
        <v>7466</v>
      </c>
      <c r="P1264" s="25" t="s">
        <v>5743</v>
      </c>
      <c r="Q1264" s="25" t="s">
        <v>225</v>
      </c>
      <c r="R1264" s="33" t="s">
        <v>6554</v>
      </c>
      <c r="S1264" s="29"/>
    </row>
    <row r="1265" spans="1:19" x14ac:dyDescent="0.3">
      <c r="A1265" s="20">
        <v>45465</v>
      </c>
      <c r="B1265" s="25" t="s">
        <v>7467</v>
      </c>
      <c r="C1265" s="25" t="s">
        <v>7468</v>
      </c>
      <c r="D1265" s="25" t="s">
        <v>7469</v>
      </c>
      <c r="E1265" s="28" t="s">
        <v>7470</v>
      </c>
      <c r="F1265" s="28" t="s">
        <v>7471</v>
      </c>
      <c r="G1265" s="25">
        <v>5</v>
      </c>
      <c r="H1265" s="25">
        <v>3</v>
      </c>
      <c r="I1265" s="25" t="s">
        <v>605</v>
      </c>
      <c r="J1265" s="25" t="s">
        <v>539</v>
      </c>
      <c r="K1265" s="25" t="s">
        <v>2488</v>
      </c>
      <c r="L1265" s="167">
        <f t="shared" si="46"/>
        <v>624.99999999999989</v>
      </c>
      <c r="M1265" s="167">
        <f t="shared" si="47"/>
        <v>74.999999999999986</v>
      </c>
      <c r="N1265" s="167">
        <v>700</v>
      </c>
      <c r="O1265" s="27" t="s">
        <v>7472</v>
      </c>
      <c r="P1265" s="25" t="s">
        <v>1482</v>
      </c>
      <c r="Q1265" s="25" t="s">
        <v>2022</v>
      </c>
      <c r="R1265" s="33" t="s">
        <v>6554</v>
      </c>
      <c r="S1265" s="29"/>
    </row>
    <row r="1266" spans="1:19" x14ac:dyDescent="0.3">
      <c r="A1266" s="20">
        <v>45465</v>
      </c>
      <c r="B1266" s="25" t="s">
        <v>7473</v>
      </c>
      <c r="C1266" s="25" t="s">
        <v>7474</v>
      </c>
      <c r="D1266" s="25" t="s">
        <v>7475</v>
      </c>
      <c r="E1266" s="28" t="s">
        <v>7476</v>
      </c>
      <c r="F1266" s="28" t="s">
        <v>7477</v>
      </c>
      <c r="G1266" s="25">
        <v>6</v>
      </c>
      <c r="H1266" s="25">
        <v>3</v>
      </c>
      <c r="I1266" s="25" t="s">
        <v>605</v>
      </c>
      <c r="J1266" s="25" t="s">
        <v>539</v>
      </c>
      <c r="K1266" s="25" t="s">
        <v>199</v>
      </c>
      <c r="L1266" s="167">
        <f t="shared" si="46"/>
        <v>1071.4285714285713</v>
      </c>
      <c r="M1266" s="167">
        <f t="shared" si="47"/>
        <v>128.57142857142856</v>
      </c>
      <c r="N1266" s="167">
        <v>1200</v>
      </c>
      <c r="O1266" s="27" t="s">
        <v>7478</v>
      </c>
      <c r="P1266" s="25" t="s">
        <v>371</v>
      </c>
      <c r="Q1266" s="25" t="s">
        <v>340</v>
      </c>
      <c r="R1266" s="33" t="s">
        <v>7397</v>
      </c>
      <c r="S1266" s="29"/>
    </row>
    <row r="1267" spans="1:19" x14ac:dyDescent="0.3">
      <c r="A1267" s="20">
        <v>45465</v>
      </c>
      <c r="B1267" s="25" t="s">
        <v>7479</v>
      </c>
      <c r="C1267" s="25" t="s">
        <v>410</v>
      </c>
      <c r="D1267" s="25" t="s">
        <v>7480</v>
      </c>
      <c r="E1267" s="28" t="s">
        <v>7481</v>
      </c>
      <c r="F1267" s="28" t="s">
        <v>7482</v>
      </c>
      <c r="G1267" s="25">
        <v>6</v>
      </c>
      <c r="H1267" s="25">
        <v>8</v>
      </c>
      <c r="I1267" s="25" t="s">
        <v>617</v>
      </c>
      <c r="J1267" s="25" t="s">
        <v>539</v>
      </c>
      <c r="K1267" s="25" t="s">
        <v>199</v>
      </c>
      <c r="L1267" s="167">
        <f t="shared" si="46"/>
        <v>3749.9999999999995</v>
      </c>
      <c r="M1267" s="167">
        <f t="shared" si="47"/>
        <v>449.99999999999994</v>
      </c>
      <c r="N1267" s="167">
        <v>4200</v>
      </c>
      <c r="O1267" s="27" t="s">
        <v>7483</v>
      </c>
      <c r="P1267" s="25" t="s">
        <v>7484</v>
      </c>
      <c r="Q1267" s="25" t="s">
        <v>225</v>
      </c>
      <c r="R1267" s="33" t="s">
        <v>6554</v>
      </c>
      <c r="S1267" s="29"/>
    </row>
    <row r="1268" spans="1:19" x14ac:dyDescent="0.3">
      <c r="A1268" s="20">
        <v>45465</v>
      </c>
      <c r="B1268" s="25" t="s">
        <v>7485</v>
      </c>
      <c r="C1268" s="25" t="s">
        <v>7486</v>
      </c>
      <c r="D1268" s="25" t="s">
        <v>7487</v>
      </c>
      <c r="E1268" s="28" t="s">
        <v>7488</v>
      </c>
      <c r="F1268" s="28" t="s">
        <v>7489</v>
      </c>
      <c r="G1268" s="25">
        <v>5</v>
      </c>
      <c r="H1268" s="25">
        <v>3</v>
      </c>
      <c r="I1268" s="25" t="s">
        <v>605</v>
      </c>
      <c r="J1268" s="25" t="s">
        <v>539</v>
      </c>
      <c r="K1268" s="25" t="s">
        <v>200</v>
      </c>
      <c r="L1268" s="167">
        <f t="shared" si="46"/>
        <v>892.85714285714278</v>
      </c>
      <c r="M1268" s="167">
        <f t="shared" si="47"/>
        <v>107.14285714285712</v>
      </c>
      <c r="N1268" s="167">
        <v>1000</v>
      </c>
      <c r="O1268" s="27" t="s">
        <v>7490</v>
      </c>
      <c r="P1268" s="25" t="s">
        <v>335</v>
      </c>
      <c r="Q1268" s="25" t="s">
        <v>65</v>
      </c>
      <c r="R1268" s="33" t="s">
        <v>7460</v>
      </c>
      <c r="S1268" s="29"/>
    </row>
    <row r="1269" spans="1:19" x14ac:dyDescent="0.3">
      <c r="A1269" s="20">
        <v>45468</v>
      </c>
      <c r="B1269" s="25" t="s">
        <v>7491</v>
      </c>
      <c r="C1269" s="25" t="s">
        <v>7492</v>
      </c>
      <c r="D1269" s="25" t="s">
        <v>7493</v>
      </c>
      <c r="E1269" s="28" t="s">
        <v>7494</v>
      </c>
      <c r="F1269" s="28" t="s">
        <v>7495</v>
      </c>
      <c r="G1269" s="25">
        <v>5</v>
      </c>
      <c r="H1269" s="25">
        <v>3</v>
      </c>
      <c r="I1269" s="25" t="s">
        <v>605</v>
      </c>
      <c r="J1269" s="25" t="s">
        <v>539</v>
      </c>
      <c r="K1269" s="25" t="s">
        <v>199</v>
      </c>
      <c r="L1269" s="167">
        <f t="shared" si="46"/>
        <v>1160.7142857142856</v>
      </c>
      <c r="M1269" s="167">
        <f t="shared" si="47"/>
        <v>139.28571428571425</v>
      </c>
      <c r="N1269" s="167">
        <v>1300</v>
      </c>
      <c r="O1269" s="27" t="s">
        <v>7496</v>
      </c>
      <c r="P1269" s="25" t="s">
        <v>5743</v>
      </c>
      <c r="Q1269" s="25" t="s">
        <v>65</v>
      </c>
      <c r="R1269" s="33">
        <v>555</v>
      </c>
      <c r="S1269" s="29"/>
    </row>
    <row r="1270" spans="1:19" x14ac:dyDescent="0.3">
      <c r="A1270" s="20">
        <v>45468</v>
      </c>
      <c r="B1270" s="25" t="s">
        <v>7497</v>
      </c>
      <c r="C1270" s="25" t="s">
        <v>1417</v>
      </c>
      <c r="D1270" s="25" t="s">
        <v>7498</v>
      </c>
      <c r="E1270" s="28" t="s">
        <v>7499</v>
      </c>
      <c r="F1270" s="28" t="s">
        <v>7500</v>
      </c>
      <c r="G1270" s="25">
        <v>5</v>
      </c>
      <c r="H1270" s="25">
        <v>3</v>
      </c>
      <c r="I1270" s="25" t="s">
        <v>605</v>
      </c>
      <c r="J1270" s="25" t="s">
        <v>539</v>
      </c>
      <c r="K1270" s="25" t="s">
        <v>2488</v>
      </c>
      <c r="L1270" s="167">
        <f t="shared" si="46"/>
        <v>357.14285714285711</v>
      </c>
      <c r="M1270" s="167">
        <f t="shared" si="47"/>
        <v>42.857142857142854</v>
      </c>
      <c r="N1270" s="167">
        <v>400</v>
      </c>
      <c r="O1270" s="27" t="s">
        <v>7501</v>
      </c>
      <c r="P1270" s="25" t="s">
        <v>335</v>
      </c>
      <c r="Q1270" s="25" t="s">
        <v>2022</v>
      </c>
      <c r="R1270" s="33">
        <v>8000</v>
      </c>
      <c r="S1270" s="29"/>
    </row>
    <row r="1271" spans="1:19" x14ac:dyDescent="0.3">
      <c r="A1271" s="20">
        <v>45468</v>
      </c>
      <c r="B1271" s="25" t="s">
        <v>7502</v>
      </c>
      <c r="C1271" s="25" t="s">
        <v>7503</v>
      </c>
      <c r="D1271" s="25" t="s">
        <v>7504</v>
      </c>
      <c r="E1271" s="28" t="s">
        <v>7505</v>
      </c>
      <c r="F1271" s="28" t="s">
        <v>7506</v>
      </c>
      <c r="G1271" s="25">
        <v>6</v>
      </c>
      <c r="H1271" s="25">
        <v>4</v>
      </c>
      <c r="I1271" s="25" t="s">
        <v>605</v>
      </c>
      <c r="J1271" s="25" t="s">
        <v>539</v>
      </c>
      <c r="K1271" s="25" t="s">
        <v>980</v>
      </c>
      <c r="L1271" s="167">
        <f t="shared" si="46"/>
        <v>1160.7142857142856</v>
      </c>
      <c r="M1271" s="167">
        <f t="shared" si="47"/>
        <v>139.28571428571425</v>
      </c>
      <c r="N1271" s="167">
        <v>1300</v>
      </c>
      <c r="O1271" s="27" t="s">
        <v>7507</v>
      </c>
      <c r="P1271" s="25" t="s">
        <v>2804</v>
      </c>
      <c r="Q1271" s="25" t="s">
        <v>340</v>
      </c>
      <c r="R1271" s="33" t="s">
        <v>6554</v>
      </c>
      <c r="S1271" s="29"/>
    </row>
    <row r="1272" spans="1:19" x14ac:dyDescent="0.3">
      <c r="A1272" s="20">
        <v>45468</v>
      </c>
      <c r="B1272" s="25" t="s">
        <v>7508</v>
      </c>
      <c r="C1272" s="25" t="s">
        <v>7509</v>
      </c>
      <c r="D1272" s="25" t="s">
        <v>7510</v>
      </c>
      <c r="E1272" s="28" t="s">
        <v>7511</v>
      </c>
      <c r="F1272" s="28" t="s">
        <v>7512</v>
      </c>
      <c r="G1272" s="25">
        <v>5</v>
      </c>
      <c r="H1272" s="25">
        <v>2</v>
      </c>
      <c r="I1272" s="25" t="s">
        <v>605</v>
      </c>
      <c r="J1272" s="25" t="s">
        <v>539</v>
      </c>
      <c r="K1272" s="25" t="s">
        <v>2488</v>
      </c>
      <c r="L1272" s="167">
        <f t="shared" si="46"/>
        <v>624.99999999999989</v>
      </c>
      <c r="M1272" s="167">
        <f t="shared" si="47"/>
        <v>74.999999999999986</v>
      </c>
      <c r="N1272" s="167">
        <v>700</v>
      </c>
      <c r="O1272" s="27" t="s">
        <v>7513</v>
      </c>
      <c r="P1272" s="25" t="s">
        <v>2832</v>
      </c>
      <c r="Q1272" s="25" t="s">
        <v>2022</v>
      </c>
      <c r="R1272" s="33">
        <v>9060</v>
      </c>
      <c r="S1272" s="29"/>
    </row>
    <row r="1273" spans="1:19" x14ac:dyDescent="0.3">
      <c r="A1273" s="20">
        <v>45468</v>
      </c>
      <c r="B1273" s="25" t="s">
        <v>7514</v>
      </c>
      <c r="C1273" s="25" t="s">
        <v>7515</v>
      </c>
      <c r="D1273" s="25" t="s">
        <v>7516</v>
      </c>
      <c r="E1273" s="28" t="s">
        <v>7517</v>
      </c>
      <c r="F1273" s="28" t="s">
        <v>7518</v>
      </c>
      <c r="G1273" s="25">
        <v>7</v>
      </c>
      <c r="H1273" s="25">
        <v>3</v>
      </c>
      <c r="I1273" s="25" t="s">
        <v>605</v>
      </c>
      <c r="J1273" s="25" t="s">
        <v>539</v>
      </c>
      <c r="K1273" s="25" t="s">
        <v>199</v>
      </c>
      <c r="L1273" s="167">
        <f t="shared" si="46"/>
        <v>892.85714285714278</v>
      </c>
      <c r="M1273" s="167">
        <f t="shared" si="47"/>
        <v>107.14285714285712</v>
      </c>
      <c r="N1273" s="167">
        <v>1000</v>
      </c>
      <c r="O1273" s="27" t="s">
        <v>7519</v>
      </c>
      <c r="P1273" s="25" t="s">
        <v>6428</v>
      </c>
      <c r="Q1273" s="25" t="s">
        <v>65</v>
      </c>
      <c r="R1273" s="33">
        <v>555</v>
      </c>
      <c r="S1273" s="29"/>
    </row>
    <row r="1274" spans="1:19" x14ac:dyDescent="0.3">
      <c r="A1274" s="20">
        <v>45469</v>
      </c>
      <c r="B1274" s="25" t="s">
        <v>7520</v>
      </c>
      <c r="C1274" s="25" t="s">
        <v>7521</v>
      </c>
      <c r="D1274" s="25" t="s">
        <v>7522</v>
      </c>
      <c r="E1274" s="28" t="s">
        <v>7523</v>
      </c>
      <c r="F1274" s="28" t="s">
        <v>7524</v>
      </c>
      <c r="G1274" s="25">
        <v>10</v>
      </c>
      <c r="H1274" s="25">
        <v>10</v>
      </c>
      <c r="I1274" s="25" t="s">
        <v>617</v>
      </c>
      <c r="J1274" s="25" t="s">
        <v>539</v>
      </c>
      <c r="K1274" s="25" t="s">
        <v>200</v>
      </c>
      <c r="L1274" s="167">
        <f t="shared" si="46"/>
        <v>3562.4999999999995</v>
      </c>
      <c r="M1274" s="167">
        <f t="shared" si="47"/>
        <v>427.49999999999994</v>
      </c>
      <c r="N1274" s="167">
        <v>3990</v>
      </c>
      <c r="O1274" s="27" t="s">
        <v>7525</v>
      </c>
      <c r="P1274" s="25" t="s">
        <v>2832</v>
      </c>
      <c r="Q1274" s="25" t="s">
        <v>340</v>
      </c>
      <c r="R1274" s="33">
        <v>555</v>
      </c>
      <c r="S1274" s="29"/>
    </row>
    <row r="1275" spans="1:19" x14ac:dyDescent="0.3">
      <c r="A1275" s="20">
        <v>45469</v>
      </c>
      <c r="B1275" s="25" t="s">
        <v>7526</v>
      </c>
      <c r="C1275" s="25" t="s">
        <v>7527</v>
      </c>
      <c r="D1275" s="25" t="s">
        <v>7528</v>
      </c>
      <c r="E1275" s="28" t="s">
        <v>7529</v>
      </c>
      <c r="F1275" s="28" t="s">
        <v>7530</v>
      </c>
      <c r="G1275" s="25">
        <v>5</v>
      </c>
      <c r="H1275" s="25">
        <v>3</v>
      </c>
      <c r="I1275" s="25" t="s">
        <v>3003</v>
      </c>
      <c r="J1275" s="25" t="s">
        <v>539</v>
      </c>
      <c r="K1275" s="25" t="s">
        <v>199</v>
      </c>
      <c r="L1275" s="167">
        <f t="shared" si="46"/>
        <v>1339.2857142857142</v>
      </c>
      <c r="M1275" s="167">
        <f t="shared" si="47"/>
        <v>160.71428571428569</v>
      </c>
      <c r="N1275" s="167">
        <v>1500</v>
      </c>
      <c r="O1275" s="27" t="s">
        <v>7531</v>
      </c>
      <c r="P1275" s="25" t="s">
        <v>7532</v>
      </c>
      <c r="Q1275" s="25" t="s">
        <v>65</v>
      </c>
      <c r="R1275" s="33">
        <v>555</v>
      </c>
      <c r="S1275" s="29"/>
    </row>
    <row r="1276" spans="1:19" x14ac:dyDescent="0.3">
      <c r="A1276" s="20">
        <v>45470</v>
      </c>
      <c r="B1276" s="25" t="s">
        <v>7533</v>
      </c>
      <c r="C1276" s="25" t="s">
        <v>7534</v>
      </c>
      <c r="D1276" s="25" t="s">
        <v>7535</v>
      </c>
      <c r="E1276" s="28" t="s">
        <v>7536</v>
      </c>
      <c r="F1276" s="28" t="s">
        <v>7537</v>
      </c>
      <c r="G1276" s="25">
        <v>5</v>
      </c>
      <c r="H1276" s="25">
        <v>3</v>
      </c>
      <c r="I1276" s="25" t="s">
        <v>605</v>
      </c>
      <c r="J1276" s="25" t="s">
        <v>539</v>
      </c>
      <c r="K1276" s="25" t="s">
        <v>200</v>
      </c>
      <c r="L1276" s="167">
        <f t="shared" si="46"/>
        <v>624.99999999999989</v>
      </c>
      <c r="M1276" s="167">
        <f t="shared" si="47"/>
        <v>74.999999999999986</v>
      </c>
      <c r="N1276" s="167">
        <v>700</v>
      </c>
      <c r="O1276" s="25"/>
      <c r="P1276" s="25" t="s">
        <v>6428</v>
      </c>
      <c r="Q1276" s="25" t="s">
        <v>340</v>
      </c>
      <c r="R1276" s="33">
        <v>555</v>
      </c>
      <c r="S1276" s="29"/>
    </row>
    <row r="1277" spans="1:19" x14ac:dyDescent="0.3">
      <c r="A1277" s="20">
        <v>45470</v>
      </c>
      <c r="B1277" s="25" t="s">
        <v>7538</v>
      </c>
      <c r="C1277" s="25" t="s">
        <v>7539</v>
      </c>
      <c r="D1277" s="25" t="s">
        <v>7540</v>
      </c>
      <c r="E1277" s="28" t="s">
        <v>7541</v>
      </c>
      <c r="F1277" s="28" t="s">
        <v>7542</v>
      </c>
      <c r="G1277" s="25">
        <v>11</v>
      </c>
      <c r="H1277" s="25">
        <v>10</v>
      </c>
      <c r="I1277" s="25" t="s">
        <v>605</v>
      </c>
      <c r="J1277" s="25" t="s">
        <v>539</v>
      </c>
      <c r="K1277" s="25" t="s">
        <v>200</v>
      </c>
      <c r="L1277" s="167">
        <f t="shared" si="46"/>
        <v>3571.4285714285711</v>
      </c>
      <c r="M1277" s="167">
        <f t="shared" si="47"/>
        <v>428.5714285714285</v>
      </c>
      <c r="N1277" s="167">
        <v>4000</v>
      </c>
      <c r="O1277" s="27" t="s">
        <v>7543</v>
      </c>
      <c r="P1277" s="25" t="s">
        <v>371</v>
      </c>
      <c r="Q1277" s="25" t="s">
        <v>65</v>
      </c>
      <c r="R1277" s="33" t="s">
        <v>7544</v>
      </c>
      <c r="S1277" s="29"/>
    </row>
    <row r="1278" spans="1:19" x14ac:dyDescent="0.3">
      <c r="A1278" s="20">
        <v>45470</v>
      </c>
      <c r="B1278" s="25" t="s">
        <v>7545</v>
      </c>
      <c r="C1278" s="25" t="s">
        <v>862</v>
      </c>
      <c r="D1278" s="25" t="s">
        <v>7546</v>
      </c>
      <c r="E1278" s="28" t="s">
        <v>7547</v>
      </c>
      <c r="F1278" s="28" t="s">
        <v>7548</v>
      </c>
      <c r="G1278" s="25">
        <v>8</v>
      </c>
      <c r="H1278" s="25">
        <v>7</v>
      </c>
      <c r="I1278" s="25" t="s">
        <v>617</v>
      </c>
      <c r="J1278" s="25" t="s">
        <v>539</v>
      </c>
      <c r="K1278" s="25" t="s">
        <v>3307</v>
      </c>
      <c r="L1278" s="167">
        <f t="shared" si="46"/>
        <v>1785.7142857142856</v>
      </c>
      <c r="M1278" s="167">
        <f t="shared" si="47"/>
        <v>214.28571428571425</v>
      </c>
      <c r="N1278" s="167">
        <v>2000</v>
      </c>
      <c r="O1278" s="27" t="s">
        <v>7549</v>
      </c>
      <c r="P1278" s="25" t="s">
        <v>335</v>
      </c>
      <c r="Q1278" s="25" t="s">
        <v>225</v>
      </c>
      <c r="R1278" s="33" t="s">
        <v>7550</v>
      </c>
      <c r="S1278" s="29"/>
    </row>
    <row r="1279" spans="1:19" x14ac:dyDescent="0.3">
      <c r="A1279" s="20">
        <v>45471</v>
      </c>
      <c r="B1279" s="25" t="s">
        <v>7551</v>
      </c>
      <c r="C1279" s="25" t="s">
        <v>7552</v>
      </c>
      <c r="D1279" s="25" t="s">
        <v>7553</v>
      </c>
      <c r="E1279" s="28" t="s">
        <v>7554</v>
      </c>
      <c r="F1279" s="28" t="s">
        <v>7555</v>
      </c>
      <c r="G1279" s="25">
        <v>10</v>
      </c>
      <c r="H1279" s="25">
        <v>10</v>
      </c>
      <c r="I1279" s="25" t="s">
        <v>617</v>
      </c>
      <c r="J1279" s="25" t="s">
        <v>539</v>
      </c>
      <c r="K1279" s="38" t="s">
        <v>2488</v>
      </c>
      <c r="L1279" s="167">
        <f t="shared" si="46"/>
        <v>2669.6428571428569</v>
      </c>
      <c r="M1279" s="167">
        <f t="shared" si="47"/>
        <v>320.35714285714283</v>
      </c>
      <c r="N1279" s="23">
        <v>2990</v>
      </c>
      <c r="O1279" s="27" t="s">
        <v>7556</v>
      </c>
      <c r="P1279" s="25" t="s">
        <v>569</v>
      </c>
      <c r="Q1279" s="25" t="s">
        <v>225</v>
      </c>
      <c r="R1279" s="33"/>
      <c r="S1279" s="29"/>
    </row>
    <row r="1280" spans="1:19" x14ac:dyDescent="0.3">
      <c r="A1280" s="20">
        <v>45471</v>
      </c>
      <c r="B1280" s="25" t="s">
        <v>7557</v>
      </c>
      <c r="C1280" s="25" t="s">
        <v>7558</v>
      </c>
      <c r="D1280" s="25" t="s">
        <v>7559</v>
      </c>
      <c r="E1280" s="28" t="s">
        <v>7560</v>
      </c>
      <c r="F1280" s="28" t="s">
        <v>7561</v>
      </c>
      <c r="G1280" s="25">
        <v>5</v>
      </c>
      <c r="H1280" s="25">
        <v>3</v>
      </c>
      <c r="I1280" s="25" t="s">
        <v>605</v>
      </c>
      <c r="J1280" s="25" t="s">
        <v>539</v>
      </c>
      <c r="K1280" s="38" t="s">
        <v>7562</v>
      </c>
      <c r="L1280" s="167">
        <f t="shared" si="46"/>
        <v>624.99999999999989</v>
      </c>
      <c r="M1280" s="167">
        <f t="shared" si="47"/>
        <v>74.999999999999986</v>
      </c>
      <c r="N1280" s="23">
        <v>700</v>
      </c>
      <c r="O1280" s="27" t="s">
        <v>7563</v>
      </c>
      <c r="P1280" s="25" t="s">
        <v>2832</v>
      </c>
      <c r="Q1280" s="25" t="s">
        <v>340</v>
      </c>
      <c r="R1280" s="33"/>
      <c r="S1280" s="29"/>
    </row>
    <row r="1281" spans="1:19" x14ac:dyDescent="0.3">
      <c r="A1281" s="20">
        <v>45472</v>
      </c>
      <c r="B1281" s="25" t="s">
        <v>7564</v>
      </c>
      <c r="C1281" s="25" t="s">
        <v>7565</v>
      </c>
      <c r="D1281" s="25" t="s">
        <v>7566</v>
      </c>
      <c r="E1281" s="28" t="s">
        <v>7567</v>
      </c>
      <c r="F1281" s="28" t="s">
        <v>7568</v>
      </c>
      <c r="G1281" s="25">
        <v>5</v>
      </c>
      <c r="H1281" s="25">
        <v>5</v>
      </c>
      <c r="I1281" s="25" t="s">
        <v>611</v>
      </c>
      <c r="J1281" s="25" t="s">
        <v>539</v>
      </c>
      <c r="K1281" s="38" t="s">
        <v>200</v>
      </c>
      <c r="L1281" s="167">
        <f t="shared" si="46"/>
        <v>982.142857142857</v>
      </c>
      <c r="M1281" s="167">
        <f t="shared" si="47"/>
        <v>117.85714285714283</v>
      </c>
      <c r="N1281" s="23">
        <v>1100</v>
      </c>
      <c r="O1281" s="27" t="s">
        <v>7569</v>
      </c>
      <c r="P1281" s="25" t="s">
        <v>335</v>
      </c>
      <c r="Q1281" s="25" t="s">
        <v>3026</v>
      </c>
      <c r="R1281" s="33"/>
      <c r="S1281" s="29"/>
    </row>
    <row r="1282" spans="1:19" x14ac:dyDescent="0.3">
      <c r="A1282" s="20">
        <v>45472</v>
      </c>
      <c r="B1282" s="25" t="s">
        <v>7570</v>
      </c>
      <c r="C1282" s="25" t="s">
        <v>7571</v>
      </c>
      <c r="D1282" s="25" t="s">
        <v>7572</v>
      </c>
      <c r="E1282" s="28" t="s">
        <v>7573</v>
      </c>
      <c r="F1282" s="28" t="s">
        <v>7574</v>
      </c>
      <c r="G1282" s="25">
        <v>6</v>
      </c>
      <c r="H1282" s="25">
        <v>4</v>
      </c>
      <c r="I1282" s="25" t="s">
        <v>605</v>
      </c>
      <c r="J1282" s="25" t="s">
        <v>539</v>
      </c>
      <c r="K1282" s="38" t="s">
        <v>199</v>
      </c>
      <c r="L1282" s="167">
        <f t="shared" si="46"/>
        <v>1339.2857142857142</v>
      </c>
      <c r="M1282" s="167">
        <f t="shared" si="47"/>
        <v>160.71428571428569</v>
      </c>
      <c r="N1282" s="23">
        <v>1500</v>
      </c>
      <c r="O1282" s="27" t="s">
        <v>7575</v>
      </c>
      <c r="P1282" s="25" t="s">
        <v>371</v>
      </c>
      <c r="Q1282" s="25" t="s">
        <v>782</v>
      </c>
      <c r="R1282" s="33"/>
      <c r="S1282" s="29"/>
    </row>
    <row r="1283" spans="1:19" x14ac:dyDescent="0.3">
      <c r="A1283" s="20">
        <v>45472</v>
      </c>
      <c r="B1283" s="25" t="s">
        <v>7576</v>
      </c>
      <c r="C1283" s="25" t="s">
        <v>7577</v>
      </c>
      <c r="D1283" s="25" t="s">
        <v>7578</v>
      </c>
      <c r="E1283" s="28" t="s">
        <v>7579</v>
      </c>
      <c r="F1283" s="28" t="s">
        <v>7580</v>
      </c>
      <c r="G1283" s="25">
        <v>5</v>
      </c>
      <c r="H1283" s="25">
        <v>2</v>
      </c>
      <c r="I1283" s="25" t="s">
        <v>605</v>
      </c>
      <c r="J1283" s="25" t="s">
        <v>539</v>
      </c>
      <c r="K1283" s="38" t="s">
        <v>3396</v>
      </c>
      <c r="L1283" s="167">
        <f t="shared" si="46"/>
        <v>624.99999999999989</v>
      </c>
      <c r="M1283" s="167">
        <f t="shared" si="47"/>
        <v>74.999999999999986</v>
      </c>
      <c r="N1283" s="23">
        <v>700</v>
      </c>
      <c r="O1283" s="27" t="s">
        <v>7581</v>
      </c>
      <c r="P1283" s="25" t="s">
        <v>7582</v>
      </c>
      <c r="Q1283" s="25" t="s">
        <v>3026</v>
      </c>
      <c r="R1283" s="33"/>
      <c r="S1283" s="29"/>
    </row>
    <row r="1284" spans="1:19" x14ac:dyDescent="0.3">
      <c r="A1284" s="20">
        <v>45472</v>
      </c>
      <c r="B1284" s="25" t="s">
        <v>7583</v>
      </c>
      <c r="C1284" s="25" t="s">
        <v>7584</v>
      </c>
      <c r="D1284" s="25" t="s">
        <v>7585</v>
      </c>
      <c r="E1284" s="28" t="s">
        <v>7586</v>
      </c>
      <c r="F1284" s="28" t="s">
        <v>7587</v>
      </c>
      <c r="G1284" s="25"/>
      <c r="H1284" s="25">
        <v>3</v>
      </c>
      <c r="I1284" s="25"/>
      <c r="J1284" s="25" t="s">
        <v>539</v>
      </c>
      <c r="K1284" s="38" t="s">
        <v>1162</v>
      </c>
      <c r="L1284" s="167">
        <f t="shared" si="46"/>
        <v>892.85714285714278</v>
      </c>
      <c r="M1284" s="167">
        <f t="shared" si="47"/>
        <v>107.14285714285712</v>
      </c>
      <c r="N1284" s="23">
        <v>1000</v>
      </c>
      <c r="O1284" s="27"/>
      <c r="P1284" s="25" t="s">
        <v>335</v>
      </c>
      <c r="Q1284" s="25" t="s">
        <v>2022</v>
      </c>
      <c r="R1284" s="33"/>
      <c r="S1284" s="29"/>
    </row>
    <row r="1285" spans="1:19" x14ac:dyDescent="0.3">
      <c r="A1285" s="20">
        <v>45472</v>
      </c>
      <c r="B1285" s="25" t="s">
        <v>7588</v>
      </c>
      <c r="C1285" s="25" t="s">
        <v>7589</v>
      </c>
      <c r="D1285" s="25" t="s">
        <v>7590</v>
      </c>
      <c r="E1285" s="28" t="s">
        <v>7591</v>
      </c>
      <c r="F1285" s="28" t="s">
        <v>7592</v>
      </c>
      <c r="G1285" s="25">
        <v>6</v>
      </c>
      <c r="H1285" s="25">
        <v>3</v>
      </c>
      <c r="I1285" s="25" t="s">
        <v>617</v>
      </c>
      <c r="J1285" s="25" t="s">
        <v>539</v>
      </c>
      <c r="K1285" s="38" t="s">
        <v>3396</v>
      </c>
      <c r="L1285" s="167">
        <f t="shared" si="46"/>
        <v>1071.4285714285713</v>
      </c>
      <c r="M1285" s="167">
        <f t="shared" si="47"/>
        <v>128.57142857142856</v>
      </c>
      <c r="N1285" s="23">
        <v>1200</v>
      </c>
      <c r="O1285" s="27" t="s">
        <v>7593</v>
      </c>
      <c r="P1285" s="25" t="s">
        <v>569</v>
      </c>
      <c r="Q1285" s="25" t="s">
        <v>225</v>
      </c>
      <c r="R1285" s="33"/>
      <c r="S1285" s="29"/>
    </row>
    <row r="1286" spans="1:19" x14ac:dyDescent="0.3">
      <c r="A1286" s="20">
        <v>45475</v>
      </c>
      <c r="B1286" s="25" t="s">
        <v>7594</v>
      </c>
      <c r="C1286" s="25" t="s">
        <v>7595</v>
      </c>
      <c r="D1286" s="25" t="s">
        <v>7596</v>
      </c>
      <c r="E1286" s="28" t="s">
        <v>7597</v>
      </c>
      <c r="F1286" s="28" t="s">
        <v>7598</v>
      </c>
      <c r="G1286" s="25">
        <v>7</v>
      </c>
      <c r="H1286" s="25">
        <v>5</v>
      </c>
      <c r="I1286" s="25" t="s">
        <v>605</v>
      </c>
      <c r="J1286" s="25" t="s">
        <v>539</v>
      </c>
      <c r="K1286" s="25" t="s">
        <v>2488</v>
      </c>
      <c r="L1286" s="167">
        <f t="shared" si="46"/>
        <v>1339.2857142857142</v>
      </c>
      <c r="M1286" s="167">
        <f t="shared" si="47"/>
        <v>160.71428571428569</v>
      </c>
      <c r="N1286" s="167">
        <v>1500</v>
      </c>
      <c r="O1286" s="27" t="s">
        <v>7599</v>
      </c>
      <c r="P1286" s="25" t="s">
        <v>371</v>
      </c>
      <c r="Q1286" s="25" t="s">
        <v>225</v>
      </c>
      <c r="R1286" s="33">
        <v>8000</v>
      </c>
      <c r="S1286" s="29"/>
    </row>
    <row r="1287" spans="1:19" x14ac:dyDescent="0.3">
      <c r="A1287" s="20">
        <v>45475</v>
      </c>
      <c r="B1287" s="25" t="s">
        <v>7600</v>
      </c>
      <c r="C1287" s="25" t="s">
        <v>7601</v>
      </c>
      <c r="D1287" s="25" t="s">
        <v>7602</v>
      </c>
      <c r="E1287" s="28" t="s">
        <v>7603</v>
      </c>
      <c r="F1287" s="28" t="s">
        <v>7604</v>
      </c>
      <c r="G1287" s="25">
        <v>6</v>
      </c>
      <c r="H1287" s="25">
        <v>2</v>
      </c>
      <c r="I1287" s="25" t="s">
        <v>605</v>
      </c>
      <c r="J1287" s="25" t="s">
        <v>539</v>
      </c>
      <c r="K1287" s="25" t="s">
        <v>199</v>
      </c>
      <c r="L1287" s="167">
        <f t="shared" si="46"/>
        <v>624.99999999999989</v>
      </c>
      <c r="M1287" s="167">
        <f t="shared" si="47"/>
        <v>74.999999999999986</v>
      </c>
      <c r="N1287" s="167">
        <v>700</v>
      </c>
      <c r="O1287" s="27" t="s">
        <v>7605</v>
      </c>
      <c r="P1287" s="25" t="s">
        <v>5743</v>
      </c>
      <c r="Q1287" s="25" t="s">
        <v>782</v>
      </c>
      <c r="R1287" s="33">
        <v>8000</v>
      </c>
      <c r="S1287" s="29"/>
    </row>
    <row r="1288" spans="1:19" x14ac:dyDescent="0.3">
      <c r="A1288" s="20">
        <v>45475</v>
      </c>
      <c r="B1288" s="25" t="s">
        <v>7606</v>
      </c>
      <c r="C1288" s="25" t="s">
        <v>7607</v>
      </c>
      <c r="D1288" s="25" t="s">
        <v>7608</v>
      </c>
      <c r="E1288" s="28" t="s">
        <v>7609</v>
      </c>
      <c r="F1288" s="28" t="s">
        <v>7610</v>
      </c>
      <c r="G1288" s="25">
        <v>5</v>
      </c>
      <c r="H1288" s="25">
        <v>3</v>
      </c>
      <c r="I1288" s="25" t="s">
        <v>605</v>
      </c>
      <c r="J1288" s="25" t="s">
        <v>539</v>
      </c>
      <c r="K1288" s="25" t="s">
        <v>200</v>
      </c>
      <c r="L1288" s="167">
        <f t="shared" si="46"/>
        <v>892.85714285714278</v>
      </c>
      <c r="M1288" s="167">
        <f t="shared" si="47"/>
        <v>107.14285714285712</v>
      </c>
      <c r="N1288" s="167">
        <v>1000</v>
      </c>
      <c r="O1288" s="27" t="s">
        <v>7611</v>
      </c>
      <c r="P1288" s="25" t="s">
        <v>5743</v>
      </c>
      <c r="Q1288" s="25" t="s">
        <v>2022</v>
      </c>
      <c r="R1288" s="33" t="s">
        <v>6554</v>
      </c>
      <c r="S1288" s="29"/>
    </row>
    <row r="1289" spans="1:19" x14ac:dyDescent="0.3">
      <c r="A1289" s="20">
        <v>45476</v>
      </c>
      <c r="B1289" s="25" t="s">
        <v>7612</v>
      </c>
      <c r="C1289" s="25" t="s">
        <v>5751</v>
      </c>
      <c r="D1289" s="25" t="s">
        <v>7613</v>
      </c>
      <c r="E1289" s="28" t="s">
        <v>7614</v>
      </c>
      <c r="F1289" s="28" t="s">
        <v>7615</v>
      </c>
      <c r="G1289" s="25">
        <v>4</v>
      </c>
      <c r="H1289" s="25">
        <v>2</v>
      </c>
      <c r="I1289" s="25" t="s">
        <v>3003</v>
      </c>
      <c r="J1289" s="25" t="s">
        <v>539</v>
      </c>
      <c r="K1289" s="25" t="s">
        <v>2488</v>
      </c>
      <c r="L1289" s="167">
        <f t="shared" si="46"/>
        <v>714.28571428571422</v>
      </c>
      <c r="M1289" s="167">
        <f t="shared" si="47"/>
        <v>85.714285714285708</v>
      </c>
      <c r="N1289" s="167">
        <v>800</v>
      </c>
      <c r="O1289" s="27" t="s">
        <v>7616</v>
      </c>
      <c r="P1289" s="25" t="s">
        <v>5743</v>
      </c>
      <c r="Q1289" s="25" t="s">
        <v>3026</v>
      </c>
      <c r="R1289" s="33">
        <v>9060</v>
      </c>
      <c r="S1289" s="29"/>
    </row>
    <row r="1290" spans="1:19" x14ac:dyDescent="0.3">
      <c r="A1290" s="20">
        <v>45476</v>
      </c>
      <c r="B1290" s="25" t="s">
        <v>7617</v>
      </c>
      <c r="C1290" s="25" t="s">
        <v>7618</v>
      </c>
      <c r="D1290" s="25" t="s">
        <v>7619</v>
      </c>
      <c r="E1290" s="28" t="s">
        <v>7620</v>
      </c>
      <c r="F1290" s="28" t="s">
        <v>7621</v>
      </c>
      <c r="G1290" s="25">
        <v>5</v>
      </c>
      <c r="H1290" s="25">
        <v>3</v>
      </c>
      <c r="I1290" s="25" t="s">
        <v>7622</v>
      </c>
      <c r="J1290" s="25" t="s">
        <v>539</v>
      </c>
      <c r="K1290" s="25" t="s">
        <v>200</v>
      </c>
      <c r="L1290" s="167">
        <f t="shared" si="46"/>
        <v>2669.6428571428569</v>
      </c>
      <c r="M1290" s="167">
        <f t="shared" si="47"/>
        <v>320.35714285714283</v>
      </c>
      <c r="N1290" s="167">
        <v>2990</v>
      </c>
      <c r="O1290" s="27" t="s">
        <v>7623</v>
      </c>
      <c r="P1290" s="25" t="s">
        <v>335</v>
      </c>
      <c r="Q1290" s="25" t="s">
        <v>225</v>
      </c>
      <c r="R1290" s="33">
        <v>9060</v>
      </c>
      <c r="S1290" s="29"/>
    </row>
    <row r="1291" spans="1:19" x14ac:dyDescent="0.3">
      <c r="A1291" s="20">
        <v>45476</v>
      </c>
      <c r="B1291" s="25" t="s">
        <v>7624</v>
      </c>
      <c r="C1291" s="25" t="s">
        <v>7625</v>
      </c>
      <c r="D1291" s="25" t="s">
        <v>7626</v>
      </c>
      <c r="E1291" s="28" t="s">
        <v>7627</v>
      </c>
      <c r="F1291" s="28" t="s">
        <v>7628</v>
      </c>
      <c r="G1291" s="25">
        <v>6</v>
      </c>
      <c r="H1291" s="25">
        <v>2</v>
      </c>
      <c r="I1291" s="25" t="s">
        <v>605</v>
      </c>
      <c r="J1291" s="25" t="s">
        <v>539</v>
      </c>
      <c r="K1291" s="25" t="s">
        <v>980</v>
      </c>
      <c r="L1291" s="167">
        <f t="shared" si="46"/>
        <v>624.99999999999989</v>
      </c>
      <c r="M1291" s="167">
        <f t="shared" si="47"/>
        <v>74.999999999999986</v>
      </c>
      <c r="N1291" s="167">
        <v>700</v>
      </c>
      <c r="O1291" s="27" t="s">
        <v>7629</v>
      </c>
      <c r="P1291" s="25" t="s">
        <v>335</v>
      </c>
      <c r="Q1291" s="25" t="s">
        <v>782</v>
      </c>
      <c r="R1291" s="33" t="s">
        <v>7397</v>
      </c>
      <c r="S1291" s="29"/>
    </row>
    <row r="1292" spans="1:19" x14ac:dyDescent="0.3">
      <c r="A1292" s="20">
        <v>45476</v>
      </c>
      <c r="B1292" s="25" t="s">
        <v>7630</v>
      </c>
      <c r="C1292" s="25" t="s">
        <v>7631</v>
      </c>
      <c r="D1292" s="25" t="s">
        <v>7632</v>
      </c>
      <c r="E1292" s="28" t="s">
        <v>7633</v>
      </c>
      <c r="F1292" s="28" t="s">
        <v>7634</v>
      </c>
      <c r="G1292" s="25">
        <v>6</v>
      </c>
      <c r="H1292" s="25">
        <v>4</v>
      </c>
      <c r="I1292" s="25" t="s">
        <v>3003</v>
      </c>
      <c r="J1292" s="25" t="s">
        <v>539</v>
      </c>
      <c r="K1292" s="25" t="s">
        <v>1518</v>
      </c>
      <c r="L1292" s="167">
        <f t="shared" si="46"/>
        <v>982.142857142857</v>
      </c>
      <c r="M1292" s="167">
        <f t="shared" si="47"/>
        <v>117.85714285714283</v>
      </c>
      <c r="N1292" s="167">
        <v>1100</v>
      </c>
      <c r="O1292" s="27"/>
      <c r="P1292" s="25" t="s">
        <v>371</v>
      </c>
      <c r="Q1292" s="25" t="s">
        <v>3026</v>
      </c>
      <c r="R1292" s="33">
        <v>9060</v>
      </c>
      <c r="S1292" s="29"/>
    </row>
    <row r="1293" spans="1:19" x14ac:dyDescent="0.3">
      <c r="A1293" s="20">
        <v>45476</v>
      </c>
      <c r="B1293" s="25" t="s">
        <v>7635</v>
      </c>
      <c r="C1293" s="25" t="s">
        <v>3462</v>
      </c>
      <c r="D1293" s="25" t="s">
        <v>7636</v>
      </c>
      <c r="E1293" s="28" t="s">
        <v>7637</v>
      </c>
      <c r="F1293" s="28" t="s">
        <v>7638</v>
      </c>
      <c r="G1293" s="25">
        <v>6</v>
      </c>
      <c r="H1293" s="25">
        <v>3</v>
      </c>
      <c r="I1293" s="25" t="s">
        <v>605</v>
      </c>
      <c r="J1293" s="25" t="s">
        <v>539</v>
      </c>
      <c r="K1293" s="25" t="s">
        <v>200</v>
      </c>
      <c r="L1293" s="167">
        <f t="shared" si="46"/>
        <v>892.85714285714278</v>
      </c>
      <c r="M1293" s="167">
        <f t="shared" si="47"/>
        <v>107.14285714285712</v>
      </c>
      <c r="N1293" s="167">
        <v>1000</v>
      </c>
      <c r="O1293" s="27" t="s">
        <v>7639</v>
      </c>
      <c r="P1293" s="25" t="s">
        <v>569</v>
      </c>
      <c r="Q1293" s="25" t="s">
        <v>2022</v>
      </c>
      <c r="R1293" s="33" t="s">
        <v>6554</v>
      </c>
      <c r="S1293" s="29"/>
    </row>
    <row r="1294" spans="1:19" x14ac:dyDescent="0.3">
      <c r="A1294" s="20">
        <v>45476</v>
      </c>
      <c r="B1294" s="25" t="s">
        <v>7640</v>
      </c>
      <c r="C1294" s="25" t="s">
        <v>7641</v>
      </c>
      <c r="D1294" s="25" t="s">
        <v>7642</v>
      </c>
      <c r="E1294" s="28" t="s">
        <v>7643</v>
      </c>
      <c r="F1294" s="28" t="s">
        <v>7644</v>
      </c>
      <c r="G1294" s="25">
        <v>6</v>
      </c>
      <c r="H1294" s="25">
        <v>2</v>
      </c>
      <c r="I1294" s="25" t="s">
        <v>605</v>
      </c>
      <c r="J1294" s="25" t="s">
        <v>539</v>
      </c>
      <c r="K1294" s="25" t="s">
        <v>1586</v>
      </c>
      <c r="L1294" s="167">
        <f t="shared" ref="L1294:L1357" si="48">+N1294/1.12</f>
        <v>624.99999999999989</v>
      </c>
      <c r="M1294" s="167">
        <f t="shared" ref="M1294:M1357" si="49">+L1294*12%</f>
        <v>74.999999999999986</v>
      </c>
      <c r="N1294" s="167">
        <v>700</v>
      </c>
      <c r="O1294" s="27" t="s">
        <v>7645</v>
      </c>
      <c r="P1294" s="25" t="s">
        <v>371</v>
      </c>
      <c r="Q1294" s="25" t="s">
        <v>340</v>
      </c>
      <c r="R1294" s="33" t="s">
        <v>6554</v>
      </c>
      <c r="S1294" s="29"/>
    </row>
    <row r="1295" spans="1:19" x14ac:dyDescent="0.3">
      <c r="A1295" s="20">
        <v>45477</v>
      </c>
      <c r="B1295" s="25" t="s">
        <v>7646</v>
      </c>
      <c r="C1295" s="25" t="s">
        <v>7647</v>
      </c>
      <c r="D1295" s="25" t="s">
        <v>7648</v>
      </c>
      <c r="E1295" s="28" t="s">
        <v>7649</v>
      </c>
      <c r="F1295" s="28" t="s">
        <v>7650</v>
      </c>
      <c r="G1295" s="25">
        <v>5</v>
      </c>
      <c r="H1295" s="25">
        <v>3</v>
      </c>
      <c r="I1295" s="25" t="s">
        <v>605</v>
      </c>
      <c r="J1295" s="25" t="s">
        <v>539</v>
      </c>
      <c r="K1295" s="25" t="s">
        <v>1586</v>
      </c>
      <c r="L1295" s="167">
        <f t="shared" si="48"/>
        <v>892.85714285714278</v>
      </c>
      <c r="M1295" s="167">
        <f t="shared" si="49"/>
        <v>107.14285714285712</v>
      </c>
      <c r="N1295" s="167">
        <v>1000</v>
      </c>
      <c r="O1295" s="27" t="s">
        <v>7651</v>
      </c>
      <c r="P1295" s="25" t="s">
        <v>335</v>
      </c>
      <c r="Q1295" s="25" t="s">
        <v>2022</v>
      </c>
      <c r="R1295" s="33" t="s">
        <v>7652</v>
      </c>
      <c r="S1295" s="29"/>
    </row>
    <row r="1296" spans="1:19" x14ac:dyDescent="0.3">
      <c r="A1296" s="20">
        <v>45477</v>
      </c>
      <c r="B1296" s="25" t="s">
        <v>7653</v>
      </c>
      <c r="C1296" s="25" t="s">
        <v>7654</v>
      </c>
      <c r="D1296" s="25" t="s">
        <v>7655</v>
      </c>
      <c r="E1296" s="28" t="s">
        <v>7656</v>
      </c>
      <c r="F1296" s="28" t="s">
        <v>7657</v>
      </c>
      <c r="G1296" s="25">
        <v>5</v>
      </c>
      <c r="H1296" s="25">
        <v>4</v>
      </c>
      <c r="I1296" s="25" t="s">
        <v>605</v>
      </c>
      <c r="J1296" s="25" t="s">
        <v>539</v>
      </c>
      <c r="K1296" s="25" t="s">
        <v>2488</v>
      </c>
      <c r="L1296" s="167">
        <f t="shared" si="48"/>
        <v>892.85714285714278</v>
      </c>
      <c r="M1296" s="167">
        <f t="shared" si="49"/>
        <v>107.14285714285712</v>
      </c>
      <c r="N1296" s="167">
        <v>1000</v>
      </c>
      <c r="O1296" s="27" t="s">
        <v>7658</v>
      </c>
      <c r="P1296" s="25" t="s">
        <v>335</v>
      </c>
      <c r="Q1296" s="25" t="s">
        <v>3026</v>
      </c>
      <c r="R1296" s="33" t="s">
        <v>7344</v>
      </c>
      <c r="S1296" s="29"/>
    </row>
    <row r="1297" spans="1:19" x14ac:dyDescent="0.3">
      <c r="A1297" s="20">
        <v>45477</v>
      </c>
      <c r="B1297" s="25" t="s">
        <v>7659</v>
      </c>
      <c r="C1297" s="25" t="s">
        <v>7660</v>
      </c>
      <c r="D1297" s="25" t="s">
        <v>7661</v>
      </c>
      <c r="E1297" s="28" t="s">
        <v>7662</v>
      </c>
      <c r="F1297" s="28" t="s">
        <v>7663</v>
      </c>
      <c r="G1297" s="25">
        <v>4</v>
      </c>
      <c r="H1297" s="25">
        <v>3</v>
      </c>
      <c r="I1297" s="25" t="s">
        <v>605</v>
      </c>
      <c r="J1297" s="25" t="s">
        <v>539</v>
      </c>
      <c r="K1297" s="25" t="s">
        <v>199</v>
      </c>
      <c r="L1297" s="167">
        <f t="shared" si="48"/>
        <v>624.99999999999989</v>
      </c>
      <c r="M1297" s="167">
        <f t="shared" si="49"/>
        <v>74.999999999999986</v>
      </c>
      <c r="N1297" s="167">
        <v>700</v>
      </c>
      <c r="O1297" s="27" t="s">
        <v>7664</v>
      </c>
      <c r="P1297" s="25" t="s">
        <v>5743</v>
      </c>
      <c r="Q1297" s="25" t="s">
        <v>225</v>
      </c>
      <c r="R1297" s="33">
        <v>9060</v>
      </c>
      <c r="S1297" s="29"/>
    </row>
    <row r="1298" spans="1:19" x14ac:dyDescent="0.3">
      <c r="A1298" s="20">
        <v>45478</v>
      </c>
      <c r="B1298" s="25" t="s">
        <v>7665</v>
      </c>
      <c r="C1298" s="25" t="s">
        <v>7666</v>
      </c>
      <c r="D1298" s="25" t="s">
        <v>7667</v>
      </c>
      <c r="E1298" s="28" t="s">
        <v>7668</v>
      </c>
      <c r="F1298" s="28" t="s">
        <v>7669</v>
      </c>
      <c r="G1298" s="25">
        <v>5</v>
      </c>
      <c r="H1298" s="25">
        <v>3</v>
      </c>
      <c r="I1298" s="25" t="s">
        <v>605</v>
      </c>
      <c r="J1298" s="25" t="s">
        <v>539</v>
      </c>
      <c r="K1298" s="25" t="s">
        <v>200</v>
      </c>
      <c r="L1298" s="167">
        <f t="shared" si="48"/>
        <v>892.85714285714278</v>
      </c>
      <c r="M1298" s="167">
        <f t="shared" si="49"/>
        <v>107.14285714285712</v>
      </c>
      <c r="N1298" s="167">
        <v>1000</v>
      </c>
      <c r="O1298" s="27" t="s">
        <v>7670</v>
      </c>
      <c r="P1298" s="25" t="s">
        <v>6428</v>
      </c>
      <c r="Q1298" s="25" t="s">
        <v>225</v>
      </c>
      <c r="R1298" s="33">
        <v>9060</v>
      </c>
      <c r="S1298" s="29"/>
    </row>
    <row r="1299" spans="1:19" x14ac:dyDescent="0.3">
      <c r="A1299" s="20">
        <v>45478</v>
      </c>
      <c r="B1299" s="25" t="s">
        <v>7671</v>
      </c>
      <c r="C1299" s="25" t="s">
        <v>7672</v>
      </c>
      <c r="D1299" s="25" t="s">
        <v>7673</v>
      </c>
      <c r="E1299" s="28" t="s">
        <v>7674</v>
      </c>
      <c r="F1299" s="28" t="s">
        <v>7675</v>
      </c>
      <c r="G1299" s="25">
        <v>10</v>
      </c>
      <c r="H1299" s="25">
        <v>10</v>
      </c>
      <c r="I1299" s="25" t="s">
        <v>617</v>
      </c>
      <c r="J1299" s="25" t="s">
        <v>539</v>
      </c>
      <c r="K1299" s="25" t="s">
        <v>1586</v>
      </c>
      <c r="L1299" s="167">
        <f t="shared" si="48"/>
        <v>3571.4285714285711</v>
      </c>
      <c r="M1299" s="167">
        <f t="shared" si="49"/>
        <v>428.5714285714285</v>
      </c>
      <c r="N1299" s="167">
        <v>4000</v>
      </c>
      <c r="O1299" s="27" t="s">
        <v>7676</v>
      </c>
      <c r="P1299" s="25" t="s">
        <v>2832</v>
      </c>
      <c r="Q1299" s="25" t="s">
        <v>782</v>
      </c>
      <c r="R1299" s="33">
        <v>9060</v>
      </c>
      <c r="S1299" s="29"/>
    </row>
    <row r="1300" spans="1:19" x14ac:dyDescent="0.3">
      <c r="A1300" s="20">
        <v>45478</v>
      </c>
      <c r="B1300" s="25" t="s">
        <v>7677</v>
      </c>
      <c r="C1300" s="25" t="s">
        <v>7678</v>
      </c>
      <c r="D1300" s="25" t="s">
        <v>7679</v>
      </c>
      <c r="E1300" s="28" t="s">
        <v>7680</v>
      </c>
      <c r="F1300" s="28" t="s">
        <v>7681</v>
      </c>
      <c r="G1300" s="25">
        <v>4</v>
      </c>
      <c r="H1300" s="25">
        <v>2</v>
      </c>
      <c r="I1300" s="25" t="s">
        <v>605</v>
      </c>
      <c r="J1300" s="25" t="s">
        <v>539</v>
      </c>
      <c r="K1300" s="25" t="s">
        <v>1162</v>
      </c>
      <c r="L1300" s="167">
        <f t="shared" si="48"/>
        <v>624.99999999999989</v>
      </c>
      <c r="M1300" s="167">
        <f t="shared" si="49"/>
        <v>74.999999999999986</v>
      </c>
      <c r="N1300" s="167">
        <v>700</v>
      </c>
      <c r="O1300" s="27" t="s">
        <v>7682</v>
      </c>
      <c r="P1300" s="25" t="s">
        <v>335</v>
      </c>
      <c r="Q1300" s="25" t="s">
        <v>3026</v>
      </c>
      <c r="R1300" s="33" t="s">
        <v>6554</v>
      </c>
      <c r="S1300" s="29"/>
    </row>
    <row r="1301" spans="1:19" x14ac:dyDescent="0.3">
      <c r="A1301" s="20">
        <v>45478</v>
      </c>
      <c r="B1301" s="25" t="s">
        <v>7683</v>
      </c>
      <c r="C1301" s="25" t="s">
        <v>7684</v>
      </c>
      <c r="D1301" s="25" t="s">
        <v>7685</v>
      </c>
      <c r="E1301" s="28" t="s">
        <v>7686</v>
      </c>
      <c r="F1301" s="28" t="s">
        <v>7687</v>
      </c>
      <c r="G1301" s="25">
        <v>6</v>
      </c>
      <c r="H1301" s="25">
        <v>4</v>
      </c>
      <c r="I1301" s="25" t="s">
        <v>605</v>
      </c>
      <c r="J1301" s="25" t="s">
        <v>539</v>
      </c>
      <c r="K1301" s="25" t="s">
        <v>199</v>
      </c>
      <c r="L1301" s="167">
        <f t="shared" si="48"/>
        <v>982.142857142857</v>
      </c>
      <c r="M1301" s="167">
        <f t="shared" si="49"/>
        <v>117.85714285714283</v>
      </c>
      <c r="N1301" s="167">
        <v>1100</v>
      </c>
      <c r="O1301" s="27" t="s">
        <v>7688</v>
      </c>
      <c r="P1301" s="25" t="s">
        <v>2832</v>
      </c>
      <c r="Q1301" s="25" t="s">
        <v>782</v>
      </c>
      <c r="R1301" s="33">
        <v>8000</v>
      </c>
      <c r="S1301" s="29"/>
    </row>
    <row r="1302" spans="1:19" x14ac:dyDescent="0.3">
      <c r="A1302" s="20">
        <v>45478</v>
      </c>
      <c r="B1302" s="25" t="s">
        <v>7689</v>
      </c>
      <c r="C1302" s="25" t="s">
        <v>7690</v>
      </c>
      <c r="D1302" s="25" t="s">
        <v>7691</v>
      </c>
      <c r="E1302" s="28" t="s">
        <v>7692</v>
      </c>
      <c r="F1302" s="28" t="s">
        <v>7693</v>
      </c>
      <c r="G1302" s="25">
        <v>5</v>
      </c>
      <c r="H1302" s="25">
        <v>2</v>
      </c>
      <c r="I1302" s="25" t="s">
        <v>605</v>
      </c>
      <c r="J1302" s="25" t="s">
        <v>539</v>
      </c>
      <c r="K1302" s="25" t="s">
        <v>980</v>
      </c>
      <c r="L1302" s="167">
        <f t="shared" si="48"/>
        <v>624.99999999999989</v>
      </c>
      <c r="M1302" s="167">
        <f t="shared" si="49"/>
        <v>74.999999999999986</v>
      </c>
      <c r="N1302" s="167">
        <v>700</v>
      </c>
      <c r="O1302" s="27" t="s">
        <v>7694</v>
      </c>
      <c r="P1302" s="25" t="s">
        <v>2804</v>
      </c>
      <c r="Q1302" s="25" t="s">
        <v>6428</v>
      </c>
      <c r="R1302" s="33" t="s">
        <v>6554</v>
      </c>
      <c r="S1302" s="29"/>
    </row>
    <row r="1303" spans="1:19" x14ac:dyDescent="0.3">
      <c r="A1303" s="20">
        <v>45478</v>
      </c>
      <c r="B1303" s="25" t="s">
        <v>7695</v>
      </c>
      <c r="C1303" s="25" t="s">
        <v>7696</v>
      </c>
      <c r="D1303" s="25" t="s">
        <v>7697</v>
      </c>
      <c r="E1303" s="28" t="s">
        <v>7698</v>
      </c>
      <c r="F1303" s="28" t="s">
        <v>7699</v>
      </c>
      <c r="G1303" s="25">
        <v>10</v>
      </c>
      <c r="H1303" s="25">
        <v>10</v>
      </c>
      <c r="I1303" s="25" t="s">
        <v>3003</v>
      </c>
      <c r="J1303" s="25" t="s">
        <v>539</v>
      </c>
      <c r="K1303" s="25" t="s">
        <v>199</v>
      </c>
      <c r="L1303" s="167">
        <f t="shared" si="48"/>
        <v>2678.5714285714284</v>
      </c>
      <c r="M1303" s="167">
        <f t="shared" si="49"/>
        <v>321.42857142857139</v>
      </c>
      <c r="N1303" s="167">
        <v>3000</v>
      </c>
      <c r="O1303" s="27" t="s">
        <v>7700</v>
      </c>
      <c r="P1303" s="25" t="s">
        <v>335</v>
      </c>
      <c r="Q1303" s="25" t="s">
        <v>3026</v>
      </c>
      <c r="R1303" s="33">
        <v>8000</v>
      </c>
      <c r="S1303" s="29"/>
    </row>
    <row r="1304" spans="1:19" x14ac:dyDescent="0.3">
      <c r="A1304" s="20">
        <v>45479</v>
      </c>
      <c r="B1304" s="25" t="s">
        <v>7701</v>
      </c>
      <c r="C1304" s="25" t="s">
        <v>7702</v>
      </c>
      <c r="D1304" s="25" t="s">
        <v>7703</v>
      </c>
      <c r="E1304" s="28" t="s">
        <v>7704</v>
      </c>
      <c r="F1304" s="28" t="s">
        <v>7705</v>
      </c>
      <c r="G1304" s="25">
        <v>6</v>
      </c>
      <c r="H1304" s="25">
        <v>3</v>
      </c>
      <c r="I1304" s="25" t="s">
        <v>605</v>
      </c>
      <c r="J1304" s="25" t="s">
        <v>539</v>
      </c>
      <c r="K1304" s="25" t="s">
        <v>199</v>
      </c>
      <c r="L1304" s="167">
        <f t="shared" si="48"/>
        <v>624.99999999999989</v>
      </c>
      <c r="M1304" s="167">
        <f t="shared" si="49"/>
        <v>74.999999999999986</v>
      </c>
      <c r="N1304" s="167">
        <v>700</v>
      </c>
      <c r="O1304" s="27" t="s">
        <v>7706</v>
      </c>
      <c r="P1304" s="25" t="s">
        <v>335</v>
      </c>
      <c r="Q1304" s="25" t="s">
        <v>335</v>
      </c>
      <c r="R1304" s="33" t="s">
        <v>7113</v>
      </c>
      <c r="S1304" s="29"/>
    </row>
    <row r="1305" spans="1:19" x14ac:dyDescent="0.3">
      <c r="A1305" s="20">
        <v>45479</v>
      </c>
      <c r="B1305" s="25" t="s">
        <v>7707</v>
      </c>
      <c r="C1305" s="25" t="s">
        <v>7708</v>
      </c>
      <c r="D1305" s="25" t="s">
        <v>7709</v>
      </c>
      <c r="E1305" s="28" t="s">
        <v>7710</v>
      </c>
      <c r="F1305" s="28" t="s">
        <v>7711</v>
      </c>
      <c r="G1305" s="25">
        <v>6</v>
      </c>
      <c r="H1305" s="25">
        <v>2</v>
      </c>
      <c r="I1305" s="25" t="s">
        <v>605</v>
      </c>
      <c r="J1305" s="25" t="s">
        <v>539</v>
      </c>
      <c r="K1305" s="25" t="s">
        <v>200</v>
      </c>
      <c r="L1305" s="167">
        <f t="shared" si="48"/>
        <v>624.99999999999989</v>
      </c>
      <c r="M1305" s="167">
        <f t="shared" si="49"/>
        <v>74.999999999999986</v>
      </c>
      <c r="N1305" s="167">
        <v>700</v>
      </c>
      <c r="O1305" s="27" t="s">
        <v>7712</v>
      </c>
      <c r="P1305" s="25" t="s">
        <v>5743</v>
      </c>
      <c r="Q1305" s="25" t="s">
        <v>3026</v>
      </c>
      <c r="R1305" s="33"/>
      <c r="S1305" s="29"/>
    </row>
    <row r="1306" spans="1:19" x14ac:dyDescent="0.3">
      <c r="A1306" s="20">
        <v>45479</v>
      </c>
      <c r="B1306" s="25" t="s">
        <v>7713</v>
      </c>
      <c r="C1306" s="25" t="s">
        <v>7714</v>
      </c>
      <c r="D1306" s="25" t="s">
        <v>7715</v>
      </c>
      <c r="E1306" s="28" t="s">
        <v>7716</v>
      </c>
      <c r="F1306" s="28" t="s">
        <v>7717</v>
      </c>
      <c r="G1306" s="25">
        <v>8</v>
      </c>
      <c r="H1306" s="25">
        <v>8</v>
      </c>
      <c r="I1306" s="25" t="s">
        <v>605</v>
      </c>
      <c r="J1306" s="25" t="s">
        <v>539</v>
      </c>
      <c r="K1306" s="25" t="s">
        <v>200</v>
      </c>
      <c r="L1306" s="167">
        <f t="shared" si="48"/>
        <v>2669.6428571428569</v>
      </c>
      <c r="M1306" s="167">
        <f t="shared" si="49"/>
        <v>320.35714285714283</v>
      </c>
      <c r="N1306" s="167">
        <v>2990</v>
      </c>
      <c r="O1306" s="27" t="s">
        <v>7718</v>
      </c>
      <c r="P1306" s="25" t="s">
        <v>6428</v>
      </c>
      <c r="Q1306" s="25" t="s">
        <v>225</v>
      </c>
      <c r="R1306" s="33">
        <v>8000</v>
      </c>
      <c r="S1306" s="29"/>
    </row>
    <row r="1307" spans="1:19" x14ac:dyDescent="0.3">
      <c r="A1307" s="20">
        <v>45479</v>
      </c>
      <c r="B1307" s="25" t="s">
        <v>7719</v>
      </c>
      <c r="C1307" s="25" t="s">
        <v>7720</v>
      </c>
      <c r="D1307" s="25" t="s">
        <v>7721</v>
      </c>
      <c r="E1307" s="28" t="s">
        <v>7722</v>
      </c>
      <c r="F1307" s="28" t="s">
        <v>7723</v>
      </c>
      <c r="G1307" s="25">
        <v>5</v>
      </c>
      <c r="H1307" s="25">
        <v>3</v>
      </c>
      <c r="I1307" s="25" t="s">
        <v>605</v>
      </c>
      <c r="J1307" s="25" t="s">
        <v>539</v>
      </c>
      <c r="K1307" s="25" t="s">
        <v>200</v>
      </c>
      <c r="L1307" s="167">
        <f t="shared" si="48"/>
        <v>892.85714285714278</v>
      </c>
      <c r="M1307" s="167">
        <f t="shared" si="49"/>
        <v>107.14285714285712</v>
      </c>
      <c r="N1307" s="167">
        <v>1000</v>
      </c>
      <c r="O1307" s="27" t="s">
        <v>7724</v>
      </c>
      <c r="P1307" s="25" t="s">
        <v>5743</v>
      </c>
      <c r="Q1307" s="25" t="s">
        <v>2022</v>
      </c>
      <c r="R1307" s="33" t="s">
        <v>7725</v>
      </c>
      <c r="S1307" s="29"/>
    </row>
    <row r="1308" spans="1:19" x14ac:dyDescent="0.3">
      <c r="A1308" s="20">
        <v>45478</v>
      </c>
      <c r="B1308" s="25" t="s">
        <v>7726</v>
      </c>
      <c r="C1308" s="25" t="s">
        <v>7727</v>
      </c>
      <c r="D1308" s="25" t="s">
        <v>7728</v>
      </c>
      <c r="E1308" s="28" t="s">
        <v>7729</v>
      </c>
      <c r="F1308" s="28" t="s">
        <v>7730</v>
      </c>
      <c r="G1308" s="25" t="s">
        <v>4991</v>
      </c>
      <c r="H1308" s="25">
        <v>1</v>
      </c>
      <c r="I1308" s="25" t="s">
        <v>3003</v>
      </c>
      <c r="J1308" s="25" t="s">
        <v>539</v>
      </c>
      <c r="K1308" s="25" t="s">
        <v>7731</v>
      </c>
      <c r="L1308" s="167">
        <f t="shared" si="48"/>
        <v>267.85714285714283</v>
      </c>
      <c r="M1308" s="167">
        <f t="shared" si="49"/>
        <v>32.142857142857139</v>
      </c>
      <c r="N1308" s="167">
        <v>300</v>
      </c>
      <c r="O1308" s="27" t="s">
        <v>7732</v>
      </c>
      <c r="P1308" s="25" t="s">
        <v>7733</v>
      </c>
      <c r="Q1308" s="25" t="s">
        <v>3026</v>
      </c>
      <c r="R1308" s="33">
        <v>9060</v>
      </c>
      <c r="S1308" s="29"/>
    </row>
    <row r="1309" spans="1:19" x14ac:dyDescent="0.3">
      <c r="A1309" s="20">
        <v>45482</v>
      </c>
      <c r="B1309" s="25" t="s">
        <v>7734</v>
      </c>
      <c r="C1309" s="25" t="s">
        <v>7735</v>
      </c>
      <c r="D1309" s="25" t="s">
        <v>7736</v>
      </c>
      <c r="E1309" s="28" t="s">
        <v>7737</v>
      </c>
      <c r="F1309" s="28" t="s">
        <v>7738</v>
      </c>
      <c r="G1309" s="25">
        <v>5</v>
      </c>
      <c r="H1309" s="25">
        <v>6</v>
      </c>
      <c r="I1309" s="25" t="s">
        <v>3003</v>
      </c>
      <c r="J1309" s="25" t="s">
        <v>539</v>
      </c>
      <c r="K1309" s="25" t="s">
        <v>200</v>
      </c>
      <c r="L1309" s="167">
        <f t="shared" si="48"/>
        <v>1696.4285714285713</v>
      </c>
      <c r="M1309" s="167">
        <f t="shared" si="49"/>
        <v>203.57142857142856</v>
      </c>
      <c r="N1309" s="167">
        <v>1900</v>
      </c>
      <c r="O1309" s="27" t="s">
        <v>7739</v>
      </c>
      <c r="P1309" s="25" t="s">
        <v>6428</v>
      </c>
      <c r="Q1309" s="25" t="s">
        <v>3026</v>
      </c>
      <c r="R1309" s="33" t="s">
        <v>6554</v>
      </c>
      <c r="S1309" s="29"/>
    </row>
    <row r="1310" spans="1:19" x14ac:dyDescent="0.3">
      <c r="A1310" s="20">
        <v>45482</v>
      </c>
      <c r="B1310" s="25" t="s">
        <v>7740</v>
      </c>
      <c r="C1310" s="25" t="s">
        <v>7741</v>
      </c>
      <c r="D1310" s="25" t="s">
        <v>7742</v>
      </c>
      <c r="E1310" s="28" t="s">
        <v>7743</v>
      </c>
      <c r="F1310" s="28" t="s">
        <v>7744</v>
      </c>
      <c r="G1310" s="25">
        <v>10</v>
      </c>
      <c r="H1310" s="25">
        <v>10</v>
      </c>
      <c r="I1310" s="25" t="s">
        <v>605</v>
      </c>
      <c r="J1310" s="25" t="s">
        <v>539</v>
      </c>
      <c r="K1310" s="25" t="s">
        <v>199</v>
      </c>
      <c r="L1310" s="167">
        <f t="shared" si="48"/>
        <v>3116.0714285714284</v>
      </c>
      <c r="M1310" s="167">
        <f t="shared" si="49"/>
        <v>373.92857142857139</v>
      </c>
      <c r="N1310" s="167">
        <v>3490</v>
      </c>
      <c r="O1310" s="27" t="s">
        <v>7745</v>
      </c>
      <c r="P1310" s="25" t="s">
        <v>569</v>
      </c>
      <c r="Q1310" s="25" t="s">
        <v>340</v>
      </c>
      <c r="R1310" s="33">
        <v>555</v>
      </c>
      <c r="S1310" s="29"/>
    </row>
    <row r="1311" spans="1:19" x14ac:dyDescent="0.3">
      <c r="A1311" s="20">
        <v>45482</v>
      </c>
      <c r="B1311" s="25" t="s">
        <v>7746</v>
      </c>
      <c r="C1311" s="25" t="s">
        <v>7747</v>
      </c>
      <c r="D1311" s="25" t="s">
        <v>7748</v>
      </c>
      <c r="E1311" s="28" t="s">
        <v>7749</v>
      </c>
      <c r="F1311" s="28" t="s">
        <v>7750</v>
      </c>
      <c r="G1311" s="25">
        <v>6</v>
      </c>
      <c r="H1311" s="25">
        <v>4</v>
      </c>
      <c r="I1311" s="25" t="s">
        <v>605</v>
      </c>
      <c r="J1311" s="25" t="s">
        <v>539</v>
      </c>
      <c r="K1311" s="25" t="s">
        <v>2488</v>
      </c>
      <c r="L1311" s="167">
        <f t="shared" si="48"/>
        <v>892.85714285714278</v>
      </c>
      <c r="M1311" s="167">
        <f t="shared" si="49"/>
        <v>107.14285714285712</v>
      </c>
      <c r="N1311" s="167">
        <v>1000</v>
      </c>
      <c r="O1311" s="27" t="s">
        <v>7751</v>
      </c>
      <c r="P1311" s="25" t="s">
        <v>6428</v>
      </c>
      <c r="Q1311" s="25" t="s">
        <v>782</v>
      </c>
      <c r="R1311" s="33" t="s">
        <v>6554</v>
      </c>
      <c r="S1311" s="29"/>
    </row>
    <row r="1312" spans="1:19" x14ac:dyDescent="0.3">
      <c r="A1312" s="20">
        <v>45482</v>
      </c>
      <c r="B1312" s="25" t="s">
        <v>7752</v>
      </c>
      <c r="C1312" s="25" t="s">
        <v>7753</v>
      </c>
      <c r="D1312" s="25" t="s">
        <v>7754</v>
      </c>
      <c r="E1312" s="28" t="s">
        <v>7755</v>
      </c>
      <c r="F1312" s="28" t="s">
        <v>7756</v>
      </c>
      <c r="G1312" s="25">
        <v>8</v>
      </c>
      <c r="H1312" s="25">
        <v>7</v>
      </c>
      <c r="I1312" s="25" t="s">
        <v>605</v>
      </c>
      <c r="J1312" s="25" t="s">
        <v>539</v>
      </c>
      <c r="K1312" s="25" t="s">
        <v>200</v>
      </c>
      <c r="L1312" s="167">
        <f t="shared" si="48"/>
        <v>1785.7142857142856</v>
      </c>
      <c r="M1312" s="167">
        <f t="shared" si="49"/>
        <v>214.28571428571425</v>
      </c>
      <c r="N1312" s="167">
        <v>2000</v>
      </c>
      <c r="O1312" s="27" t="s">
        <v>7757</v>
      </c>
      <c r="P1312" s="25" t="s">
        <v>2832</v>
      </c>
      <c r="Q1312" s="25" t="s">
        <v>3026</v>
      </c>
      <c r="R1312" s="33">
        <v>555</v>
      </c>
      <c r="S1312" s="29"/>
    </row>
    <row r="1313" spans="1:19" x14ac:dyDescent="0.3">
      <c r="A1313" s="20">
        <v>45482</v>
      </c>
      <c r="B1313" s="25" t="s">
        <v>7758</v>
      </c>
      <c r="C1313" s="25" t="s">
        <v>7759</v>
      </c>
      <c r="D1313" s="25" t="s">
        <v>7760</v>
      </c>
      <c r="E1313" s="28" t="s">
        <v>7761</v>
      </c>
      <c r="F1313" s="28" t="s">
        <v>7762</v>
      </c>
      <c r="G1313" s="25">
        <v>6</v>
      </c>
      <c r="H1313" s="25">
        <v>3</v>
      </c>
      <c r="I1313" s="25" t="s">
        <v>605</v>
      </c>
      <c r="J1313" s="25" t="s">
        <v>539</v>
      </c>
      <c r="K1313" s="25" t="s">
        <v>1586</v>
      </c>
      <c r="L1313" s="167">
        <f t="shared" si="48"/>
        <v>1071.4285714285713</v>
      </c>
      <c r="M1313" s="167">
        <f t="shared" si="49"/>
        <v>128.57142857142856</v>
      </c>
      <c r="N1313" s="167">
        <v>1200</v>
      </c>
      <c r="O1313" s="27" t="s">
        <v>7763</v>
      </c>
      <c r="P1313" s="25" t="s">
        <v>2804</v>
      </c>
      <c r="Q1313" s="25" t="s">
        <v>225</v>
      </c>
      <c r="R1313" s="33" t="s">
        <v>6554</v>
      </c>
      <c r="S1313" s="29"/>
    </row>
    <row r="1314" spans="1:19" x14ac:dyDescent="0.3">
      <c r="A1314" s="20">
        <v>45482</v>
      </c>
      <c r="B1314" s="25" t="s">
        <v>7764</v>
      </c>
      <c r="C1314" s="25" t="s">
        <v>7765</v>
      </c>
      <c r="D1314" s="25" t="s">
        <v>7766</v>
      </c>
      <c r="E1314" s="28" t="s">
        <v>7767</v>
      </c>
      <c r="F1314" s="28" t="s">
        <v>7768</v>
      </c>
      <c r="G1314" s="25">
        <v>10</v>
      </c>
      <c r="H1314" s="25">
        <v>6</v>
      </c>
      <c r="I1314" s="25" t="s">
        <v>871</v>
      </c>
      <c r="J1314" s="25" t="s">
        <v>539</v>
      </c>
      <c r="K1314" s="25" t="s">
        <v>199</v>
      </c>
      <c r="L1314" s="167">
        <f t="shared" si="48"/>
        <v>1428.5714285714284</v>
      </c>
      <c r="M1314" s="167">
        <f t="shared" si="49"/>
        <v>171.42857142857142</v>
      </c>
      <c r="N1314" s="167">
        <v>1600</v>
      </c>
      <c r="O1314" s="27" t="s">
        <v>7769</v>
      </c>
      <c r="P1314" s="25" t="s">
        <v>335</v>
      </c>
      <c r="Q1314" s="25" t="s">
        <v>782</v>
      </c>
      <c r="R1314" s="33" t="s">
        <v>7652</v>
      </c>
      <c r="S1314" s="29"/>
    </row>
    <row r="1315" spans="1:19" x14ac:dyDescent="0.3">
      <c r="A1315" s="20">
        <v>45483</v>
      </c>
      <c r="B1315" s="25" t="s">
        <v>7770</v>
      </c>
      <c r="C1315" s="25" t="s">
        <v>7771</v>
      </c>
      <c r="D1315" s="25" t="s">
        <v>7772</v>
      </c>
      <c r="E1315" s="28" t="s">
        <v>7773</v>
      </c>
      <c r="F1315" s="28" t="s">
        <v>7774</v>
      </c>
      <c r="G1315" s="25">
        <v>10</v>
      </c>
      <c r="H1315" s="25">
        <v>8</v>
      </c>
      <c r="I1315" s="25" t="s">
        <v>605</v>
      </c>
      <c r="J1315" s="25" t="s">
        <v>539</v>
      </c>
      <c r="K1315" s="25" t="s">
        <v>200</v>
      </c>
      <c r="L1315" s="167">
        <f t="shared" si="48"/>
        <v>2312.5</v>
      </c>
      <c r="M1315" s="167">
        <f t="shared" si="49"/>
        <v>277.5</v>
      </c>
      <c r="N1315" s="167">
        <v>2590</v>
      </c>
      <c r="O1315" s="27" t="s">
        <v>7775</v>
      </c>
      <c r="P1315" s="25" t="s">
        <v>371</v>
      </c>
      <c r="Q1315" s="25" t="s">
        <v>225</v>
      </c>
      <c r="R1315" s="33">
        <v>555</v>
      </c>
      <c r="S1315" s="29"/>
    </row>
    <row r="1316" spans="1:19" x14ac:dyDescent="0.3">
      <c r="A1316" s="20">
        <v>45483</v>
      </c>
      <c r="B1316" s="25" t="s">
        <v>7776</v>
      </c>
      <c r="C1316" s="25" t="s">
        <v>7777</v>
      </c>
      <c r="D1316" s="25" t="s">
        <v>7778</v>
      </c>
      <c r="E1316" s="28" t="s">
        <v>7779</v>
      </c>
      <c r="F1316" s="28" t="s">
        <v>7780</v>
      </c>
      <c r="G1316" s="25">
        <v>6</v>
      </c>
      <c r="H1316" s="25">
        <v>5</v>
      </c>
      <c r="I1316" s="25" t="s">
        <v>605</v>
      </c>
      <c r="J1316" s="25" t="s">
        <v>539</v>
      </c>
      <c r="K1316" s="25" t="s">
        <v>199</v>
      </c>
      <c r="L1316" s="167">
        <f t="shared" si="48"/>
        <v>1071.4285714285713</v>
      </c>
      <c r="M1316" s="167">
        <f t="shared" si="49"/>
        <v>128.57142857142856</v>
      </c>
      <c r="N1316" s="167">
        <v>1200</v>
      </c>
      <c r="O1316" s="27" t="s">
        <v>7781</v>
      </c>
      <c r="P1316" s="25" t="s">
        <v>569</v>
      </c>
      <c r="Q1316" s="25" t="s">
        <v>782</v>
      </c>
      <c r="R1316" s="33">
        <v>555</v>
      </c>
      <c r="S1316" s="29"/>
    </row>
    <row r="1317" spans="1:19" x14ac:dyDescent="0.3">
      <c r="A1317" s="20">
        <v>45483</v>
      </c>
      <c r="B1317" s="25" t="s">
        <v>7782</v>
      </c>
      <c r="C1317" s="25" t="s">
        <v>7783</v>
      </c>
      <c r="D1317" s="25" t="s">
        <v>7784</v>
      </c>
      <c r="E1317" s="28" t="s">
        <v>7785</v>
      </c>
      <c r="F1317" s="28" t="s">
        <v>7786</v>
      </c>
      <c r="G1317" s="25">
        <v>5</v>
      </c>
      <c r="H1317" s="25">
        <v>8</v>
      </c>
      <c r="I1317" s="25" t="s">
        <v>611</v>
      </c>
      <c r="J1317" s="25" t="s">
        <v>539</v>
      </c>
      <c r="K1317" s="25" t="s">
        <v>199</v>
      </c>
      <c r="L1317" s="167">
        <f t="shared" si="48"/>
        <v>2098.2142857142853</v>
      </c>
      <c r="M1317" s="167">
        <f t="shared" si="49"/>
        <v>251.78571428571422</v>
      </c>
      <c r="N1317" s="167">
        <v>2350</v>
      </c>
      <c r="O1317" s="27" t="s">
        <v>7787</v>
      </c>
      <c r="P1317" s="25" t="s">
        <v>7788</v>
      </c>
      <c r="Q1317" s="25" t="s">
        <v>225</v>
      </c>
      <c r="R1317" s="33" t="s">
        <v>6554</v>
      </c>
      <c r="S1317" s="29"/>
    </row>
    <row r="1318" spans="1:19" x14ac:dyDescent="0.3">
      <c r="A1318" s="20">
        <v>45483</v>
      </c>
      <c r="B1318" s="25" t="s">
        <v>7789</v>
      </c>
      <c r="C1318" s="25" t="s">
        <v>7790</v>
      </c>
      <c r="D1318" s="25" t="s">
        <v>7791</v>
      </c>
      <c r="E1318" s="37" t="s">
        <v>7792</v>
      </c>
      <c r="F1318" s="28" t="s">
        <v>7793</v>
      </c>
      <c r="G1318" s="25">
        <v>7</v>
      </c>
      <c r="H1318" s="25">
        <v>5</v>
      </c>
      <c r="I1318" s="25" t="s">
        <v>605</v>
      </c>
      <c r="J1318" s="25" t="s">
        <v>539</v>
      </c>
      <c r="K1318" s="25" t="s">
        <v>200</v>
      </c>
      <c r="L1318" s="167">
        <f t="shared" si="48"/>
        <v>1116.0714285714284</v>
      </c>
      <c r="M1318" s="167">
        <f t="shared" si="49"/>
        <v>133.92857142857142</v>
      </c>
      <c r="N1318" s="167">
        <v>1250</v>
      </c>
      <c r="O1318" s="27" t="s">
        <v>7794</v>
      </c>
      <c r="P1318" s="25" t="s">
        <v>371</v>
      </c>
      <c r="Q1318" s="25" t="s">
        <v>340</v>
      </c>
      <c r="R1318" s="33" t="s">
        <v>7795</v>
      </c>
      <c r="S1318" s="29"/>
    </row>
    <row r="1319" spans="1:19" x14ac:dyDescent="0.3">
      <c r="A1319" s="20">
        <v>45483</v>
      </c>
      <c r="B1319" s="25" t="s">
        <v>7796</v>
      </c>
      <c r="C1319" s="25" t="s">
        <v>7797</v>
      </c>
      <c r="D1319" s="25" t="s">
        <v>7798</v>
      </c>
      <c r="E1319" s="41" t="s">
        <v>7799</v>
      </c>
      <c r="F1319" s="28" t="s">
        <v>7800</v>
      </c>
      <c r="G1319" s="25"/>
      <c r="H1319" s="25">
        <v>10</v>
      </c>
      <c r="I1319" s="25" t="s">
        <v>617</v>
      </c>
      <c r="J1319" s="25" t="s">
        <v>539</v>
      </c>
      <c r="K1319" s="25"/>
      <c r="L1319" s="167">
        <f t="shared" si="48"/>
        <v>3562.4999999999995</v>
      </c>
      <c r="M1319" s="167">
        <f t="shared" si="49"/>
        <v>427.49999999999994</v>
      </c>
      <c r="N1319" s="167">
        <v>3990</v>
      </c>
      <c r="O1319" s="27" t="s">
        <v>7801</v>
      </c>
      <c r="P1319" s="25" t="s">
        <v>2832</v>
      </c>
      <c r="Q1319" s="25" t="s">
        <v>340</v>
      </c>
      <c r="R1319" s="33" t="s">
        <v>6655</v>
      </c>
      <c r="S1319" s="29"/>
    </row>
    <row r="1320" spans="1:19" x14ac:dyDescent="0.3">
      <c r="A1320" s="20">
        <v>45484</v>
      </c>
      <c r="B1320" s="25" t="s">
        <v>7802</v>
      </c>
      <c r="C1320" s="25" t="s">
        <v>7803</v>
      </c>
      <c r="D1320" s="25" t="s">
        <v>7804</v>
      </c>
      <c r="E1320" s="41" t="s">
        <v>7805</v>
      </c>
      <c r="F1320" s="28" t="s">
        <v>7806</v>
      </c>
      <c r="G1320" s="25">
        <v>5</v>
      </c>
      <c r="H1320" s="25">
        <v>3</v>
      </c>
      <c r="I1320" s="25" t="s">
        <v>605</v>
      </c>
      <c r="J1320" s="25" t="s">
        <v>539</v>
      </c>
      <c r="K1320" s="25" t="s">
        <v>199</v>
      </c>
      <c r="L1320" s="167">
        <f t="shared" si="48"/>
        <v>624.99999999999989</v>
      </c>
      <c r="M1320" s="167">
        <f t="shared" si="49"/>
        <v>74.999999999999986</v>
      </c>
      <c r="N1320" s="167">
        <v>700</v>
      </c>
      <c r="O1320" s="27" t="s">
        <v>7807</v>
      </c>
      <c r="P1320" s="25" t="s">
        <v>335</v>
      </c>
      <c r="Q1320" s="25" t="s">
        <v>2022</v>
      </c>
      <c r="R1320" s="33" t="s">
        <v>7652</v>
      </c>
      <c r="S1320" s="29"/>
    </row>
    <row r="1321" spans="1:19" x14ac:dyDescent="0.3">
      <c r="A1321" s="20">
        <v>45484</v>
      </c>
      <c r="B1321" s="25" t="s">
        <v>7808</v>
      </c>
      <c r="C1321" s="25" t="s">
        <v>7809</v>
      </c>
      <c r="D1321" s="25" t="s">
        <v>7810</v>
      </c>
      <c r="E1321" s="41" t="s">
        <v>7811</v>
      </c>
      <c r="F1321" s="28" t="s">
        <v>7812</v>
      </c>
      <c r="G1321" s="25">
        <v>7</v>
      </c>
      <c r="H1321" s="25">
        <v>5</v>
      </c>
      <c r="I1321" s="25" t="s">
        <v>3003</v>
      </c>
      <c r="J1321" s="25" t="s">
        <v>539</v>
      </c>
      <c r="K1321" s="25" t="s">
        <v>980</v>
      </c>
      <c r="L1321" s="167">
        <f t="shared" si="48"/>
        <v>1428.5714285714284</v>
      </c>
      <c r="M1321" s="167">
        <f t="shared" si="49"/>
        <v>171.42857142857142</v>
      </c>
      <c r="N1321" s="167">
        <v>1600</v>
      </c>
      <c r="O1321" s="27" t="s">
        <v>7813</v>
      </c>
      <c r="P1321" s="25" t="s">
        <v>335</v>
      </c>
      <c r="Q1321" s="25" t="s">
        <v>3026</v>
      </c>
      <c r="R1321" s="33">
        <v>9060</v>
      </c>
      <c r="S1321" s="29"/>
    </row>
    <row r="1322" spans="1:19" x14ac:dyDescent="0.3">
      <c r="A1322" s="20">
        <v>45484</v>
      </c>
      <c r="B1322" s="25" t="s">
        <v>7814</v>
      </c>
      <c r="C1322" s="25" t="s">
        <v>7815</v>
      </c>
      <c r="D1322" s="25" t="s">
        <v>7816</v>
      </c>
      <c r="E1322" s="41" t="s">
        <v>7817</v>
      </c>
      <c r="F1322" s="28" t="s">
        <v>7818</v>
      </c>
      <c r="G1322" s="25">
        <v>7</v>
      </c>
      <c r="H1322" s="25">
        <v>3</v>
      </c>
      <c r="I1322" s="25" t="s">
        <v>605</v>
      </c>
      <c r="J1322" s="25" t="s">
        <v>539</v>
      </c>
      <c r="K1322" s="25" t="s">
        <v>1586</v>
      </c>
      <c r="L1322" s="167">
        <f t="shared" si="48"/>
        <v>624.99999999999989</v>
      </c>
      <c r="M1322" s="167">
        <f t="shared" si="49"/>
        <v>74.999999999999986</v>
      </c>
      <c r="N1322" s="167">
        <v>700</v>
      </c>
      <c r="O1322" s="27" t="s">
        <v>7819</v>
      </c>
      <c r="P1322" s="25" t="s">
        <v>371</v>
      </c>
      <c r="Q1322" s="25" t="s">
        <v>225</v>
      </c>
      <c r="R1322" s="33" t="s">
        <v>7725</v>
      </c>
      <c r="S1322" s="29"/>
    </row>
    <row r="1323" spans="1:19" x14ac:dyDescent="0.3">
      <c r="A1323" s="20">
        <v>45484</v>
      </c>
      <c r="B1323" s="25" t="s">
        <v>7820</v>
      </c>
      <c r="C1323" s="25" t="s">
        <v>7821</v>
      </c>
      <c r="D1323" s="25" t="s">
        <v>7822</v>
      </c>
      <c r="E1323" s="41" t="s">
        <v>7823</v>
      </c>
      <c r="F1323" s="28" t="s">
        <v>7824</v>
      </c>
      <c r="G1323" s="25">
        <v>5</v>
      </c>
      <c r="H1323" s="25">
        <v>2</v>
      </c>
      <c r="I1323" s="25" t="s">
        <v>605</v>
      </c>
      <c r="J1323" s="25" t="s">
        <v>539</v>
      </c>
      <c r="K1323" s="25" t="s">
        <v>2488</v>
      </c>
      <c r="L1323" s="167">
        <f t="shared" si="48"/>
        <v>1116.0714285714284</v>
      </c>
      <c r="M1323" s="167">
        <f t="shared" si="49"/>
        <v>133.92857142857142</v>
      </c>
      <c r="N1323" s="167">
        <v>1250</v>
      </c>
      <c r="O1323" s="27" t="s">
        <v>7825</v>
      </c>
      <c r="P1323" s="25" t="s">
        <v>6134</v>
      </c>
      <c r="Q1323" s="25" t="s">
        <v>340</v>
      </c>
      <c r="R1323" s="33">
        <v>700</v>
      </c>
      <c r="S1323" s="29"/>
    </row>
    <row r="1324" spans="1:19" x14ac:dyDescent="0.3">
      <c r="A1324" s="20">
        <v>45485</v>
      </c>
      <c r="B1324" s="25" t="s">
        <v>7826</v>
      </c>
      <c r="C1324" s="25" t="s">
        <v>7827</v>
      </c>
      <c r="D1324" s="25" t="s">
        <v>7828</v>
      </c>
      <c r="E1324" s="41" t="s">
        <v>7829</v>
      </c>
      <c r="F1324" s="28" t="s">
        <v>7830</v>
      </c>
      <c r="G1324" s="25">
        <v>8</v>
      </c>
      <c r="H1324" s="25">
        <v>8</v>
      </c>
      <c r="I1324" s="25" t="s">
        <v>617</v>
      </c>
      <c r="J1324" s="25" t="s">
        <v>539</v>
      </c>
      <c r="K1324" s="25" t="s">
        <v>199</v>
      </c>
      <c r="L1324" s="167">
        <f t="shared" si="48"/>
        <v>2669.6428571428569</v>
      </c>
      <c r="M1324" s="167">
        <f t="shared" si="49"/>
        <v>320.35714285714283</v>
      </c>
      <c r="N1324" s="167">
        <v>2990</v>
      </c>
      <c r="O1324" s="27" t="s">
        <v>7831</v>
      </c>
      <c r="P1324" s="25" t="s">
        <v>335</v>
      </c>
      <c r="Q1324" s="25" t="s">
        <v>225</v>
      </c>
      <c r="R1324" s="33" t="s">
        <v>6554</v>
      </c>
      <c r="S1324" s="29"/>
    </row>
    <row r="1325" spans="1:19" x14ac:dyDescent="0.3">
      <c r="A1325" s="20">
        <v>45485</v>
      </c>
      <c r="B1325" s="25" t="s">
        <v>7832</v>
      </c>
      <c r="C1325" s="25" t="s">
        <v>7833</v>
      </c>
      <c r="D1325" s="25" t="s">
        <v>7834</v>
      </c>
      <c r="E1325" s="41" t="s">
        <v>7835</v>
      </c>
      <c r="F1325" s="28" t="s">
        <v>7836</v>
      </c>
      <c r="G1325" s="25">
        <v>6</v>
      </c>
      <c r="H1325" s="25">
        <v>5</v>
      </c>
      <c r="I1325" s="25" t="s">
        <v>3003</v>
      </c>
      <c r="J1325" s="25" t="s">
        <v>539</v>
      </c>
      <c r="K1325" s="25" t="s">
        <v>7837</v>
      </c>
      <c r="L1325" s="167">
        <f t="shared" si="48"/>
        <v>982.142857142857</v>
      </c>
      <c r="M1325" s="167">
        <f t="shared" si="49"/>
        <v>117.85714285714283</v>
      </c>
      <c r="N1325" s="167">
        <v>1100</v>
      </c>
      <c r="O1325" s="27" t="s">
        <v>7838</v>
      </c>
      <c r="P1325" s="25" t="s">
        <v>6428</v>
      </c>
      <c r="Q1325" s="25" t="s">
        <v>3026</v>
      </c>
      <c r="R1325" s="33" t="s">
        <v>6554</v>
      </c>
      <c r="S1325" s="29"/>
    </row>
    <row r="1326" spans="1:19" x14ac:dyDescent="0.3">
      <c r="A1326" s="20">
        <v>45485</v>
      </c>
      <c r="B1326" s="25" t="s">
        <v>7839</v>
      </c>
      <c r="C1326" s="25" t="s">
        <v>7840</v>
      </c>
      <c r="D1326" s="25" t="s">
        <v>7841</v>
      </c>
      <c r="E1326" s="41" t="s">
        <v>7842</v>
      </c>
      <c r="F1326" s="28" t="s">
        <v>7843</v>
      </c>
      <c r="G1326" s="25">
        <v>6</v>
      </c>
      <c r="H1326" s="25">
        <v>3</v>
      </c>
      <c r="I1326" s="25" t="s">
        <v>605</v>
      </c>
      <c r="J1326" s="25" t="s">
        <v>539</v>
      </c>
      <c r="K1326" s="25" t="s">
        <v>2488</v>
      </c>
      <c r="L1326" s="167">
        <f t="shared" si="48"/>
        <v>892.85714285714278</v>
      </c>
      <c r="M1326" s="167">
        <f t="shared" si="49"/>
        <v>107.14285714285712</v>
      </c>
      <c r="N1326" s="167">
        <v>1000</v>
      </c>
      <c r="O1326" s="27" t="s">
        <v>7844</v>
      </c>
      <c r="P1326" s="25" t="s">
        <v>5743</v>
      </c>
      <c r="Q1326" s="25" t="s">
        <v>225</v>
      </c>
      <c r="R1326" s="33" t="s">
        <v>6554</v>
      </c>
      <c r="S1326" s="29"/>
    </row>
    <row r="1327" spans="1:19" x14ac:dyDescent="0.3">
      <c r="A1327" s="20">
        <v>45485</v>
      </c>
      <c r="B1327" s="25" t="s">
        <v>7845</v>
      </c>
      <c r="C1327" s="25" t="s">
        <v>7846</v>
      </c>
      <c r="D1327" s="25" t="s">
        <v>7847</v>
      </c>
      <c r="E1327" s="41" t="s">
        <v>7848</v>
      </c>
      <c r="F1327" s="28" t="s">
        <v>7849</v>
      </c>
      <c r="G1327" s="25">
        <v>5</v>
      </c>
      <c r="H1327" s="25">
        <v>4</v>
      </c>
      <c r="I1327" s="25" t="s">
        <v>605</v>
      </c>
      <c r="J1327" s="25" t="s">
        <v>539</v>
      </c>
      <c r="K1327" s="25" t="s">
        <v>1586</v>
      </c>
      <c r="L1327" s="167">
        <f t="shared" si="48"/>
        <v>892.85714285714278</v>
      </c>
      <c r="M1327" s="167">
        <f t="shared" si="49"/>
        <v>107.14285714285712</v>
      </c>
      <c r="N1327" s="167">
        <v>1000</v>
      </c>
      <c r="O1327" s="27" t="s">
        <v>7850</v>
      </c>
      <c r="P1327" s="25" t="s">
        <v>371</v>
      </c>
      <c r="Q1327" s="25" t="s">
        <v>3026</v>
      </c>
      <c r="R1327" s="33" t="s">
        <v>7652</v>
      </c>
      <c r="S1327" s="29"/>
    </row>
    <row r="1328" spans="1:19" x14ac:dyDescent="0.3">
      <c r="A1328" s="36">
        <v>45489</v>
      </c>
      <c r="B1328" s="25" t="s">
        <v>7851</v>
      </c>
      <c r="C1328" s="25" t="s">
        <v>7852</v>
      </c>
      <c r="D1328" s="25" t="s">
        <v>7853</v>
      </c>
      <c r="E1328" s="41" t="s">
        <v>7854</v>
      </c>
      <c r="F1328" s="28" t="s">
        <v>7855</v>
      </c>
      <c r="G1328" s="25">
        <v>5</v>
      </c>
      <c r="H1328" s="25">
        <v>2</v>
      </c>
      <c r="I1328" s="25" t="s">
        <v>605</v>
      </c>
      <c r="J1328" s="25" t="s">
        <v>539</v>
      </c>
      <c r="K1328" s="25" t="s">
        <v>200</v>
      </c>
      <c r="L1328" s="167">
        <f t="shared" si="48"/>
        <v>624.99999999999989</v>
      </c>
      <c r="M1328" s="167">
        <f t="shared" si="49"/>
        <v>74.999999999999986</v>
      </c>
      <c r="N1328" s="167">
        <v>700</v>
      </c>
      <c r="O1328" s="27" t="s">
        <v>7856</v>
      </c>
      <c r="P1328" s="25" t="s">
        <v>335</v>
      </c>
      <c r="Q1328" s="25" t="s">
        <v>340</v>
      </c>
      <c r="R1328" s="33">
        <v>8000</v>
      </c>
      <c r="S1328" s="29"/>
    </row>
    <row r="1329" spans="1:19" x14ac:dyDescent="0.3">
      <c r="A1329" s="36">
        <v>45489</v>
      </c>
      <c r="B1329" s="25" t="s">
        <v>7857</v>
      </c>
      <c r="C1329" s="25" t="s">
        <v>7858</v>
      </c>
      <c r="D1329" s="25" t="s">
        <v>7859</v>
      </c>
      <c r="E1329" s="41" t="s">
        <v>7860</v>
      </c>
      <c r="F1329" s="28" t="s">
        <v>7861</v>
      </c>
      <c r="G1329" s="25">
        <v>10</v>
      </c>
      <c r="H1329" s="25">
        <v>10</v>
      </c>
      <c r="I1329" s="25" t="s">
        <v>605</v>
      </c>
      <c r="J1329" s="25" t="s">
        <v>539</v>
      </c>
      <c r="K1329" s="25" t="s">
        <v>1586</v>
      </c>
      <c r="L1329" s="167">
        <f t="shared" si="48"/>
        <v>3562.4999999999995</v>
      </c>
      <c r="M1329" s="167">
        <f t="shared" si="49"/>
        <v>427.49999999999994</v>
      </c>
      <c r="N1329" s="167">
        <v>3990</v>
      </c>
      <c r="O1329" s="27" t="s">
        <v>7862</v>
      </c>
      <c r="P1329" s="25" t="s">
        <v>335</v>
      </c>
      <c r="Q1329" s="25" t="s">
        <v>2804</v>
      </c>
      <c r="R1329" s="33">
        <v>2904</v>
      </c>
      <c r="S1329" s="29"/>
    </row>
    <row r="1330" spans="1:19" x14ac:dyDescent="0.3">
      <c r="A1330" s="36">
        <v>45489</v>
      </c>
      <c r="B1330" s="25" t="s">
        <v>7863</v>
      </c>
      <c r="C1330" s="25" t="s">
        <v>7864</v>
      </c>
      <c r="D1330" s="25" t="s">
        <v>7865</v>
      </c>
      <c r="E1330" s="34" t="s">
        <v>7866</v>
      </c>
      <c r="F1330" s="28" t="s">
        <v>7867</v>
      </c>
      <c r="G1330" s="25">
        <v>5</v>
      </c>
      <c r="H1330" s="25">
        <v>3</v>
      </c>
      <c r="I1330" s="25" t="s">
        <v>605</v>
      </c>
      <c r="J1330" s="25" t="s">
        <v>539</v>
      </c>
      <c r="K1330" s="25" t="s">
        <v>2488</v>
      </c>
      <c r="L1330" s="167">
        <f t="shared" si="48"/>
        <v>892.85714285714278</v>
      </c>
      <c r="M1330" s="167">
        <f t="shared" si="49"/>
        <v>107.14285714285712</v>
      </c>
      <c r="N1330" s="167">
        <v>1000</v>
      </c>
      <c r="O1330" s="27" t="s">
        <v>7868</v>
      </c>
      <c r="P1330" s="25" t="s">
        <v>6428</v>
      </c>
      <c r="Q1330" s="25" t="s">
        <v>225</v>
      </c>
      <c r="R1330" s="33" t="s">
        <v>6655</v>
      </c>
      <c r="S1330" s="29"/>
    </row>
    <row r="1331" spans="1:19" x14ac:dyDescent="0.3">
      <c r="A1331" s="36">
        <v>45490</v>
      </c>
      <c r="B1331" s="25" t="s">
        <v>7869</v>
      </c>
      <c r="C1331" s="25" t="s">
        <v>7870</v>
      </c>
      <c r="D1331" s="25" t="s">
        <v>7871</v>
      </c>
      <c r="E1331" s="34" t="s">
        <v>7872</v>
      </c>
      <c r="F1331" s="28" t="s">
        <v>7873</v>
      </c>
      <c r="G1331" s="25">
        <v>5</v>
      </c>
      <c r="H1331" s="25">
        <v>2</v>
      </c>
      <c r="I1331" s="25" t="s">
        <v>605</v>
      </c>
      <c r="J1331" s="25" t="s">
        <v>539</v>
      </c>
      <c r="K1331" s="25" t="s">
        <v>980</v>
      </c>
      <c r="L1331" s="167">
        <f t="shared" si="48"/>
        <v>624.99999999999989</v>
      </c>
      <c r="M1331" s="167">
        <f t="shared" si="49"/>
        <v>74.999999999999986</v>
      </c>
      <c r="N1331" s="167">
        <v>700</v>
      </c>
      <c r="O1331" s="27" t="s">
        <v>7874</v>
      </c>
      <c r="P1331" s="25" t="s">
        <v>335</v>
      </c>
      <c r="Q1331" s="25" t="s">
        <v>340</v>
      </c>
      <c r="R1331" s="33">
        <v>2904</v>
      </c>
      <c r="S1331" s="29"/>
    </row>
    <row r="1332" spans="1:19" x14ac:dyDescent="0.3">
      <c r="A1332" s="36">
        <v>45490</v>
      </c>
      <c r="B1332" s="25" t="s">
        <v>7875</v>
      </c>
      <c r="C1332" s="25" t="s">
        <v>7876</v>
      </c>
      <c r="D1332" s="25" t="s">
        <v>7877</v>
      </c>
      <c r="E1332" s="34" t="s">
        <v>7878</v>
      </c>
      <c r="F1332" s="28" t="s">
        <v>7879</v>
      </c>
      <c r="G1332" s="25">
        <v>15</v>
      </c>
      <c r="H1332" s="25">
        <v>15</v>
      </c>
      <c r="I1332" s="25" t="s">
        <v>7880</v>
      </c>
      <c r="J1332" s="25" t="s">
        <v>539</v>
      </c>
      <c r="K1332" s="25" t="s">
        <v>2488</v>
      </c>
      <c r="L1332" s="167">
        <f t="shared" si="48"/>
        <v>4598.2142857142853</v>
      </c>
      <c r="M1332" s="167">
        <f t="shared" si="49"/>
        <v>551.78571428571422</v>
      </c>
      <c r="N1332" s="167">
        <v>5150</v>
      </c>
      <c r="O1332" s="27" t="s">
        <v>7881</v>
      </c>
      <c r="P1332" s="25" t="s">
        <v>5743</v>
      </c>
      <c r="Q1332" s="25" t="s">
        <v>782</v>
      </c>
      <c r="R1332" s="33" t="s">
        <v>6554</v>
      </c>
      <c r="S1332" s="29"/>
    </row>
    <row r="1333" spans="1:19" x14ac:dyDescent="0.3">
      <c r="A1333" s="20">
        <v>45491</v>
      </c>
      <c r="B1333" s="25" t="s">
        <v>7882</v>
      </c>
      <c r="C1333" s="25" t="s">
        <v>267</v>
      </c>
      <c r="D1333" s="25" t="s">
        <v>7883</v>
      </c>
      <c r="E1333" s="34" t="s">
        <v>7884</v>
      </c>
      <c r="F1333" s="28" t="s">
        <v>7885</v>
      </c>
      <c r="G1333" s="25">
        <v>5</v>
      </c>
      <c r="H1333" s="25">
        <v>3</v>
      </c>
      <c r="I1333" s="25" t="s">
        <v>605</v>
      </c>
      <c r="J1333" s="25" t="s">
        <v>539</v>
      </c>
      <c r="K1333" s="25" t="s">
        <v>2488</v>
      </c>
      <c r="L1333" s="167">
        <f t="shared" si="48"/>
        <v>624.99999999999989</v>
      </c>
      <c r="M1333" s="167">
        <f t="shared" si="49"/>
        <v>74.999999999999986</v>
      </c>
      <c r="N1333" s="167">
        <v>700</v>
      </c>
      <c r="O1333" s="27" t="s">
        <v>7886</v>
      </c>
      <c r="P1333" s="25" t="s">
        <v>569</v>
      </c>
      <c r="Q1333" s="25" t="s">
        <v>2022</v>
      </c>
      <c r="R1333" s="33">
        <v>2904</v>
      </c>
      <c r="S1333" s="29"/>
    </row>
    <row r="1334" spans="1:19" x14ac:dyDescent="0.3">
      <c r="A1334" s="20">
        <v>45491</v>
      </c>
      <c r="B1334" s="25" t="s">
        <v>7887</v>
      </c>
      <c r="C1334" s="25" t="s">
        <v>7888</v>
      </c>
      <c r="D1334" s="25" t="s">
        <v>7889</v>
      </c>
      <c r="E1334" s="34" t="s">
        <v>7890</v>
      </c>
      <c r="F1334" s="28" t="s">
        <v>7891</v>
      </c>
      <c r="G1334" s="25">
        <v>6</v>
      </c>
      <c r="H1334" s="25">
        <v>2</v>
      </c>
      <c r="I1334" s="25" t="s">
        <v>605</v>
      </c>
      <c r="J1334" s="25" t="s">
        <v>539</v>
      </c>
      <c r="K1334" s="25" t="s">
        <v>2488</v>
      </c>
      <c r="L1334" s="167">
        <f t="shared" si="48"/>
        <v>624.99999999999989</v>
      </c>
      <c r="M1334" s="167">
        <f t="shared" si="49"/>
        <v>74.999999999999986</v>
      </c>
      <c r="N1334" s="167">
        <v>700</v>
      </c>
      <c r="O1334" s="27" t="s">
        <v>7892</v>
      </c>
      <c r="P1334" s="25" t="s">
        <v>6059</v>
      </c>
      <c r="Q1334" s="25" t="s">
        <v>782</v>
      </c>
      <c r="R1334" s="33">
        <v>700</v>
      </c>
      <c r="S1334" s="29"/>
    </row>
    <row r="1335" spans="1:19" x14ac:dyDescent="0.3">
      <c r="A1335" s="20">
        <v>45491</v>
      </c>
      <c r="B1335" s="25" t="s">
        <v>7893</v>
      </c>
      <c r="C1335" s="25" t="s">
        <v>7894</v>
      </c>
      <c r="D1335" s="25" t="s">
        <v>7895</v>
      </c>
      <c r="E1335" s="34" t="s">
        <v>7896</v>
      </c>
      <c r="F1335" s="28" t="s">
        <v>7897</v>
      </c>
      <c r="G1335" s="25">
        <v>8</v>
      </c>
      <c r="H1335" s="25">
        <v>5</v>
      </c>
      <c r="I1335" s="25" t="s">
        <v>617</v>
      </c>
      <c r="J1335" s="25" t="s">
        <v>539</v>
      </c>
      <c r="K1335" s="25" t="s">
        <v>1518</v>
      </c>
      <c r="L1335" s="167">
        <f t="shared" si="48"/>
        <v>1339.2857142857142</v>
      </c>
      <c r="M1335" s="167">
        <f t="shared" si="49"/>
        <v>160.71428571428569</v>
      </c>
      <c r="N1335" s="167">
        <v>1500</v>
      </c>
      <c r="O1335" s="27" t="s">
        <v>7898</v>
      </c>
      <c r="P1335" s="25" t="s">
        <v>335</v>
      </c>
      <c r="Q1335" s="25" t="s">
        <v>340</v>
      </c>
      <c r="R1335" s="33" t="s">
        <v>7397</v>
      </c>
      <c r="S1335" s="29"/>
    </row>
    <row r="1336" spans="1:19" x14ac:dyDescent="0.3">
      <c r="A1336" s="20">
        <v>45491</v>
      </c>
      <c r="B1336" s="25" t="s">
        <v>7899</v>
      </c>
      <c r="C1336" s="25" t="s">
        <v>7900</v>
      </c>
      <c r="D1336" s="25" t="s">
        <v>7901</v>
      </c>
      <c r="E1336" s="28" t="s">
        <v>7902</v>
      </c>
      <c r="F1336" s="28" t="s">
        <v>7903</v>
      </c>
      <c r="G1336" s="25">
        <v>7</v>
      </c>
      <c r="H1336" s="25">
        <v>5</v>
      </c>
      <c r="I1336" s="25" t="s">
        <v>605</v>
      </c>
      <c r="J1336" s="25" t="s">
        <v>539</v>
      </c>
      <c r="K1336" s="25" t="s">
        <v>200</v>
      </c>
      <c r="L1336" s="167">
        <f t="shared" si="48"/>
        <v>1071.4285714285713</v>
      </c>
      <c r="M1336" s="167">
        <f t="shared" si="49"/>
        <v>128.57142857142856</v>
      </c>
      <c r="N1336" s="167">
        <v>1200</v>
      </c>
      <c r="O1336" s="27" t="s">
        <v>7904</v>
      </c>
      <c r="P1336" s="25" t="s">
        <v>5743</v>
      </c>
      <c r="Q1336" s="25" t="s">
        <v>3026</v>
      </c>
      <c r="R1336" s="33">
        <v>2904</v>
      </c>
      <c r="S1336" s="29"/>
    </row>
    <row r="1337" spans="1:19" x14ac:dyDescent="0.3">
      <c r="A1337" s="20">
        <v>45491</v>
      </c>
      <c r="B1337" s="25" t="s">
        <v>7905</v>
      </c>
      <c r="C1337" s="25" t="s">
        <v>7906</v>
      </c>
      <c r="D1337" s="25" t="s">
        <v>7907</v>
      </c>
      <c r="E1337" s="28" t="s">
        <v>7908</v>
      </c>
      <c r="F1337" s="28" t="s">
        <v>7909</v>
      </c>
      <c r="G1337" s="25">
        <v>5</v>
      </c>
      <c r="H1337" s="25">
        <v>3</v>
      </c>
      <c r="I1337" s="25" t="s">
        <v>605</v>
      </c>
      <c r="J1337" s="25" t="s">
        <v>539</v>
      </c>
      <c r="K1337" s="25" t="s">
        <v>1586</v>
      </c>
      <c r="L1337" s="167">
        <f t="shared" si="48"/>
        <v>624.99999999999989</v>
      </c>
      <c r="M1337" s="167">
        <f t="shared" si="49"/>
        <v>74.999999999999986</v>
      </c>
      <c r="N1337" s="167">
        <v>700</v>
      </c>
      <c r="O1337" s="27" t="s">
        <v>7910</v>
      </c>
      <c r="P1337" s="25" t="s">
        <v>2832</v>
      </c>
      <c r="Q1337" s="25" t="s">
        <v>2832</v>
      </c>
      <c r="R1337" s="33" t="s">
        <v>7397</v>
      </c>
      <c r="S1337" s="29"/>
    </row>
    <row r="1338" spans="1:19" x14ac:dyDescent="0.3">
      <c r="A1338" s="20">
        <v>45492</v>
      </c>
      <c r="B1338" s="25" t="s">
        <v>7911</v>
      </c>
      <c r="C1338" s="25" t="s">
        <v>7912</v>
      </c>
      <c r="D1338" s="25" t="s">
        <v>7913</v>
      </c>
      <c r="E1338" s="28" t="s">
        <v>7914</v>
      </c>
      <c r="F1338" s="28" t="s">
        <v>7915</v>
      </c>
      <c r="G1338" s="25">
        <v>5</v>
      </c>
      <c r="H1338" s="25">
        <v>3</v>
      </c>
      <c r="I1338" s="25" t="s">
        <v>605</v>
      </c>
      <c r="J1338" s="25" t="s">
        <v>539</v>
      </c>
      <c r="K1338" s="25" t="s">
        <v>2488</v>
      </c>
      <c r="L1338" s="167">
        <f t="shared" si="48"/>
        <v>624.99999999999989</v>
      </c>
      <c r="M1338" s="167">
        <f t="shared" si="49"/>
        <v>74.999999999999986</v>
      </c>
      <c r="N1338" s="167">
        <v>700</v>
      </c>
      <c r="O1338" s="27" t="s">
        <v>7916</v>
      </c>
      <c r="P1338" s="25" t="s">
        <v>371</v>
      </c>
      <c r="Q1338" s="25" t="s">
        <v>2022</v>
      </c>
      <c r="R1338" s="33" t="s">
        <v>6554</v>
      </c>
      <c r="S1338" s="29"/>
    </row>
    <row r="1339" spans="1:19" x14ac:dyDescent="0.3">
      <c r="A1339" s="20">
        <v>45492</v>
      </c>
      <c r="B1339" s="25" t="s">
        <v>7917</v>
      </c>
      <c r="C1339" s="43" t="s">
        <v>7918</v>
      </c>
      <c r="D1339" s="43" t="s">
        <v>7919</v>
      </c>
      <c r="E1339" s="109" t="s">
        <v>7920</v>
      </c>
      <c r="F1339" s="109" t="s">
        <v>7921</v>
      </c>
      <c r="G1339" s="43">
        <v>5</v>
      </c>
      <c r="H1339" s="43">
        <v>6</v>
      </c>
      <c r="I1339" s="43" t="s">
        <v>617</v>
      </c>
      <c r="J1339" s="43" t="s">
        <v>539</v>
      </c>
      <c r="K1339" s="43" t="s">
        <v>2488</v>
      </c>
      <c r="L1339" s="167">
        <f t="shared" si="48"/>
        <v>1339.2857142857142</v>
      </c>
      <c r="M1339" s="167">
        <f t="shared" si="49"/>
        <v>160.71428571428569</v>
      </c>
      <c r="N1339" s="167">
        <v>1500</v>
      </c>
      <c r="O1339" s="53" t="s">
        <v>7922</v>
      </c>
      <c r="P1339" s="43" t="s">
        <v>569</v>
      </c>
      <c r="Q1339" s="43" t="s">
        <v>3026</v>
      </c>
      <c r="R1339" s="112">
        <v>8000</v>
      </c>
      <c r="S1339" s="52"/>
    </row>
    <row r="1340" spans="1:19" x14ac:dyDescent="0.3">
      <c r="A1340" s="20">
        <v>45492</v>
      </c>
      <c r="B1340" s="25" t="s">
        <v>7923</v>
      </c>
      <c r="C1340" s="25" t="s">
        <v>7924</v>
      </c>
      <c r="D1340" s="25" t="s">
        <v>7925</v>
      </c>
      <c r="E1340" s="28" t="s">
        <v>7926</v>
      </c>
      <c r="F1340" s="28" t="s">
        <v>7927</v>
      </c>
      <c r="G1340" s="25">
        <v>5</v>
      </c>
      <c r="H1340" s="25">
        <v>5</v>
      </c>
      <c r="I1340" s="25" t="s">
        <v>617</v>
      </c>
      <c r="J1340" s="25" t="s">
        <v>539</v>
      </c>
      <c r="K1340" s="25" t="s">
        <v>199</v>
      </c>
      <c r="L1340" s="167">
        <f t="shared" si="48"/>
        <v>1651.7857142857142</v>
      </c>
      <c r="M1340" s="167">
        <f t="shared" si="49"/>
        <v>198.21428571428569</v>
      </c>
      <c r="N1340" s="167">
        <v>1850</v>
      </c>
      <c r="O1340" s="27" t="s">
        <v>7928</v>
      </c>
      <c r="P1340" s="25" t="s">
        <v>335</v>
      </c>
      <c r="Q1340" s="25" t="s">
        <v>340</v>
      </c>
      <c r="R1340" s="33" t="s">
        <v>7652</v>
      </c>
      <c r="S1340" s="29"/>
    </row>
    <row r="1341" spans="1:19" x14ac:dyDescent="0.3">
      <c r="A1341" s="20">
        <v>45492</v>
      </c>
      <c r="B1341" s="25" t="s">
        <v>7929</v>
      </c>
      <c r="C1341" s="25" t="s">
        <v>7930</v>
      </c>
      <c r="D1341" s="25" t="s">
        <v>7931</v>
      </c>
      <c r="E1341" s="28" t="s">
        <v>7932</v>
      </c>
      <c r="F1341" s="28" t="s">
        <v>7933</v>
      </c>
      <c r="G1341" s="25">
        <v>5</v>
      </c>
      <c r="H1341" s="25">
        <v>3</v>
      </c>
      <c r="I1341" s="25" t="s">
        <v>605</v>
      </c>
      <c r="J1341" s="25" t="s">
        <v>539</v>
      </c>
      <c r="K1341" s="25" t="s">
        <v>200</v>
      </c>
      <c r="L1341" s="167">
        <f t="shared" si="48"/>
        <v>624.99999999999989</v>
      </c>
      <c r="M1341" s="167">
        <f t="shared" si="49"/>
        <v>74.999999999999986</v>
      </c>
      <c r="N1341" s="167">
        <v>700</v>
      </c>
      <c r="O1341" s="27" t="s">
        <v>7934</v>
      </c>
      <c r="P1341" s="25" t="s">
        <v>2804</v>
      </c>
      <c r="Q1341" s="25" t="s">
        <v>2022</v>
      </c>
      <c r="R1341" s="33">
        <v>8000</v>
      </c>
      <c r="S1341" s="29"/>
    </row>
    <row r="1342" spans="1:19" x14ac:dyDescent="0.3">
      <c r="A1342" s="20">
        <v>45492</v>
      </c>
      <c r="B1342" s="25" t="s">
        <v>7935</v>
      </c>
      <c r="C1342" s="25" t="s">
        <v>7936</v>
      </c>
      <c r="D1342" s="25" t="s">
        <v>7937</v>
      </c>
      <c r="E1342" s="28" t="s">
        <v>7938</v>
      </c>
      <c r="F1342" s="28" t="s">
        <v>7939</v>
      </c>
      <c r="G1342" s="25">
        <v>5</v>
      </c>
      <c r="H1342" s="25">
        <v>4</v>
      </c>
      <c r="I1342" s="25" t="s">
        <v>7880</v>
      </c>
      <c r="J1342" s="25" t="s">
        <v>539</v>
      </c>
      <c r="K1342" s="25" t="s">
        <v>199</v>
      </c>
      <c r="L1342" s="167">
        <f t="shared" si="48"/>
        <v>982.142857142857</v>
      </c>
      <c r="M1342" s="167">
        <f t="shared" si="49"/>
        <v>117.85714285714283</v>
      </c>
      <c r="N1342" s="167">
        <v>1100</v>
      </c>
      <c r="O1342" s="27" t="s">
        <v>7940</v>
      </c>
      <c r="P1342" s="25" t="s">
        <v>1482</v>
      </c>
      <c r="Q1342" s="25" t="s">
        <v>3026</v>
      </c>
      <c r="R1342" s="33" t="s">
        <v>6554</v>
      </c>
      <c r="S1342" s="29"/>
    </row>
    <row r="1343" spans="1:19" x14ac:dyDescent="0.3">
      <c r="A1343" s="20">
        <v>45492</v>
      </c>
      <c r="B1343" s="25" t="s">
        <v>7941</v>
      </c>
      <c r="C1343" s="25" t="s">
        <v>2365</v>
      </c>
      <c r="D1343" s="25" t="s">
        <v>7942</v>
      </c>
      <c r="E1343" s="28" t="s">
        <v>7943</v>
      </c>
      <c r="F1343" s="28" t="s">
        <v>7944</v>
      </c>
      <c r="G1343" s="25">
        <v>5</v>
      </c>
      <c r="H1343" s="25">
        <v>3</v>
      </c>
      <c r="I1343" s="25" t="s">
        <v>605</v>
      </c>
      <c r="J1343" s="25" t="s">
        <v>539</v>
      </c>
      <c r="K1343" s="25" t="s">
        <v>200</v>
      </c>
      <c r="L1343" s="167">
        <f t="shared" si="48"/>
        <v>982.142857142857</v>
      </c>
      <c r="M1343" s="167">
        <f t="shared" si="49"/>
        <v>117.85714285714283</v>
      </c>
      <c r="N1343" s="167">
        <v>1100</v>
      </c>
      <c r="O1343" s="27" t="s">
        <v>7945</v>
      </c>
      <c r="P1343" s="25" t="s">
        <v>335</v>
      </c>
      <c r="Q1343" s="25" t="s">
        <v>2022</v>
      </c>
      <c r="R1343" s="33" t="s">
        <v>7397</v>
      </c>
      <c r="S1343" s="29"/>
    </row>
    <row r="1344" spans="1:19" x14ac:dyDescent="0.3">
      <c r="A1344" s="20">
        <v>45492</v>
      </c>
      <c r="B1344" s="25" t="s">
        <v>7946</v>
      </c>
      <c r="C1344" s="25" t="s">
        <v>7947</v>
      </c>
      <c r="D1344" s="25" t="s">
        <v>7948</v>
      </c>
      <c r="E1344" s="28" t="s">
        <v>7949</v>
      </c>
      <c r="F1344" s="28" t="s">
        <v>7950</v>
      </c>
      <c r="G1344" s="25">
        <v>10</v>
      </c>
      <c r="H1344" s="25">
        <v>7</v>
      </c>
      <c r="I1344" s="25" t="s">
        <v>617</v>
      </c>
      <c r="J1344" s="25" t="s">
        <v>539</v>
      </c>
      <c r="K1344" s="25" t="s">
        <v>1518</v>
      </c>
      <c r="L1344" s="167">
        <f t="shared" si="48"/>
        <v>1785.7142857142856</v>
      </c>
      <c r="M1344" s="167">
        <f t="shared" si="49"/>
        <v>214.28571428571425</v>
      </c>
      <c r="N1344" s="167">
        <v>2000</v>
      </c>
      <c r="O1344" s="27" t="s">
        <v>7951</v>
      </c>
      <c r="P1344" s="25" t="s">
        <v>2832</v>
      </c>
      <c r="Q1344" s="25" t="s">
        <v>65</v>
      </c>
      <c r="R1344" s="33" t="s">
        <v>6554</v>
      </c>
      <c r="S1344" s="29"/>
    </row>
    <row r="1345" spans="1:19" x14ac:dyDescent="0.3">
      <c r="A1345" s="20">
        <v>45493</v>
      </c>
      <c r="B1345" s="25" t="s">
        <v>7952</v>
      </c>
      <c r="C1345" s="25" t="s">
        <v>7953</v>
      </c>
      <c r="D1345" s="25" t="s">
        <v>7954</v>
      </c>
      <c r="E1345" s="28" t="s">
        <v>7955</v>
      </c>
      <c r="F1345" s="28" t="s">
        <v>7956</v>
      </c>
      <c r="G1345" s="25">
        <v>5</v>
      </c>
      <c r="H1345" s="25">
        <v>3</v>
      </c>
      <c r="I1345" s="25" t="s">
        <v>605</v>
      </c>
      <c r="J1345" s="25" t="s">
        <v>539</v>
      </c>
      <c r="K1345" s="25" t="s">
        <v>2488</v>
      </c>
      <c r="L1345" s="167">
        <f t="shared" si="48"/>
        <v>1071.4285714285713</v>
      </c>
      <c r="M1345" s="167">
        <f t="shared" si="49"/>
        <v>128.57142857142856</v>
      </c>
      <c r="N1345" s="167">
        <v>1200</v>
      </c>
      <c r="O1345" s="27" t="s">
        <v>7957</v>
      </c>
      <c r="P1345" s="25" t="s">
        <v>335</v>
      </c>
      <c r="Q1345" s="25" t="s">
        <v>65</v>
      </c>
      <c r="R1345" s="33" t="s">
        <v>7652</v>
      </c>
      <c r="S1345" s="29"/>
    </row>
    <row r="1346" spans="1:19" x14ac:dyDescent="0.3">
      <c r="A1346" s="20">
        <v>45493</v>
      </c>
      <c r="B1346" s="25" t="s">
        <v>7958</v>
      </c>
      <c r="C1346" s="25" t="s">
        <v>1717</v>
      </c>
      <c r="D1346" s="25" t="s">
        <v>7959</v>
      </c>
      <c r="E1346" s="28" t="s">
        <v>7960</v>
      </c>
      <c r="F1346" s="28" t="s">
        <v>7961</v>
      </c>
      <c r="G1346" s="25">
        <v>6</v>
      </c>
      <c r="H1346" s="25">
        <v>3</v>
      </c>
      <c r="I1346" s="25" t="s">
        <v>605</v>
      </c>
      <c r="J1346" s="25" t="s">
        <v>539</v>
      </c>
      <c r="K1346" s="25" t="s">
        <v>2488</v>
      </c>
      <c r="L1346" s="167">
        <f t="shared" si="48"/>
        <v>937.49999999999989</v>
      </c>
      <c r="M1346" s="167">
        <f t="shared" si="49"/>
        <v>112.49999999999999</v>
      </c>
      <c r="N1346" s="167">
        <v>1050</v>
      </c>
      <c r="O1346" s="27" t="s">
        <v>7962</v>
      </c>
      <c r="P1346" s="25" t="s">
        <v>6428</v>
      </c>
      <c r="Q1346" s="25" t="s">
        <v>2022</v>
      </c>
      <c r="R1346" s="33" t="s">
        <v>6554</v>
      </c>
      <c r="S1346" s="29"/>
    </row>
    <row r="1347" spans="1:19" x14ac:dyDescent="0.3">
      <c r="A1347" s="20">
        <v>45493</v>
      </c>
      <c r="B1347" s="25" t="s">
        <v>7963</v>
      </c>
      <c r="C1347" s="25" t="s">
        <v>7964</v>
      </c>
      <c r="D1347" s="25" t="s">
        <v>7965</v>
      </c>
      <c r="E1347" s="28" t="s">
        <v>7966</v>
      </c>
      <c r="F1347" s="28" t="s">
        <v>7967</v>
      </c>
      <c r="G1347" s="25">
        <v>5</v>
      </c>
      <c r="H1347" s="25">
        <v>3</v>
      </c>
      <c r="I1347" s="25" t="s">
        <v>605</v>
      </c>
      <c r="J1347" s="25" t="s">
        <v>539</v>
      </c>
      <c r="K1347" s="25" t="s">
        <v>2488</v>
      </c>
      <c r="L1347" s="167">
        <f t="shared" si="48"/>
        <v>624.99999999999989</v>
      </c>
      <c r="M1347" s="167">
        <f t="shared" si="49"/>
        <v>74.999999999999986</v>
      </c>
      <c r="N1347" s="167">
        <v>700</v>
      </c>
      <c r="O1347" s="27" t="s">
        <v>7968</v>
      </c>
      <c r="P1347" s="25" t="s">
        <v>335</v>
      </c>
      <c r="Q1347" s="25" t="s">
        <v>335</v>
      </c>
      <c r="R1347" s="33" t="s">
        <v>6554</v>
      </c>
      <c r="S1347" s="29"/>
    </row>
    <row r="1348" spans="1:19" x14ac:dyDescent="0.3">
      <c r="A1348" s="20">
        <v>45493</v>
      </c>
      <c r="B1348" s="25" t="s">
        <v>7969</v>
      </c>
      <c r="C1348" s="25"/>
      <c r="D1348" s="25"/>
      <c r="E1348" s="28"/>
      <c r="F1348" s="28"/>
      <c r="G1348" s="25"/>
      <c r="H1348" s="25"/>
      <c r="I1348" s="25"/>
      <c r="J1348" s="25"/>
      <c r="K1348" s="25"/>
      <c r="L1348" s="167">
        <f t="shared" si="48"/>
        <v>0</v>
      </c>
      <c r="M1348" s="167">
        <f t="shared" si="49"/>
        <v>0</v>
      </c>
      <c r="N1348" s="167"/>
      <c r="O1348" s="27"/>
      <c r="P1348" s="25"/>
      <c r="Q1348" s="25"/>
      <c r="R1348" s="33"/>
      <c r="S1348" s="29"/>
    </row>
    <row r="1349" spans="1:19" x14ac:dyDescent="0.3">
      <c r="A1349" s="20">
        <v>45496</v>
      </c>
      <c r="B1349" s="25" t="s">
        <v>7970</v>
      </c>
      <c r="C1349" s="25" t="s">
        <v>7971</v>
      </c>
      <c r="D1349" s="25" t="s">
        <v>7972</v>
      </c>
      <c r="E1349" s="28" t="s">
        <v>7973</v>
      </c>
      <c r="F1349" s="28" t="s">
        <v>7974</v>
      </c>
      <c r="G1349" s="25">
        <v>6</v>
      </c>
      <c r="H1349" s="25">
        <v>3</v>
      </c>
      <c r="I1349" s="25" t="s">
        <v>605</v>
      </c>
      <c r="J1349" s="25" t="s">
        <v>539</v>
      </c>
      <c r="K1349" s="25" t="s">
        <v>199</v>
      </c>
      <c r="L1349" s="167">
        <f t="shared" si="48"/>
        <v>892.85714285714278</v>
      </c>
      <c r="M1349" s="167">
        <f t="shared" si="49"/>
        <v>107.14285714285712</v>
      </c>
      <c r="N1349" s="167">
        <v>1000</v>
      </c>
      <c r="O1349" s="27" t="s">
        <v>7975</v>
      </c>
      <c r="P1349" s="25" t="s">
        <v>371</v>
      </c>
      <c r="Q1349" s="25" t="s">
        <v>3026</v>
      </c>
      <c r="R1349" s="33" t="s">
        <v>6554</v>
      </c>
      <c r="S1349" s="29"/>
    </row>
    <row r="1350" spans="1:19" x14ac:dyDescent="0.3">
      <c r="A1350" s="20">
        <v>45497</v>
      </c>
      <c r="B1350" s="25" t="s">
        <v>7976</v>
      </c>
      <c r="C1350" s="25" t="s">
        <v>7977</v>
      </c>
      <c r="D1350" s="25" t="s">
        <v>7978</v>
      </c>
      <c r="E1350" s="28" t="s">
        <v>7979</v>
      </c>
      <c r="F1350" s="28" t="s">
        <v>7980</v>
      </c>
      <c r="G1350" s="25">
        <v>5</v>
      </c>
      <c r="H1350" s="25">
        <v>4</v>
      </c>
      <c r="I1350" s="25" t="s">
        <v>617</v>
      </c>
      <c r="J1350" s="25" t="s">
        <v>539</v>
      </c>
      <c r="K1350" s="25" t="s">
        <v>200</v>
      </c>
      <c r="L1350" s="167">
        <f t="shared" si="48"/>
        <v>982.142857142857</v>
      </c>
      <c r="M1350" s="167">
        <f t="shared" si="49"/>
        <v>117.85714285714283</v>
      </c>
      <c r="N1350" s="167">
        <v>1100</v>
      </c>
      <c r="O1350" s="27" t="s">
        <v>7981</v>
      </c>
      <c r="P1350" s="25" t="s">
        <v>6059</v>
      </c>
      <c r="Q1350" s="25" t="s">
        <v>782</v>
      </c>
      <c r="R1350" s="33" t="s">
        <v>7982</v>
      </c>
      <c r="S1350" s="29"/>
    </row>
    <row r="1351" spans="1:19" x14ac:dyDescent="0.3">
      <c r="A1351" s="20">
        <v>45497</v>
      </c>
      <c r="B1351" s="25" t="s">
        <v>7983</v>
      </c>
      <c r="C1351" s="25" t="s">
        <v>7984</v>
      </c>
      <c r="D1351" s="25" t="s">
        <v>7985</v>
      </c>
      <c r="E1351" s="28" t="s">
        <v>7986</v>
      </c>
      <c r="F1351" s="28" t="s">
        <v>7987</v>
      </c>
      <c r="G1351" s="25">
        <v>6</v>
      </c>
      <c r="H1351" s="25">
        <v>5</v>
      </c>
      <c r="I1351" s="25" t="s">
        <v>617</v>
      </c>
      <c r="J1351" s="25" t="s">
        <v>539</v>
      </c>
      <c r="K1351" s="25" t="s">
        <v>1518</v>
      </c>
      <c r="L1351" s="167">
        <f t="shared" si="48"/>
        <v>1428.5714285714284</v>
      </c>
      <c r="M1351" s="167">
        <f t="shared" si="49"/>
        <v>171.42857142857142</v>
      </c>
      <c r="N1351" s="167">
        <v>1600</v>
      </c>
      <c r="O1351" s="27" t="s">
        <v>7988</v>
      </c>
      <c r="P1351" s="25" t="s">
        <v>569</v>
      </c>
      <c r="Q1351" s="25" t="s">
        <v>65</v>
      </c>
      <c r="R1351" s="33" t="s">
        <v>6554</v>
      </c>
      <c r="S1351" s="29"/>
    </row>
    <row r="1352" spans="1:19" x14ac:dyDescent="0.3">
      <c r="A1352" s="20">
        <v>45498</v>
      </c>
      <c r="B1352" s="25" t="s">
        <v>7989</v>
      </c>
      <c r="C1352" s="25" t="s">
        <v>7990</v>
      </c>
      <c r="D1352" s="25" t="s">
        <v>7991</v>
      </c>
      <c r="E1352" s="28" t="s">
        <v>7992</v>
      </c>
      <c r="F1352" s="28" t="s">
        <v>7993</v>
      </c>
      <c r="G1352" s="25">
        <v>6</v>
      </c>
      <c r="H1352" s="25">
        <v>2</v>
      </c>
      <c r="I1352" s="25" t="s">
        <v>605</v>
      </c>
      <c r="J1352" s="25" t="s">
        <v>539</v>
      </c>
      <c r="K1352" s="25" t="s">
        <v>200</v>
      </c>
      <c r="L1352" s="167">
        <f t="shared" si="48"/>
        <v>714.28571428571422</v>
      </c>
      <c r="M1352" s="167">
        <f t="shared" si="49"/>
        <v>85.714285714285708</v>
      </c>
      <c r="N1352" s="167">
        <v>800</v>
      </c>
      <c r="O1352" s="27" t="s">
        <v>7994</v>
      </c>
      <c r="P1352" s="25" t="s">
        <v>335</v>
      </c>
      <c r="Q1352" s="25" t="s">
        <v>782</v>
      </c>
      <c r="R1352" s="33" t="s">
        <v>6554</v>
      </c>
      <c r="S1352" s="29"/>
    </row>
    <row r="1353" spans="1:19" x14ac:dyDescent="0.3">
      <c r="A1353" s="20">
        <v>45499</v>
      </c>
      <c r="B1353" s="25" t="s">
        <v>7995</v>
      </c>
      <c r="C1353" s="25" t="s">
        <v>7996</v>
      </c>
      <c r="D1353" s="25" t="s">
        <v>7997</v>
      </c>
      <c r="E1353" s="28" t="s">
        <v>7998</v>
      </c>
      <c r="F1353" s="28" t="s">
        <v>7999</v>
      </c>
      <c r="G1353" s="25">
        <v>6</v>
      </c>
      <c r="H1353" s="25">
        <v>6</v>
      </c>
      <c r="I1353" s="25" t="s">
        <v>617</v>
      </c>
      <c r="J1353" s="25" t="s">
        <v>539</v>
      </c>
      <c r="K1353" s="25" t="s">
        <v>1586</v>
      </c>
      <c r="L1353" s="167">
        <f t="shared" si="48"/>
        <v>1776.7857142857142</v>
      </c>
      <c r="M1353" s="167">
        <f t="shared" si="49"/>
        <v>213.21428571428569</v>
      </c>
      <c r="N1353" s="167">
        <v>1990</v>
      </c>
      <c r="O1353" s="27" t="s">
        <v>8000</v>
      </c>
      <c r="P1353" s="25" t="s">
        <v>2832</v>
      </c>
      <c r="Q1353" s="25" t="s">
        <v>225</v>
      </c>
      <c r="R1353" s="33" t="s">
        <v>7344</v>
      </c>
      <c r="S1353" s="29"/>
    </row>
    <row r="1354" spans="1:19" x14ac:dyDescent="0.3">
      <c r="A1354" s="20">
        <v>45499</v>
      </c>
      <c r="B1354" s="25" t="s">
        <v>8001</v>
      </c>
      <c r="C1354" s="25" t="s">
        <v>8002</v>
      </c>
      <c r="D1354" s="25" t="s">
        <v>8003</v>
      </c>
      <c r="E1354" s="28" t="s">
        <v>8004</v>
      </c>
      <c r="F1354" s="28" t="s">
        <v>8005</v>
      </c>
      <c r="G1354" s="25">
        <v>10</v>
      </c>
      <c r="H1354" s="25">
        <v>7</v>
      </c>
      <c r="I1354" s="25" t="s">
        <v>611</v>
      </c>
      <c r="J1354" s="25" t="s">
        <v>539</v>
      </c>
      <c r="K1354" s="25"/>
      <c r="L1354" s="167">
        <f t="shared" si="48"/>
        <v>0</v>
      </c>
      <c r="M1354" s="167">
        <f t="shared" si="49"/>
        <v>0</v>
      </c>
      <c r="N1354" s="167"/>
      <c r="O1354" s="27" t="s">
        <v>8006</v>
      </c>
      <c r="P1354" s="25" t="s">
        <v>6059</v>
      </c>
      <c r="Q1354" s="25" t="s">
        <v>340</v>
      </c>
      <c r="R1354" s="33"/>
      <c r="S1354" s="29"/>
    </row>
    <row r="1355" spans="1:19" x14ac:dyDescent="0.3">
      <c r="A1355" s="20">
        <v>45500</v>
      </c>
      <c r="B1355" s="25" t="s">
        <v>8007</v>
      </c>
      <c r="C1355" s="25" t="s">
        <v>8008</v>
      </c>
      <c r="D1355" s="25" t="s">
        <v>8009</v>
      </c>
      <c r="E1355" s="28" t="s">
        <v>8010</v>
      </c>
      <c r="F1355" s="28" t="s">
        <v>8011</v>
      </c>
      <c r="G1355" s="25">
        <v>5</v>
      </c>
      <c r="H1355" s="25">
        <v>3</v>
      </c>
      <c r="I1355" s="25" t="s">
        <v>605</v>
      </c>
      <c r="J1355" s="25" t="s">
        <v>539</v>
      </c>
      <c r="K1355" s="25" t="s">
        <v>980</v>
      </c>
      <c r="L1355" s="167">
        <f t="shared" si="48"/>
        <v>714.28571428571422</v>
      </c>
      <c r="M1355" s="167">
        <f t="shared" si="49"/>
        <v>85.714285714285708</v>
      </c>
      <c r="N1355" s="167">
        <v>800</v>
      </c>
      <c r="O1355" s="27" t="s">
        <v>8012</v>
      </c>
      <c r="P1355" s="25" t="s">
        <v>1482</v>
      </c>
      <c r="Q1355" s="25" t="s">
        <v>1482</v>
      </c>
      <c r="R1355" s="33">
        <v>2904</v>
      </c>
      <c r="S1355" s="29"/>
    </row>
    <row r="1356" spans="1:19" x14ac:dyDescent="0.3">
      <c r="A1356" s="20">
        <v>45503</v>
      </c>
      <c r="B1356" s="25" t="s">
        <v>8013</v>
      </c>
      <c r="C1356" s="25" t="s">
        <v>8014</v>
      </c>
      <c r="D1356" s="25" t="s">
        <v>8015</v>
      </c>
      <c r="E1356" s="28" t="s">
        <v>8016</v>
      </c>
      <c r="F1356" s="28" t="s">
        <v>8017</v>
      </c>
      <c r="G1356" s="25">
        <v>6</v>
      </c>
      <c r="H1356" s="25">
        <v>4</v>
      </c>
      <c r="I1356" s="25" t="s">
        <v>617</v>
      </c>
      <c r="J1356" s="25" t="s">
        <v>539</v>
      </c>
      <c r="K1356" s="25" t="s">
        <v>1975</v>
      </c>
      <c r="L1356" s="167">
        <f t="shared" si="48"/>
        <v>1071.4285714285713</v>
      </c>
      <c r="M1356" s="167">
        <f t="shared" si="49"/>
        <v>128.57142857142856</v>
      </c>
      <c r="N1356" s="167">
        <v>1200</v>
      </c>
      <c r="O1356" s="27" t="s">
        <v>8018</v>
      </c>
      <c r="P1356" s="25" t="s">
        <v>335</v>
      </c>
      <c r="Q1356" s="25" t="s">
        <v>225</v>
      </c>
      <c r="R1356" s="33">
        <v>2904</v>
      </c>
      <c r="S1356" s="29"/>
    </row>
    <row r="1357" spans="1:19" x14ac:dyDescent="0.3">
      <c r="A1357" s="20">
        <v>45503</v>
      </c>
      <c r="B1357" s="25" t="s">
        <v>8019</v>
      </c>
      <c r="C1357" s="25" t="s">
        <v>8020</v>
      </c>
      <c r="D1357" s="25" t="s">
        <v>8021</v>
      </c>
      <c r="E1357" s="28" t="s">
        <v>8022</v>
      </c>
      <c r="F1357" s="28" t="s">
        <v>8023</v>
      </c>
      <c r="G1357" s="25">
        <v>5</v>
      </c>
      <c r="H1357" s="25">
        <v>3</v>
      </c>
      <c r="I1357" s="25" t="s">
        <v>605</v>
      </c>
      <c r="J1357" s="25" t="s">
        <v>539</v>
      </c>
      <c r="K1357" s="25" t="s">
        <v>200</v>
      </c>
      <c r="L1357" s="167">
        <f t="shared" si="48"/>
        <v>892.85714285714278</v>
      </c>
      <c r="M1357" s="167">
        <f t="shared" si="49"/>
        <v>107.14285714285712</v>
      </c>
      <c r="N1357" s="167">
        <v>1000</v>
      </c>
      <c r="O1357" s="27" t="s">
        <v>8024</v>
      </c>
      <c r="P1357" s="25" t="s">
        <v>6428</v>
      </c>
      <c r="Q1357" s="25" t="s">
        <v>3026</v>
      </c>
      <c r="R1357" s="33">
        <v>555</v>
      </c>
      <c r="S1357" s="29"/>
    </row>
    <row r="1358" spans="1:19" x14ac:dyDescent="0.3">
      <c r="A1358" s="20">
        <v>45503</v>
      </c>
      <c r="B1358" s="25" t="s">
        <v>8025</v>
      </c>
      <c r="C1358" s="25" t="s">
        <v>8026</v>
      </c>
      <c r="D1358" s="25" t="s">
        <v>8027</v>
      </c>
      <c r="E1358" s="28" t="s">
        <v>8028</v>
      </c>
      <c r="F1358" s="28" t="s">
        <v>8029</v>
      </c>
      <c r="G1358" s="25">
        <v>5</v>
      </c>
      <c r="H1358" s="25">
        <v>4</v>
      </c>
      <c r="I1358" s="25" t="s">
        <v>605</v>
      </c>
      <c r="J1358" s="25" t="s">
        <v>539</v>
      </c>
      <c r="K1358" s="25" t="s">
        <v>199</v>
      </c>
      <c r="L1358" s="167">
        <f t="shared" ref="L1358:L1421" si="50">+N1358/1.12</f>
        <v>982.142857142857</v>
      </c>
      <c r="M1358" s="167">
        <f t="shared" ref="M1358:M1421" si="51">+L1358*12%</f>
        <v>117.85714285714283</v>
      </c>
      <c r="N1358" s="167">
        <v>1100</v>
      </c>
      <c r="O1358" s="27" t="s">
        <v>8030</v>
      </c>
      <c r="P1358" s="25" t="s">
        <v>6586</v>
      </c>
      <c r="Q1358" s="25" t="s">
        <v>6586</v>
      </c>
      <c r="R1358" s="33" t="s">
        <v>6554</v>
      </c>
      <c r="S1358" s="29"/>
    </row>
    <row r="1359" spans="1:19" x14ac:dyDescent="0.3">
      <c r="A1359" s="20">
        <v>45503</v>
      </c>
      <c r="B1359" s="25" t="s">
        <v>8031</v>
      </c>
      <c r="C1359" s="25" t="s">
        <v>8032</v>
      </c>
      <c r="D1359" s="25" t="s">
        <v>8033</v>
      </c>
      <c r="E1359" s="28" t="s">
        <v>8034</v>
      </c>
      <c r="F1359" s="28" t="s">
        <v>8035</v>
      </c>
      <c r="G1359" s="25">
        <v>7</v>
      </c>
      <c r="H1359" s="25">
        <v>10</v>
      </c>
      <c r="I1359" s="25" t="s">
        <v>617</v>
      </c>
      <c r="J1359" s="25" t="s">
        <v>539</v>
      </c>
      <c r="K1359" s="25" t="s">
        <v>200</v>
      </c>
      <c r="L1359" s="167">
        <f t="shared" si="50"/>
        <v>3562.4999999999995</v>
      </c>
      <c r="M1359" s="167">
        <f t="shared" si="51"/>
        <v>427.49999999999994</v>
      </c>
      <c r="N1359" s="167">
        <v>3990</v>
      </c>
      <c r="O1359" s="27" t="s">
        <v>8036</v>
      </c>
      <c r="P1359" s="25" t="s">
        <v>569</v>
      </c>
      <c r="Q1359" s="25" t="s">
        <v>225</v>
      </c>
      <c r="R1359" s="33">
        <v>9060</v>
      </c>
      <c r="S1359" s="29"/>
    </row>
    <row r="1360" spans="1:19" x14ac:dyDescent="0.3">
      <c r="A1360" s="20">
        <v>45503</v>
      </c>
      <c r="B1360" s="25" t="s">
        <v>8037</v>
      </c>
      <c r="C1360" s="25" t="s">
        <v>8038</v>
      </c>
      <c r="D1360" s="25" t="s">
        <v>8039</v>
      </c>
      <c r="E1360" s="28" t="s">
        <v>8040</v>
      </c>
      <c r="F1360" s="28" t="s">
        <v>8041</v>
      </c>
      <c r="G1360" s="25">
        <v>6</v>
      </c>
      <c r="H1360" s="25">
        <v>4</v>
      </c>
      <c r="I1360" s="25" t="s">
        <v>605</v>
      </c>
      <c r="J1360" s="25" t="s">
        <v>539</v>
      </c>
      <c r="K1360" s="25" t="s">
        <v>200</v>
      </c>
      <c r="L1360" s="167">
        <f t="shared" si="50"/>
        <v>937.49999999999989</v>
      </c>
      <c r="M1360" s="167">
        <f t="shared" si="51"/>
        <v>112.49999999999999</v>
      </c>
      <c r="N1360" s="167">
        <v>1050</v>
      </c>
      <c r="O1360" s="27" t="s">
        <v>8042</v>
      </c>
      <c r="P1360" s="25" t="s">
        <v>1482</v>
      </c>
      <c r="Q1360" s="25" t="s">
        <v>340</v>
      </c>
      <c r="R1360" s="33">
        <v>2904</v>
      </c>
      <c r="S1360" s="29"/>
    </row>
    <row r="1361" spans="1:19" x14ac:dyDescent="0.3">
      <c r="A1361" s="20">
        <v>45503</v>
      </c>
      <c r="B1361" s="25" t="s">
        <v>8043</v>
      </c>
      <c r="C1361" s="25" t="s">
        <v>8044</v>
      </c>
      <c r="D1361" s="25" t="s">
        <v>8045</v>
      </c>
      <c r="E1361" s="28" t="s">
        <v>8046</v>
      </c>
      <c r="F1361" s="28" t="s">
        <v>8047</v>
      </c>
      <c r="G1361" s="25">
        <v>5</v>
      </c>
      <c r="H1361" s="25">
        <v>3</v>
      </c>
      <c r="I1361" s="25" t="s">
        <v>605</v>
      </c>
      <c r="J1361" s="25" t="s">
        <v>539</v>
      </c>
      <c r="K1361" s="287" t="s">
        <v>199</v>
      </c>
      <c r="L1361" s="167">
        <f t="shared" si="50"/>
        <v>1071.4285714285713</v>
      </c>
      <c r="M1361" s="167">
        <f t="shared" si="51"/>
        <v>128.57142857142856</v>
      </c>
      <c r="N1361" s="118">
        <v>1200</v>
      </c>
      <c r="O1361" s="27" t="s">
        <v>8048</v>
      </c>
      <c r="P1361" s="25" t="s">
        <v>2832</v>
      </c>
      <c r="Q1361" s="25" t="s">
        <v>8049</v>
      </c>
      <c r="R1361" s="33">
        <v>2904</v>
      </c>
      <c r="S1361" s="29"/>
    </row>
    <row r="1362" spans="1:19" x14ac:dyDescent="0.3">
      <c r="A1362" s="20">
        <v>45504</v>
      </c>
      <c r="B1362" s="32" t="s">
        <v>8050</v>
      </c>
      <c r="C1362" s="32" t="s">
        <v>8051</v>
      </c>
      <c r="D1362" s="32" t="s">
        <v>8052</v>
      </c>
      <c r="E1362" s="37" t="s">
        <v>8053</v>
      </c>
      <c r="F1362" s="44" t="s">
        <v>8054</v>
      </c>
      <c r="G1362" s="288" t="s">
        <v>1826</v>
      </c>
      <c r="H1362" s="288">
        <v>10</v>
      </c>
      <c r="I1362" s="241" t="s">
        <v>617</v>
      </c>
      <c r="J1362" s="25" t="s">
        <v>539</v>
      </c>
      <c r="K1362" s="289" t="s">
        <v>200</v>
      </c>
      <c r="L1362" s="118">
        <f t="shared" si="50"/>
        <v>2669.6428571428569</v>
      </c>
      <c r="M1362" s="118">
        <f t="shared" si="51"/>
        <v>320.35714285714283</v>
      </c>
      <c r="N1362" s="119">
        <v>2990</v>
      </c>
      <c r="O1362" s="235" t="s">
        <v>8055</v>
      </c>
      <c r="P1362" s="32" t="s">
        <v>2832</v>
      </c>
      <c r="Q1362" s="32" t="s">
        <v>65</v>
      </c>
      <c r="R1362" s="32" t="s">
        <v>6554</v>
      </c>
      <c r="S1362" s="29"/>
    </row>
    <row r="1363" spans="1:19" x14ac:dyDescent="0.3">
      <c r="A1363" s="20">
        <v>45504</v>
      </c>
      <c r="B1363" s="32" t="s">
        <v>8056</v>
      </c>
      <c r="C1363" s="32" t="s">
        <v>8057</v>
      </c>
      <c r="D1363" s="32" t="s">
        <v>8058</v>
      </c>
      <c r="E1363" s="37" t="s">
        <v>8059</v>
      </c>
      <c r="F1363" s="44" t="s">
        <v>8060</v>
      </c>
      <c r="G1363" s="288">
        <v>8</v>
      </c>
      <c r="H1363" s="288">
        <v>10</v>
      </c>
      <c r="I1363" s="32" t="s">
        <v>617</v>
      </c>
      <c r="J1363" s="25" t="s">
        <v>539</v>
      </c>
      <c r="K1363" s="32" t="s">
        <v>1586</v>
      </c>
      <c r="L1363" s="118">
        <f t="shared" si="50"/>
        <v>2232.1428571428569</v>
      </c>
      <c r="M1363" s="118">
        <f t="shared" si="51"/>
        <v>267.85714285714283</v>
      </c>
      <c r="N1363" s="119">
        <v>2500</v>
      </c>
      <c r="O1363" s="235" t="s">
        <v>8061</v>
      </c>
      <c r="P1363" s="32" t="s">
        <v>569</v>
      </c>
      <c r="Q1363" s="32" t="s">
        <v>225</v>
      </c>
      <c r="R1363" s="32" t="s">
        <v>6554</v>
      </c>
      <c r="S1363" s="29"/>
    </row>
    <row r="1364" spans="1:19" x14ac:dyDescent="0.3">
      <c r="A1364" s="20">
        <v>45504</v>
      </c>
      <c r="B1364" s="32" t="s">
        <v>8062</v>
      </c>
      <c r="C1364" s="32" t="s">
        <v>8063</v>
      </c>
      <c r="D1364" s="32" t="s">
        <v>8064</v>
      </c>
      <c r="E1364" s="37" t="s">
        <v>8065</v>
      </c>
      <c r="F1364" s="44" t="s">
        <v>8066</v>
      </c>
      <c r="G1364" s="288">
        <v>6</v>
      </c>
      <c r="H1364" s="288">
        <v>6</v>
      </c>
      <c r="I1364" s="32" t="s">
        <v>3003</v>
      </c>
      <c r="J1364" s="25" t="s">
        <v>539</v>
      </c>
      <c r="K1364" s="32" t="s">
        <v>200</v>
      </c>
      <c r="L1364" s="118">
        <f t="shared" si="50"/>
        <v>1071.4285714285713</v>
      </c>
      <c r="M1364" s="118">
        <f t="shared" si="51"/>
        <v>128.57142857142856</v>
      </c>
      <c r="N1364" s="119">
        <v>1200</v>
      </c>
      <c r="O1364" s="235" t="s">
        <v>8067</v>
      </c>
      <c r="P1364" s="32" t="s">
        <v>1482</v>
      </c>
      <c r="Q1364" s="32" t="s">
        <v>782</v>
      </c>
      <c r="R1364" s="32">
        <v>2904</v>
      </c>
      <c r="S1364" s="29"/>
    </row>
    <row r="1365" spans="1:19" x14ac:dyDescent="0.3">
      <c r="A1365" s="20">
        <v>45504</v>
      </c>
      <c r="B1365" s="32" t="s">
        <v>8068</v>
      </c>
      <c r="C1365" s="32" t="s">
        <v>8069</v>
      </c>
      <c r="D1365" s="32" t="s">
        <v>8070</v>
      </c>
      <c r="E1365" s="37" t="s">
        <v>8071</v>
      </c>
      <c r="F1365" s="44" t="s">
        <v>8072</v>
      </c>
      <c r="G1365" s="288">
        <v>7</v>
      </c>
      <c r="H1365" s="288">
        <v>5</v>
      </c>
      <c r="I1365" s="32" t="s">
        <v>605</v>
      </c>
      <c r="J1365" s="25" t="s">
        <v>539</v>
      </c>
      <c r="K1365" s="32" t="s">
        <v>1586</v>
      </c>
      <c r="L1365" s="118">
        <f t="shared" si="50"/>
        <v>1776.7857142857142</v>
      </c>
      <c r="M1365" s="118">
        <f t="shared" si="51"/>
        <v>213.21428571428569</v>
      </c>
      <c r="N1365" s="119">
        <v>1990</v>
      </c>
      <c r="O1365" s="235" t="s">
        <v>8073</v>
      </c>
      <c r="P1365" s="32" t="s">
        <v>2832</v>
      </c>
      <c r="Q1365" s="32" t="s">
        <v>65</v>
      </c>
      <c r="R1365" s="32" t="s">
        <v>6554</v>
      </c>
      <c r="S1365" s="29"/>
    </row>
    <row r="1366" spans="1:19" x14ac:dyDescent="0.3">
      <c r="A1366" s="20">
        <v>45504</v>
      </c>
      <c r="B1366" s="32" t="s">
        <v>8074</v>
      </c>
      <c r="C1366" s="74" t="s">
        <v>2092</v>
      </c>
      <c r="D1366" s="74" t="s">
        <v>8075</v>
      </c>
      <c r="E1366" s="290" t="s">
        <v>8076</v>
      </c>
      <c r="F1366" s="51" t="s">
        <v>8077</v>
      </c>
      <c r="G1366" s="291">
        <v>5</v>
      </c>
      <c r="H1366" s="291">
        <v>3</v>
      </c>
      <c r="I1366" s="74" t="s">
        <v>605</v>
      </c>
      <c r="J1366" s="25" t="s">
        <v>539</v>
      </c>
      <c r="K1366" s="74" t="s">
        <v>2488</v>
      </c>
      <c r="L1366" s="118">
        <f t="shared" si="50"/>
        <v>624.99999999999989</v>
      </c>
      <c r="M1366" s="118">
        <f t="shared" si="51"/>
        <v>74.999999999999986</v>
      </c>
      <c r="N1366" s="119">
        <v>700</v>
      </c>
      <c r="O1366" s="292" t="s">
        <v>8078</v>
      </c>
      <c r="P1366" s="74" t="s">
        <v>6428</v>
      </c>
      <c r="Q1366" s="74" t="s">
        <v>782</v>
      </c>
      <c r="R1366" s="74">
        <v>2904</v>
      </c>
      <c r="S1366" s="29"/>
    </row>
    <row r="1367" spans="1:19" x14ac:dyDescent="0.3">
      <c r="A1367" s="20">
        <v>45504</v>
      </c>
      <c r="B1367" s="32" t="s">
        <v>8079</v>
      </c>
      <c r="C1367" s="74" t="s">
        <v>8080</v>
      </c>
      <c r="D1367" s="74" t="s">
        <v>8081</v>
      </c>
      <c r="E1367" s="290" t="s">
        <v>8082</v>
      </c>
      <c r="F1367" s="51" t="s">
        <v>8083</v>
      </c>
      <c r="G1367" s="291">
        <v>7</v>
      </c>
      <c r="H1367" s="291">
        <v>5</v>
      </c>
      <c r="I1367" s="74" t="s">
        <v>605</v>
      </c>
      <c r="J1367" s="25" t="s">
        <v>539</v>
      </c>
      <c r="K1367" s="74" t="s">
        <v>199</v>
      </c>
      <c r="L1367" s="118">
        <f t="shared" si="50"/>
        <v>1607.1428571428569</v>
      </c>
      <c r="M1367" s="118">
        <f t="shared" si="51"/>
        <v>192.85714285714283</v>
      </c>
      <c r="N1367" s="119">
        <v>1800</v>
      </c>
      <c r="O1367" s="292" t="s">
        <v>8084</v>
      </c>
      <c r="P1367" s="74" t="s">
        <v>6059</v>
      </c>
      <c r="Q1367" s="74" t="s">
        <v>3026</v>
      </c>
      <c r="R1367" s="74" t="s">
        <v>7344</v>
      </c>
      <c r="S1367" s="29"/>
    </row>
    <row r="1368" spans="1:19" x14ac:dyDescent="0.3">
      <c r="A1368" s="20">
        <v>45505</v>
      </c>
      <c r="B1368" s="32" t="s">
        <v>8085</v>
      </c>
      <c r="C1368" s="25" t="s">
        <v>8086</v>
      </c>
      <c r="D1368" s="25" t="s">
        <v>8087</v>
      </c>
      <c r="E1368" s="44" t="s">
        <v>8088</v>
      </c>
      <c r="F1368" s="28" t="s">
        <v>8089</v>
      </c>
      <c r="G1368" s="25">
        <v>7</v>
      </c>
      <c r="H1368" s="25">
        <v>4</v>
      </c>
      <c r="I1368" s="25" t="s">
        <v>8090</v>
      </c>
      <c r="J1368" s="25" t="s">
        <v>539</v>
      </c>
      <c r="K1368" s="25" t="s">
        <v>200</v>
      </c>
      <c r="L1368" s="167">
        <f t="shared" si="50"/>
        <v>1776.7857142857142</v>
      </c>
      <c r="M1368" s="167">
        <f t="shared" si="51"/>
        <v>213.21428571428569</v>
      </c>
      <c r="N1368" s="167">
        <v>1990</v>
      </c>
      <c r="O1368" s="27" t="s">
        <v>8091</v>
      </c>
      <c r="P1368" s="25" t="s">
        <v>371</v>
      </c>
      <c r="Q1368" s="25" t="s">
        <v>3026</v>
      </c>
      <c r="R1368" s="29" t="s">
        <v>6554</v>
      </c>
    </row>
    <row r="1369" spans="1:19" x14ac:dyDescent="0.3">
      <c r="A1369" s="20">
        <v>45505</v>
      </c>
      <c r="B1369" s="32" t="s">
        <v>8092</v>
      </c>
      <c r="C1369" s="25" t="s">
        <v>8093</v>
      </c>
      <c r="D1369" s="25" t="s">
        <v>8094</v>
      </c>
      <c r="E1369" s="44" t="s">
        <v>8095</v>
      </c>
      <c r="F1369" s="28" t="s">
        <v>8096</v>
      </c>
      <c r="G1369" s="25">
        <v>5</v>
      </c>
      <c r="H1369" s="25">
        <v>3</v>
      </c>
      <c r="I1369" s="25" t="s">
        <v>3003</v>
      </c>
      <c r="J1369" s="25" t="s">
        <v>539</v>
      </c>
      <c r="K1369" s="25" t="s">
        <v>199</v>
      </c>
      <c r="L1369" s="167">
        <f t="shared" si="50"/>
        <v>624.99999999999989</v>
      </c>
      <c r="M1369" s="167">
        <f t="shared" si="51"/>
        <v>74.999999999999986</v>
      </c>
      <c r="N1369" s="167">
        <v>700</v>
      </c>
      <c r="O1369" s="27" t="s">
        <v>8097</v>
      </c>
      <c r="P1369" s="25" t="s">
        <v>2832</v>
      </c>
      <c r="Q1369" s="25" t="s">
        <v>65</v>
      </c>
      <c r="R1369" s="29" t="s">
        <v>6554</v>
      </c>
    </row>
    <row r="1370" spans="1:19" x14ac:dyDescent="0.3">
      <c r="A1370" s="20">
        <v>45505</v>
      </c>
      <c r="B1370" s="32" t="s">
        <v>8098</v>
      </c>
      <c r="C1370" s="25" t="s">
        <v>8099</v>
      </c>
      <c r="D1370" s="25" t="s">
        <v>8100</v>
      </c>
      <c r="E1370" s="44" t="s">
        <v>8101</v>
      </c>
      <c r="F1370" s="28" t="s">
        <v>8102</v>
      </c>
      <c r="G1370" s="25">
        <v>8</v>
      </c>
      <c r="H1370" s="25">
        <v>5</v>
      </c>
      <c r="I1370" s="25" t="s">
        <v>605</v>
      </c>
      <c r="J1370" s="25" t="s">
        <v>539</v>
      </c>
      <c r="K1370" s="25" t="s">
        <v>200</v>
      </c>
      <c r="L1370" s="167">
        <f t="shared" si="50"/>
        <v>1428.5714285714284</v>
      </c>
      <c r="M1370" s="167">
        <f t="shared" si="51"/>
        <v>171.42857142857142</v>
      </c>
      <c r="N1370" s="167">
        <v>1600</v>
      </c>
      <c r="O1370" s="27" t="s">
        <v>8103</v>
      </c>
      <c r="P1370" s="25" t="s">
        <v>1482</v>
      </c>
      <c r="Q1370" s="25" t="s">
        <v>225</v>
      </c>
      <c r="R1370" s="29" t="s">
        <v>6554</v>
      </c>
    </row>
    <row r="1371" spans="1:19" x14ac:dyDescent="0.3">
      <c r="A1371" s="20">
        <v>45506</v>
      </c>
      <c r="B1371" s="32" t="s">
        <v>8104</v>
      </c>
      <c r="C1371" s="25" t="s">
        <v>8105</v>
      </c>
      <c r="D1371" s="25" t="s">
        <v>8106</v>
      </c>
      <c r="E1371" s="44" t="s">
        <v>8107</v>
      </c>
      <c r="F1371" s="28" t="s">
        <v>8108</v>
      </c>
      <c r="G1371" s="25">
        <v>5</v>
      </c>
      <c r="H1371" s="25">
        <v>2</v>
      </c>
      <c r="I1371" s="25" t="s">
        <v>605</v>
      </c>
      <c r="J1371" s="25" t="s">
        <v>539</v>
      </c>
      <c r="K1371" s="25" t="s">
        <v>1586</v>
      </c>
      <c r="L1371" s="167">
        <f t="shared" si="50"/>
        <v>624.99999999999989</v>
      </c>
      <c r="M1371" s="167">
        <f t="shared" si="51"/>
        <v>74.999999999999986</v>
      </c>
      <c r="N1371" s="167">
        <v>700</v>
      </c>
      <c r="O1371" s="27" t="s">
        <v>8109</v>
      </c>
      <c r="P1371" s="25" t="s">
        <v>569</v>
      </c>
      <c r="Q1371" s="25" t="s">
        <v>65</v>
      </c>
      <c r="R1371" s="29" t="s">
        <v>7344</v>
      </c>
    </row>
    <row r="1372" spans="1:19" x14ac:dyDescent="0.3">
      <c r="A1372" s="20">
        <v>45506</v>
      </c>
      <c r="B1372" s="32" t="s">
        <v>8110</v>
      </c>
      <c r="C1372" s="25" t="s">
        <v>3736</v>
      </c>
      <c r="D1372" s="25" t="s">
        <v>8111</v>
      </c>
      <c r="E1372" s="44" t="s">
        <v>8112</v>
      </c>
      <c r="F1372" s="28" t="s">
        <v>8113</v>
      </c>
      <c r="G1372" s="25">
        <v>10</v>
      </c>
      <c r="H1372" s="25">
        <v>10</v>
      </c>
      <c r="I1372" s="25" t="s">
        <v>617</v>
      </c>
      <c r="J1372" s="25" t="s">
        <v>539</v>
      </c>
      <c r="K1372" s="25" t="s">
        <v>200</v>
      </c>
      <c r="L1372" s="167">
        <f t="shared" si="50"/>
        <v>2669.6428571428569</v>
      </c>
      <c r="M1372" s="167">
        <f t="shared" si="51"/>
        <v>320.35714285714283</v>
      </c>
      <c r="N1372" s="167">
        <v>2990</v>
      </c>
      <c r="O1372" s="27" t="s">
        <v>8114</v>
      </c>
      <c r="P1372" s="25" t="s">
        <v>569</v>
      </c>
      <c r="Q1372" s="25" t="s">
        <v>225</v>
      </c>
      <c r="R1372" s="29" t="s">
        <v>7397</v>
      </c>
    </row>
    <row r="1373" spans="1:19" x14ac:dyDescent="0.3">
      <c r="A1373" s="20">
        <v>45507</v>
      </c>
      <c r="B1373" s="32" t="s">
        <v>8115</v>
      </c>
      <c r="C1373" s="25" t="s">
        <v>8116</v>
      </c>
      <c r="D1373" s="25" t="s">
        <v>8117</v>
      </c>
      <c r="E1373" s="44" t="s">
        <v>8118</v>
      </c>
      <c r="F1373" s="28" t="s">
        <v>8119</v>
      </c>
      <c r="G1373" s="25">
        <v>6</v>
      </c>
      <c r="H1373" s="25">
        <v>4</v>
      </c>
      <c r="I1373" s="25" t="s">
        <v>605</v>
      </c>
      <c r="J1373" s="25" t="s">
        <v>539</v>
      </c>
      <c r="K1373" s="25" t="s">
        <v>2488</v>
      </c>
      <c r="L1373" s="167">
        <f t="shared" si="50"/>
        <v>937.49999999999989</v>
      </c>
      <c r="M1373" s="167">
        <f t="shared" si="51"/>
        <v>112.49999999999999</v>
      </c>
      <c r="N1373" s="167">
        <v>1050</v>
      </c>
      <c r="O1373" s="27" t="s">
        <v>8120</v>
      </c>
      <c r="P1373" s="25" t="s">
        <v>2865</v>
      </c>
      <c r="Q1373" s="25" t="s">
        <v>782</v>
      </c>
      <c r="R1373" s="29" t="s">
        <v>6554</v>
      </c>
    </row>
    <row r="1374" spans="1:19" x14ac:dyDescent="0.3">
      <c r="A1374" s="20">
        <v>45507</v>
      </c>
      <c r="B1374" s="32" t="s">
        <v>8121</v>
      </c>
      <c r="C1374" s="25" t="s">
        <v>8122</v>
      </c>
      <c r="D1374" s="25" t="s">
        <v>8123</v>
      </c>
      <c r="E1374" s="44" t="s">
        <v>8124</v>
      </c>
      <c r="F1374" s="28" t="s">
        <v>8125</v>
      </c>
      <c r="G1374" s="25">
        <v>5</v>
      </c>
      <c r="H1374" s="25">
        <v>3</v>
      </c>
      <c r="I1374" s="25" t="s">
        <v>605</v>
      </c>
      <c r="J1374" s="25" t="s">
        <v>539</v>
      </c>
      <c r="K1374" s="25" t="s">
        <v>200</v>
      </c>
      <c r="L1374" s="167">
        <f t="shared" si="50"/>
        <v>624.99999999999989</v>
      </c>
      <c r="M1374" s="167">
        <f t="shared" si="51"/>
        <v>74.999999999999986</v>
      </c>
      <c r="N1374" s="167">
        <v>700</v>
      </c>
      <c r="O1374" s="27" t="s">
        <v>8126</v>
      </c>
      <c r="P1374" s="25" t="s">
        <v>6428</v>
      </c>
      <c r="Q1374" s="25" t="s">
        <v>340</v>
      </c>
      <c r="R1374" s="29" t="s">
        <v>6554</v>
      </c>
    </row>
    <row r="1375" spans="1:19" x14ac:dyDescent="0.3">
      <c r="A1375" s="20">
        <v>45507</v>
      </c>
      <c r="B1375" s="32" t="s">
        <v>8127</v>
      </c>
      <c r="C1375" s="25" t="s">
        <v>6809</v>
      </c>
      <c r="D1375" s="25" t="s">
        <v>8128</v>
      </c>
      <c r="E1375" s="44" t="s">
        <v>8129</v>
      </c>
      <c r="F1375" s="28" t="s">
        <v>8130</v>
      </c>
      <c r="G1375" s="25">
        <v>7</v>
      </c>
      <c r="H1375" s="25">
        <v>5</v>
      </c>
      <c r="I1375" s="25" t="s">
        <v>3003</v>
      </c>
      <c r="J1375" s="25" t="s">
        <v>539</v>
      </c>
      <c r="K1375" s="25" t="s">
        <v>199</v>
      </c>
      <c r="L1375" s="167">
        <f t="shared" si="50"/>
        <v>1776.7857142857142</v>
      </c>
      <c r="M1375" s="167">
        <f t="shared" si="51"/>
        <v>213.21428571428569</v>
      </c>
      <c r="N1375" s="167">
        <v>1990</v>
      </c>
      <c r="O1375" s="27" t="s">
        <v>8131</v>
      </c>
      <c r="P1375" s="25" t="s">
        <v>371</v>
      </c>
      <c r="Q1375" s="25" t="s">
        <v>3026</v>
      </c>
      <c r="R1375" s="29" t="s">
        <v>7397</v>
      </c>
    </row>
    <row r="1376" spans="1:19" x14ac:dyDescent="0.3">
      <c r="A1376" s="20">
        <v>45507</v>
      </c>
      <c r="B1376" s="32" t="s">
        <v>8132</v>
      </c>
      <c r="C1376" s="25" t="s">
        <v>8133</v>
      </c>
      <c r="D1376" s="25" t="s">
        <v>8134</v>
      </c>
      <c r="E1376" s="44" t="s">
        <v>8135</v>
      </c>
      <c r="F1376" s="28" t="s">
        <v>8136</v>
      </c>
      <c r="G1376" s="25">
        <v>5</v>
      </c>
      <c r="H1376" s="25">
        <v>3</v>
      </c>
      <c r="I1376" s="25" t="s">
        <v>605</v>
      </c>
      <c r="J1376" s="25" t="s">
        <v>539</v>
      </c>
      <c r="K1376" s="25" t="s">
        <v>2488</v>
      </c>
      <c r="L1376" s="167">
        <f t="shared" si="50"/>
        <v>892.85714285714278</v>
      </c>
      <c r="M1376" s="167">
        <f t="shared" si="51"/>
        <v>107.14285714285712</v>
      </c>
      <c r="N1376" s="167">
        <v>1000</v>
      </c>
      <c r="O1376" s="27" t="s">
        <v>8137</v>
      </c>
      <c r="P1376" s="25" t="s">
        <v>569</v>
      </c>
      <c r="Q1376" s="25" t="s">
        <v>2022</v>
      </c>
      <c r="R1376" s="29" t="s">
        <v>6554</v>
      </c>
    </row>
    <row r="1377" spans="1:18" x14ac:dyDescent="0.3">
      <c r="A1377" s="20">
        <v>45507</v>
      </c>
      <c r="B1377" s="32" t="s">
        <v>8138</v>
      </c>
      <c r="C1377" s="25" t="s">
        <v>8139</v>
      </c>
      <c r="D1377" s="25" t="s">
        <v>8140</v>
      </c>
      <c r="E1377" s="44" t="s">
        <v>8141</v>
      </c>
      <c r="F1377" s="28" t="s">
        <v>8142</v>
      </c>
      <c r="G1377" s="25">
        <v>5</v>
      </c>
      <c r="H1377" s="25">
        <v>3</v>
      </c>
      <c r="I1377" s="25" t="s">
        <v>605</v>
      </c>
      <c r="J1377" s="25" t="s">
        <v>539</v>
      </c>
      <c r="K1377" s="25" t="s">
        <v>200</v>
      </c>
      <c r="L1377" s="167">
        <f t="shared" si="50"/>
        <v>624.99999999999989</v>
      </c>
      <c r="M1377" s="167">
        <f t="shared" si="51"/>
        <v>74.999999999999986</v>
      </c>
      <c r="N1377" s="167">
        <v>700</v>
      </c>
      <c r="O1377" s="27" t="s">
        <v>8143</v>
      </c>
      <c r="P1377" s="25" t="s">
        <v>2865</v>
      </c>
      <c r="Q1377" s="25" t="s">
        <v>225</v>
      </c>
      <c r="R1377" s="29">
        <v>9060</v>
      </c>
    </row>
    <row r="1378" spans="1:18" x14ac:dyDescent="0.3">
      <c r="A1378" s="20">
        <v>45507</v>
      </c>
      <c r="B1378" s="32" t="s">
        <v>8144</v>
      </c>
      <c r="C1378" s="25" t="s">
        <v>8145</v>
      </c>
      <c r="D1378" s="25" t="s">
        <v>8146</v>
      </c>
      <c r="E1378" s="44" t="s">
        <v>8147</v>
      </c>
      <c r="F1378" s="28" t="s">
        <v>8148</v>
      </c>
      <c r="G1378" s="25">
        <v>7</v>
      </c>
      <c r="H1378" s="25">
        <v>5</v>
      </c>
      <c r="I1378" s="25" t="s">
        <v>3003</v>
      </c>
      <c r="J1378" s="25" t="s">
        <v>539</v>
      </c>
      <c r="K1378" s="25" t="s">
        <v>980</v>
      </c>
      <c r="L1378" s="167">
        <f t="shared" si="50"/>
        <v>1874.9999999999998</v>
      </c>
      <c r="M1378" s="167">
        <f t="shared" si="51"/>
        <v>224.99999999999997</v>
      </c>
      <c r="N1378" s="167">
        <v>2100</v>
      </c>
      <c r="O1378" s="27" t="s">
        <v>8149</v>
      </c>
      <c r="P1378" s="25" t="s">
        <v>2804</v>
      </c>
      <c r="Q1378" s="25" t="s">
        <v>3026</v>
      </c>
      <c r="R1378" s="29"/>
    </row>
    <row r="1379" spans="1:18" x14ac:dyDescent="0.3">
      <c r="A1379" s="20">
        <v>45510</v>
      </c>
      <c r="B1379" s="32" t="s">
        <v>8150</v>
      </c>
      <c r="C1379" s="25" t="s">
        <v>8151</v>
      </c>
      <c r="D1379" s="25" t="s">
        <v>7959</v>
      </c>
      <c r="E1379" s="44" t="s">
        <v>8152</v>
      </c>
      <c r="F1379" s="28" t="s">
        <v>8153</v>
      </c>
      <c r="G1379" s="25">
        <v>10</v>
      </c>
      <c r="H1379" s="25">
        <v>7</v>
      </c>
      <c r="I1379" s="25" t="s">
        <v>605</v>
      </c>
      <c r="J1379" s="25" t="s">
        <v>539</v>
      </c>
      <c r="K1379" s="25" t="s">
        <v>2488</v>
      </c>
      <c r="L1379" s="167">
        <f t="shared" si="50"/>
        <v>1964.285714285714</v>
      </c>
      <c r="M1379" s="167">
        <f t="shared" si="51"/>
        <v>235.71428571428567</v>
      </c>
      <c r="N1379" s="167">
        <v>2200</v>
      </c>
      <c r="O1379" s="27" t="s">
        <v>8154</v>
      </c>
      <c r="P1379" s="25" t="s">
        <v>2832</v>
      </c>
      <c r="Q1379" s="25" t="s">
        <v>3026</v>
      </c>
      <c r="R1379" s="29" t="s">
        <v>6554</v>
      </c>
    </row>
    <row r="1380" spans="1:18" x14ac:dyDescent="0.3">
      <c r="A1380" s="20">
        <v>45510</v>
      </c>
      <c r="B1380" s="32" t="s">
        <v>8155</v>
      </c>
      <c r="C1380" s="25" t="s">
        <v>8156</v>
      </c>
      <c r="D1380" s="25" t="s">
        <v>8157</v>
      </c>
      <c r="E1380" s="44" t="s">
        <v>8158</v>
      </c>
      <c r="F1380" s="28" t="s">
        <v>8159</v>
      </c>
      <c r="G1380" s="25">
        <v>2</v>
      </c>
      <c r="H1380" s="25">
        <v>2</v>
      </c>
      <c r="I1380" s="25" t="s">
        <v>605</v>
      </c>
      <c r="J1380" s="25" t="s">
        <v>539</v>
      </c>
      <c r="K1380" s="25" t="s">
        <v>1518</v>
      </c>
      <c r="L1380" s="167">
        <f t="shared" si="50"/>
        <v>446.42857142857139</v>
      </c>
      <c r="M1380" s="167">
        <f t="shared" si="51"/>
        <v>53.571428571428562</v>
      </c>
      <c r="N1380" s="167">
        <v>500</v>
      </c>
      <c r="O1380" s="27" t="s">
        <v>8160</v>
      </c>
      <c r="P1380" s="25" t="s">
        <v>6059</v>
      </c>
      <c r="Q1380" s="25" t="s">
        <v>6059</v>
      </c>
      <c r="R1380" s="29" t="s">
        <v>6554</v>
      </c>
    </row>
    <row r="1381" spans="1:18" x14ac:dyDescent="0.3">
      <c r="A1381" s="20">
        <v>45511</v>
      </c>
      <c r="B1381" s="32" t="s">
        <v>8161</v>
      </c>
      <c r="C1381" s="25" t="s">
        <v>8162</v>
      </c>
      <c r="D1381" s="25" t="s">
        <v>8163</v>
      </c>
      <c r="E1381" s="44" t="s">
        <v>8164</v>
      </c>
      <c r="F1381" s="28" t="s">
        <v>8165</v>
      </c>
      <c r="G1381" s="25">
        <v>5</v>
      </c>
      <c r="H1381" s="25">
        <v>2</v>
      </c>
      <c r="I1381" s="25" t="s">
        <v>605</v>
      </c>
      <c r="J1381" s="25" t="s">
        <v>539</v>
      </c>
      <c r="K1381" s="25" t="s">
        <v>1975</v>
      </c>
      <c r="L1381" s="167">
        <f t="shared" si="50"/>
        <v>714.28571428571422</v>
      </c>
      <c r="M1381" s="167">
        <f t="shared" si="51"/>
        <v>85.714285714285708</v>
      </c>
      <c r="N1381" s="167">
        <v>800</v>
      </c>
      <c r="O1381" s="27" t="s">
        <v>8166</v>
      </c>
      <c r="P1381" s="25" t="s">
        <v>6059</v>
      </c>
      <c r="Q1381" s="25" t="s">
        <v>65</v>
      </c>
      <c r="R1381" s="29" t="s">
        <v>8167</v>
      </c>
    </row>
    <row r="1382" spans="1:18" x14ac:dyDescent="0.3">
      <c r="A1382" s="20">
        <v>45511</v>
      </c>
      <c r="B1382" s="32" t="s">
        <v>8168</v>
      </c>
      <c r="C1382" s="25" t="s">
        <v>8169</v>
      </c>
      <c r="D1382" s="25" t="s">
        <v>8170</v>
      </c>
      <c r="E1382" s="44" t="s">
        <v>8171</v>
      </c>
      <c r="F1382" s="28" t="s">
        <v>8172</v>
      </c>
      <c r="G1382" s="25">
        <v>6</v>
      </c>
      <c r="H1382" s="25">
        <v>4</v>
      </c>
      <c r="I1382" s="25" t="s">
        <v>605</v>
      </c>
      <c r="J1382" s="25" t="s">
        <v>539</v>
      </c>
      <c r="K1382" s="25" t="s">
        <v>200</v>
      </c>
      <c r="L1382" s="167">
        <f t="shared" si="50"/>
        <v>982.142857142857</v>
      </c>
      <c r="M1382" s="167">
        <f t="shared" si="51"/>
        <v>117.85714285714283</v>
      </c>
      <c r="N1382" s="167">
        <v>1100</v>
      </c>
      <c r="O1382" s="27" t="s">
        <v>8173</v>
      </c>
      <c r="P1382" s="25" t="s">
        <v>5743</v>
      </c>
      <c r="Q1382" s="25" t="s">
        <v>782</v>
      </c>
      <c r="R1382" s="29" t="s">
        <v>7982</v>
      </c>
    </row>
    <row r="1383" spans="1:18" x14ac:dyDescent="0.3">
      <c r="A1383" s="20">
        <v>45511</v>
      </c>
      <c r="B1383" s="32" t="s">
        <v>8174</v>
      </c>
      <c r="C1383" s="25" t="s">
        <v>8175</v>
      </c>
      <c r="D1383" s="25" t="s">
        <v>8176</v>
      </c>
      <c r="E1383" s="44" t="s">
        <v>8177</v>
      </c>
      <c r="F1383" s="28" t="s">
        <v>8178</v>
      </c>
      <c r="G1383" s="25">
        <v>6</v>
      </c>
      <c r="H1383" s="25">
        <v>3</v>
      </c>
      <c r="I1383" s="25" t="s">
        <v>605</v>
      </c>
      <c r="J1383" s="25" t="s">
        <v>539</v>
      </c>
      <c r="K1383" s="25" t="s">
        <v>1518</v>
      </c>
      <c r="L1383" s="167">
        <f t="shared" si="50"/>
        <v>892.85714285714278</v>
      </c>
      <c r="M1383" s="167">
        <f t="shared" si="51"/>
        <v>107.14285714285712</v>
      </c>
      <c r="N1383" s="167">
        <v>1000</v>
      </c>
      <c r="O1383" s="27" t="s">
        <v>8179</v>
      </c>
      <c r="P1383" s="25" t="s">
        <v>371</v>
      </c>
      <c r="Q1383" s="25" t="s">
        <v>225</v>
      </c>
      <c r="R1383" s="29"/>
    </row>
    <row r="1384" spans="1:18" x14ac:dyDescent="0.3">
      <c r="A1384" s="20">
        <v>45512</v>
      </c>
      <c r="B1384" s="32" t="s">
        <v>8180</v>
      </c>
      <c r="C1384" s="25" t="s">
        <v>273</v>
      </c>
      <c r="D1384" s="25" t="s">
        <v>8181</v>
      </c>
      <c r="E1384" s="44" t="s">
        <v>8182</v>
      </c>
      <c r="F1384" s="28" t="s">
        <v>8183</v>
      </c>
      <c r="G1384" s="25">
        <v>5</v>
      </c>
      <c r="H1384" s="25">
        <v>3</v>
      </c>
      <c r="I1384" s="25" t="s">
        <v>605</v>
      </c>
      <c r="J1384" s="25" t="s">
        <v>539</v>
      </c>
      <c r="K1384" s="25" t="s">
        <v>1518</v>
      </c>
      <c r="L1384" s="167">
        <f t="shared" si="50"/>
        <v>624.99999999999989</v>
      </c>
      <c r="M1384" s="167">
        <f t="shared" si="51"/>
        <v>74.999999999999986</v>
      </c>
      <c r="N1384" s="167">
        <v>700</v>
      </c>
      <c r="O1384" s="27" t="s">
        <v>8184</v>
      </c>
      <c r="P1384" s="25" t="s">
        <v>2832</v>
      </c>
      <c r="Q1384" s="25" t="s">
        <v>2022</v>
      </c>
      <c r="R1384" s="29">
        <v>2904</v>
      </c>
    </row>
    <row r="1385" spans="1:18" x14ac:dyDescent="0.3">
      <c r="A1385" s="20">
        <v>45512</v>
      </c>
      <c r="B1385" s="32" t="s">
        <v>8185</v>
      </c>
      <c r="C1385" s="25" t="s">
        <v>8186</v>
      </c>
      <c r="D1385" s="25" t="s">
        <v>8187</v>
      </c>
      <c r="E1385" s="44" t="s">
        <v>8188</v>
      </c>
      <c r="F1385" s="28" t="s">
        <v>8189</v>
      </c>
      <c r="G1385" s="25">
        <v>10</v>
      </c>
      <c r="H1385" s="25">
        <v>8</v>
      </c>
      <c r="I1385" s="25" t="s">
        <v>617</v>
      </c>
      <c r="J1385" s="25" t="s">
        <v>539</v>
      </c>
      <c r="K1385" s="25" t="s">
        <v>200</v>
      </c>
      <c r="L1385" s="167">
        <f t="shared" si="50"/>
        <v>2669.6428571428569</v>
      </c>
      <c r="M1385" s="167">
        <f t="shared" si="51"/>
        <v>320.35714285714283</v>
      </c>
      <c r="N1385" s="167">
        <v>2990</v>
      </c>
      <c r="O1385" s="27" t="s">
        <v>8190</v>
      </c>
      <c r="P1385" s="25" t="s">
        <v>569</v>
      </c>
      <c r="Q1385" s="25" t="s">
        <v>340</v>
      </c>
      <c r="R1385" s="29" t="s">
        <v>6655</v>
      </c>
    </row>
    <row r="1386" spans="1:18" x14ac:dyDescent="0.3">
      <c r="A1386" s="20">
        <v>45512</v>
      </c>
      <c r="B1386" s="32" t="s">
        <v>8191</v>
      </c>
      <c r="C1386" s="25" t="s">
        <v>8192</v>
      </c>
      <c r="D1386" s="25" t="s">
        <v>8193</v>
      </c>
      <c r="E1386" s="44" t="s">
        <v>8194</v>
      </c>
      <c r="F1386" s="28" t="s">
        <v>8195</v>
      </c>
      <c r="G1386" s="25">
        <v>5</v>
      </c>
      <c r="H1386" s="25">
        <v>3</v>
      </c>
      <c r="I1386" s="25" t="s">
        <v>605</v>
      </c>
      <c r="J1386" s="25" t="s">
        <v>539</v>
      </c>
      <c r="K1386" s="25" t="s">
        <v>1518</v>
      </c>
      <c r="L1386" s="167">
        <f t="shared" si="50"/>
        <v>624.99999999999989</v>
      </c>
      <c r="M1386" s="167">
        <f t="shared" si="51"/>
        <v>74.999999999999986</v>
      </c>
      <c r="N1386" s="167">
        <v>700</v>
      </c>
      <c r="O1386" s="27" t="s">
        <v>8196</v>
      </c>
      <c r="P1386" s="25" t="s">
        <v>371</v>
      </c>
      <c r="Q1386" s="25" t="s">
        <v>225</v>
      </c>
      <c r="R1386" s="29" t="s">
        <v>6554</v>
      </c>
    </row>
    <row r="1387" spans="1:18" x14ac:dyDescent="0.3">
      <c r="A1387" s="20">
        <v>45512</v>
      </c>
      <c r="B1387" s="32" t="s">
        <v>8197</v>
      </c>
      <c r="C1387" s="25" t="s">
        <v>8198</v>
      </c>
      <c r="D1387" s="25" t="s">
        <v>8199</v>
      </c>
      <c r="E1387" s="44" t="s">
        <v>8200</v>
      </c>
      <c r="F1387" s="28" t="s">
        <v>8201</v>
      </c>
      <c r="G1387" s="25">
        <v>12</v>
      </c>
      <c r="H1387" s="293">
        <v>10</v>
      </c>
      <c r="I1387" s="293" t="s">
        <v>605</v>
      </c>
      <c r="J1387" s="293" t="s">
        <v>539</v>
      </c>
      <c r="K1387" s="293"/>
      <c r="L1387" s="167">
        <f t="shared" si="50"/>
        <v>0</v>
      </c>
      <c r="M1387" s="167">
        <f t="shared" si="51"/>
        <v>0</v>
      </c>
      <c r="N1387" s="167">
        <v>0</v>
      </c>
      <c r="O1387" s="27" t="s">
        <v>8202</v>
      </c>
      <c r="P1387" s="25" t="s">
        <v>2865</v>
      </c>
      <c r="Q1387" s="25" t="s">
        <v>65</v>
      </c>
      <c r="R1387" s="29">
        <v>2904</v>
      </c>
    </row>
    <row r="1388" spans="1:18" x14ac:dyDescent="0.3">
      <c r="A1388" s="20">
        <v>45517</v>
      </c>
      <c r="B1388" s="32" t="s">
        <v>8203</v>
      </c>
      <c r="C1388" s="25" t="s">
        <v>8204</v>
      </c>
      <c r="D1388" s="25" t="s">
        <v>8205</v>
      </c>
      <c r="E1388" s="44" t="s">
        <v>8206</v>
      </c>
      <c r="F1388" s="28" t="s">
        <v>8207</v>
      </c>
      <c r="G1388" s="25">
        <v>5</v>
      </c>
      <c r="H1388" s="25">
        <v>3</v>
      </c>
      <c r="I1388" s="25" t="s">
        <v>3003</v>
      </c>
      <c r="J1388" s="25" t="s">
        <v>539</v>
      </c>
      <c r="K1388" s="25" t="s">
        <v>200</v>
      </c>
      <c r="L1388" s="167">
        <f t="shared" si="50"/>
        <v>1151.7857142857142</v>
      </c>
      <c r="M1388" s="167">
        <f t="shared" si="51"/>
        <v>138.21428571428569</v>
      </c>
      <c r="N1388" s="167">
        <v>1290</v>
      </c>
      <c r="O1388" s="27" t="s">
        <v>8208</v>
      </c>
      <c r="P1388" s="25" t="s">
        <v>6428</v>
      </c>
      <c r="Q1388" s="25" t="s">
        <v>65</v>
      </c>
      <c r="R1388" s="29" t="s">
        <v>6554</v>
      </c>
    </row>
    <row r="1389" spans="1:18" x14ac:dyDescent="0.3">
      <c r="A1389" s="20">
        <v>45517</v>
      </c>
      <c r="B1389" s="32" t="s">
        <v>8209</v>
      </c>
      <c r="C1389" s="25" t="s">
        <v>8210</v>
      </c>
      <c r="D1389" s="25" t="s">
        <v>8211</v>
      </c>
      <c r="E1389" s="44" t="s">
        <v>8212</v>
      </c>
      <c r="F1389" s="28" t="s">
        <v>8213</v>
      </c>
      <c r="G1389" s="25">
        <v>8</v>
      </c>
      <c r="H1389" s="25">
        <v>4</v>
      </c>
      <c r="I1389" s="25" t="s">
        <v>605</v>
      </c>
      <c r="J1389" s="25" t="s">
        <v>539</v>
      </c>
      <c r="K1389" s="25" t="s">
        <v>1518</v>
      </c>
      <c r="L1389" s="167">
        <f t="shared" si="50"/>
        <v>1598.2142857142856</v>
      </c>
      <c r="M1389" s="167">
        <f t="shared" si="51"/>
        <v>191.78571428571425</v>
      </c>
      <c r="N1389" s="167">
        <v>1790</v>
      </c>
      <c r="O1389" s="27" t="s">
        <v>8214</v>
      </c>
      <c r="P1389" s="25" t="s">
        <v>2865</v>
      </c>
      <c r="Q1389" s="25" t="s">
        <v>65</v>
      </c>
      <c r="R1389" s="29"/>
    </row>
    <row r="1390" spans="1:18" x14ac:dyDescent="0.3">
      <c r="A1390" s="20">
        <v>45517</v>
      </c>
      <c r="B1390" s="32" t="s">
        <v>8215</v>
      </c>
      <c r="C1390" s="25" t="s">
        <v>8216</v>
      </c>
      <c r="D1390" s="25" t="s">
        <v>8217</v>
      </c>
      <c r="E1390" s="44" t="s">
        <v>8218</v>
      </c>
      <c r="F1390" s="28" t="s">
        <v>8219</v>
      </c>
      <c r="G1390" s="25">
        <v>3</v>
      </c>
      <c r="H1390" s="25">
        <v>2</v>
      </c>
      <c r="I1390" s="25" t="s">
        <v>605</v>
      </c>
      <c r="J1390" s="25" t="s">
        <v>539</v>
      </c>
      <c r="K1390" s="25" t="s">
        <v>980</v>
      </c>
      <c r="L1390" s="167">
        <f t="shared" si="50"/>
        <v>535.71428571428567</v>
      </c>
      <c r="M1390" s="167">
        <f t="shared" si="51"/>
        <v>64.285714285714278</v>
      </c>
      <c r="N1390" s="167">
        <v>600</v>
      </c>
      <c r="O1390" s="27" t="s">
        <v>8220</v>
      </c>
      <c r="P1390" s="25" t="s">
        <v>2022</v>
      </c>
      <c r="Q1390" s="25" t="s">
        <v>2022</v>
      </c>
      <c r="R1390" s="29" t="s">
        <v>6554</v>
      </c>
    </row>
    <row r="1391" spans="1:18" x14ac:dyDescent="0.3">
      <c r="A1391" s="20">
        <v>45517</v>
      </c>
      <c r="B1391" s="32" t="s">
        <v>8221</v>
      </c>
      <c r="C1391" s="25" t="s">
        <v>8222</v>
      </c>
      <c r="D1391" s="25" t="s">
        <v>8223</v>
      </c>
      <c r="E1391" s="44" t="s">
        <v>8224</v>
      </c>
      <c r="F1391" s="28" t="s">
        <v>8225</v>
      </c>
      <c r="G1391" s="25">
        <v>7</v>
      </c>
      <c r="H1391" s="25">
        <v>5</v>
      </c>
      <c r="I1391" s="25" t="s">
        <v>617</v>
      </c>
      <c r="J1391" s="25" t="s">
        <v>539</v>
      </c>
      <c r="K1391" s="25" t="s">
        <v>200</v>
      </c>
      <c r="L1391" s="167">
        <f t="shared" si="50"/>
        <v>1249.9999999999998</v>
      </c>
      <c r="M1391" s="167">
        <f t="shared" si="51"/>
        <v>149.99999999999997</v>
      </c>
      <c r="N1391" s="167">
        <v>1400</v>
      </c>
      <c r="O1391" s="27" t="s">
        <v>8226</v>
      </c>
      <c r="P1391" s="25" t="s">
        <v>225</v>
      </c>
      <c r="Q1391" s="25" t="s">
        <v>225</v>
      </c>
      <c r="R1391" s="29" t="s">
        <v>6554</v>
      </c>
    </row>
    <row r="1392" spans="1:18" x14ac:dyDescent="0.3">
      <c r="A1392" s="20">
        <v>45518</v>
      </c>
      <c r="B1392" s="32" t="s">
        <v>8227</v>
      </c>
      <c r="C1392" s="25" t="s">
        <v>8228</v>
      </c>
      <c r="D1392" s="25" t="s">
        <v>8229</v>
      </c>
      <c r="E1392" s="44" t="s">
        <v>8230</v>
      </c>
      <c r="F1392" s="28" t="s">
        <v>8231</v>
      </c>
      <c r="G1392" s="25">
        <v>7</v>
      </c>
      <c r="H1392" s="25">
        <v>5</v>
      </c>
      <c r="I1392" s="25" t="s">
        <v>605</v>
      </c>
      <c r="J1392" s="25" t="s">
        <v>539</v>
      </c>
      <c r="K1392" s="25" t="s">
        <v>200</v>
      </c>
      <c r="L1392" s="167">
        <f t="shared" si="50"/>
        <v>1776.7857142857142</v>
      </c>
      <c r="M1392" s="167">
        <f t="shared" si="51"/>
        <v>213.21428571428569</v>
      </c>
      <c r="N1392" s="167">
        <v>1990</v>
      </c>
      <c r="O1392" s="27" t="s">
        <v>8232</v>
      </c>
      <c r="P1392" s="25" t="s">
        <v>5743</v>
      </c>
      <c r="Q1392" s="25" t="s">
        <v>65</v>
      </c>
      <c r="R1392" s="29">
        <v>2904</v>
      </c>
    </row>
    <row r="1393" spans="1:18" x14ac:dyDescent="0.3">
      <c r="A1393" s="20">
        <v>45518</v>
      </c>
      <c r="B1393" s="32" t="s">
        <v>8233</v>
      </c>
      <c r="C1393" s="25" t="s">
        <v>8234</v>
      </c>
      <c r="D1393" s="25" t="s">
        <v>8235</v>
      </c>
      <c r="E1393" s="44" t="s">
        <v>8236</v>
      </c>
      <c r="F1393" s="46" t="s">
        <v>8237</v>
      </c>
      <c r="G1393" s="25">
        <v>5</v>
      </c>
      <c r="H1393" s="25">
        <v>2</v>
      </c>
      <c r="I1393" s="25" t="s">
        <v>605</v>
      </c>
      <c r="J1393" s="25" t="s">
        <v>539</v>
      </c>
      <c r="K1393" s="25" t="s">
        <v>2488</v>
      </c>
      <c r="L1393" s="167">
        <f t="shared" si="50"/>
        <v>624.99999999999989</v>
      </c>
      <c r="M1393" s="167">
        <f t="shared" si="51"/>
        <v>74.999999999999986</v>
      </c>
      <c r="N1393" s="167">
        <v>700</v>
      </c>
      <c r="O1393" s="27" t="s">
        <v>8238</v>
      </c>
      <c r="P1393" s="25" t="s">
        <v>1482</v>
      </c>
      <c r="Q1393" s="25" t="s">
        <v>3026</v>
      </c>
      <c r="R1393" s="29" t="s">
        <v>6554</v>
      </c>
    </row>
    <row r="1394" spans="1:18" x14ac:dyDescent="0.3">
      <c r="A1394" s="20">
        <v>45518</v>
      </c>
      <c r="B1394" s="32" t="s">
        <v>8239</v>
      </c>
      <c r="C1394" s="25" t="s">
        <v>8240</v>
      </c>
      <c r="D1394" s="25" t="s">
        <v>8241</v>
      </c>
      <c r="E1394" s="44" t="s">
        <v>8242</v>
      </c>
      <c r="F1394" s="28" t="s">
        <v>8243</v>
      </c>
      <c r="G1394" s="25">
        <v>6</v>
      </c>
      <c r="H1394" s="25">
        <v>5</v>
      </c>
      <c r="I1394" s="25" t="s">
        <v>3003</v>
      </c>
      <c r="J1394" s="25" t="s">
        <v>539</v>
      </c>
      <c r="K1394" s="25" t="s">
        <v>200</v>
      </c>
      <c r="L1394" s="167">
        <f t="shared" si="50"/>
        <v>1776.7857142857142</v>
      </c>
      <c r="M1394" s="167">
        <f t="shared" si="51"/>
        <v>213.21428571428569</v>
      </c>
      <c r="N1394" s="167">
        <v>1990</v>
      </c>
      <c r="O1394" s="27" t="s">
        <v>8244</v>
      </c>
      <c r="P1394" s="25" t="s">
        <v>2832</v>
      </c>
      <c r="Q1394" s="25" t="s">
        <v>3026</v>
      </c>
      <c r="R1394" s="29" t="s">
        <v>7397</v>
      </c>
    </row>
    <row r="1395" spans="1:18" x14ac:dyDescent="0.3">
      <c r="A1395" s="20">
        <v>45518</v>
      </c>
      <c r="B1395" s="32" t="s">
        <v>8245</v>
      </c>
      <c r="C1395" s="25" t="s">
        <v>8246</v>
      </c>
      <c r="D1395" s="55" t="s">
        <v>8247</v>
      </c>
      <c r="E1395" s="135" t="s">
        <v>8248</v>
      </c>
      <c r="F1395" s="28" t="s">
        <v>8249</v>
      </c>
      <c r="G1395" s="191">
        <v>6</v>
      </c>
      <c r="H1395" s="25">
        <v>4</v>
      </c>
      <c r="I1395" s="25" t="s">
        <v>605</v>
      </c>
      <c r="J1395" s="25" t="s">
        <v>539</v>
      </c>
      <c r="K1395" s="25" t="s">
        <v>199</v>
      </c>
      <c r="L1395" s="167">
        <f t="shared" si="50"/>
        <v>937.49999999999989</v>
      </c>
      <c r="M1395" s="167">
        <f t="shared" si="51"/>
        <v>112.49999999999999</v>
      </c>
      <c r="N1395" s="167">
        <v>1050</v>
      </c>
      <c r="O1395" s="27" t="s">
        <v>8250</v>
      </c>
      <c r="P1395" s="25" t="s">
        <v>2804</v>
      </c>
      <c r="Q1395" s="25" t="s">
        <v>225</v>
      </c>
      <c r="R1395" s="29">
        <v>9060</v>
      </c>
    </row>
    <row r="1396" spans="1:18" x14ac:dyDescent="0.3">
      <c r="A1396" s="20">
        <v>45519</v>
      </c>
      <c r="B1396" s="32" t="s">
        <v>8251</v>
      </c>
      <c r="C1396" s="25" t="s">
        <v>8252</v>
      </c>
      <c r="D1396" s="25" t="s">
        <v>8253</v>
      </c>
      <c r="E1396" s="44" t="s">
        <v>8254</v>
      </c>
      <c r="F1396" s="28" t="s">
        <v>8255</v>
      </c>
      <c r="G1396" s="25">
        <v>7</v>
      </c>
      <c r="H1396" s="25">
        <v>4</v>
      </c>
      <c r="I1396" s="25" t="s">
        <v>605</v>
      </c>
      <c r="J1396" s="25" t="s">
        <v>539</v>
      </c>
      <c r="K1396" s="25" t="s">
        <v>199</v>
      </c>
      <c r="L1396" s="167">
        <v>892.85714285714278</v>
      </c>
      <c r="M1396" s="167">
        <v>107.14285714285712</v>
      </c>
      <c r="N1396" s="167">
        <v>1000</v>
      </c>
      <c r="O1396" s="27" t="s">
        <v>8256</v>
      </c>
      <c r="P1396" s="25" t="s">
        <v>6059</v>
      </c>
      <c r="Q1396" s="25" t="s">
        <v>782</v>
      </c>
      <c r="R1396" s="29">
        <v>8000</v>
      </c>
    </row>
    <row r="1397" spans="1:18" x14ac:dyDescent="0.3">
      <c r="A1397" s="20">
        <v>45519</v>
      </c>
      <c r="B1397" s="32" t="s">
        <v>8257</v>
      </c>
      <c r="C1397" s="25" t="s">
        <v>8258</v>
      </c>
      <c r="D1397" s="55" t="s">
        <v>7596</v>
      </c>
      <c r="E1397" s="135" t="s">
        <v>8259</v>
      </c>
      <c r="F1397" s="28" t="s">
        <v>8260</v>
      </c>
      <c r="G1397" s="191">
        <v>6</v>
      </c>
      <c r="H1397" s="25">
        <v>8</v>
      </c>
      <c r="I1397" s="25" t="s">
        <v>8261</v>
      </c>
      <c r="J1397" s="25" t="s">
        <v>539</v>
      </c>
      <c r="K1397" s="25" t="s">
        <v>199</v>
      </c>
      <c r="L1397" s="167">
        <v>2669.6428571428569</v>
      </c>
      <c r="M1397" s="167">
        <v>320.35714285714283</v>
      </c>
      <c r="N1397" s="167">
        <v>2990</v>
      </c>
      <c r="O1397" s="27" t="s">
        <v>8262</v>
      </c>
      <c r="P1397" s="25" t="s">
        <v>335</v>
      </c>
      <c r="Q1397" s="25" t="s">
        <v>65</v>
      </c>
      <c r="R1397" s="29">
        <v>8000</v>
      </c>
    </row>
    <row r="1398" spans="1:18" x14ac:dyDescent="0.3">
      <c r="A1398" s="20">
        <v>45520</v>
      </c>
      <c r="B1398" s="32" t="s">
        <v>8263</v>
      </c>
      <c r="C1398" s="25" t="s">
        <v>8264</v>
      </c>
      <c r="D1398" s="25" t="s">
        <v>8265</v>
      </c>
      <c r="E1398" s="44" t="s">
        <v>8266</v>
      </c>
      <c r="F1398" s="28" t="s">
        <v>8267</v>
      </c>
      <c r="G1398" s="25"/>
      <c r="H1398" s="25">
        <v>5</v>
      </c>
      <c r="I1398" s="25" t="s">
        <v>3003</v>
      </c>
      <c r="J1398" s="25" t="s">
        <v>539</v>
      </c>
      <c r="K1398" s="25" t="s">
        <v>199</v>
      </c>
      <c r="L1398" s="167">
        <v>1517.8571428571427</v>
      </c>
      <c r="M1398" s="167">
        <v>182.14285714285711</v>
      </c>
      <c r="N1398" s="167">
        <v>1700</v>
      </c>
      <c r="O1398" s="27" t="s">
        <v>8268</v>
      </c>
      <c r="P1398" s="25" t="s">
        <v>371</v>
      </c>
      <c r="Q1398" s="25" t="s">
        <v>3026</v>
      </c>
      <c r="R1398" s="29" t="s">
        <v>8269</v>
      </c>
    </row>
    <row r="1399" spans="1:18" x14ac:dyDescent="0.3">
      <c r="A1399" s="20">
        <v>45520</v>
      </c>
      <c r="B1399" s="32" t="s">
        <v>8270</v>
      </c>
      <c r="C1399" s="25" t="s">
        <v>8271</v>
      </c>
      <c r="D1399" s="25" t="s">
        <v>8272</v>
      </c>
      <c r="E1399" s="44" t="s">
        <v>8273</v>
      </c>
      <c r="F1399" s="28" t="s">
        <v>8274</v>
      </c>
      <c r="G1399" s="25">
        <v>10</v>
      </c>
      <c r="H1399" s="25">
        <v>5</v>
      </c>
      <c r="I1399" s="25" t="s">
        <v>617</v>
      </c>
      <c r="J1399" s="25" t="s">
        <v>539</v>
      </c>
      <c r="K1399" s="25" t="s">
        <v>980</v>
      </c>
      <c r="L1399" s="167">
        <v>2669.6428571428569</v>
      </c>
      <c r="M1399" s="167">
        <v>320.35714285714283</v>
      </c>
      <c r="N1399" s="167">
        <v>2990</v>
      </c>
      <c r="O1399" s="27" t="s">
        <v>8275</v>
      </c>
      <c r="P1399" s="25" t="s">
        <v>2832</v>
      </c>
      <c r="Q1399" s="25" t="s">
        <v>340</v>
      </c>
      <c r="R1399" s="29" t="s">
        <v>6554</v>
      </c>
    </row>
    <row r="1400" spans="1:18" x14ac:dyDescent="0.3">
      <c r="A1400" s="20">
        <v>45520</v>
      </c>
      <c r="B1400" s="32" t="s">
        <v>8276</v>
      </c>
      <c r="C1400" s="25" t="s">
        <v>8277</v>
      </c>
      <c r="D1400" s="25" t="s">
        <v>8278</v>
      </c>
      <c r="E1400" s="44" t="s">
        <v>8279</v>
      </c>
      <c r="F1400" s="28" t="s">
        <v>8280</v>
      </c>
      <c r="G1400" s="25">
        <v>8</v>
      </c>
      <c r="H1400" s="25">
        <v>7</v>
      </c>
      <c r="I1400" s="25" t="s">
        <v>617</v>
      </c>
      <c r="J1400" s="25" t="s">
        <v>539</v>
      </c>
      <c r="K1400" s="25" t="s">
        <v>199</v>
      </c>
      <c r="L1400" s="167">
        <v>2669.6428571428569</v>
      </c>
      <c r="M1400" s="167">
        <v>320.35714285714283</v>
      </c>
      <c r="N1400" s="167">
        <v>2990</v>
      </c>
      <c r="O1400" s="27" t="s">
        <v>8281</v>
      </c>
      <c r="P1400" s="25" t="s">
        <v>6428</v>
      </c>
      <c r="Q1400" s="25" t="s">
        <v>225</v>
      </c>
      <c r="R1400" s="29" t="s">
        <v>6554</v>
      </c>
    </row>
    <row r="1401" spans="1:18" x14ac:dyDescent="0.3">
      <c r="A1401" s="20">
        <v>45520</v>
      </c>
      <c r="B1401" s="32" t="s">
        <v>8282</v>
      </c>
      <c r="C1401" s="25" t="s">
        <v>8283</v>
      </c>
      <c r="D1401" s="25" t="s">
        <v>8284</v>
      </c>
      <c r="E1401" s="44" t="s">
        <v>8285</v>
      </c>
      <c r="F1401" s="28" t="s">
        <v>8286</v>
      </c>
      <c r="G1401" s="25">
        <v>5</v>
      </c>
      <c r="H1401" s="25">
        <v>3</v>
      </c>
      <c r="I1401" s="25" t="s">
        <v>605</v>
      </c>
      <c r="J1401" s="25" t="s">
        <v>539</v>
      </c>
      <c r="K1401" s="25" t="s">
        <v>199</v>
      </c>
      <c r="L1401" s="167">
        <v>624.99999999999989</v>
      </c>
      <c r="M1401" s="167">
        <v>74.999999999999986</v>
      </c>
      <c r="N1401" s="167">
        <v>700</v>
      </c>
      <c r="O1401" s="27" t="s">
        <v>8287</v>
      </c>
      <c r="P1401" s="25" t="s">
        <v>2832</v>
      </c>
      <c r="Q1401" s="25" t="s">
        <v>225</v>
      </c>
      <c r="R1401" s="29" t="s">
        <v>6554</v>
      </c>
    </row>
    <row r="1402" spans="1:18" x14ac:dyDescent="0.3">
      <c r="A1402" s="20">
        <v>45521</v>
      </c>
      <c r="B1402" s="32" t="s">
        <v>8288</v>
      </c>
      <c r="C1402" s="25" t="s">
        <v>8289</v>
      </c>
      <c r="D1402" s="25" t="s">
        <v>8290</v>
      </c>
      <c r="E1402" s="44" t="s">
        <v>8291</v>
      </c>
      <c r="F1402" s="28" t="s">
        <v>8292</v>
      </c>
      <c r="G1402" s="25">
        <v>6</v>
      </c>
      <c r="H1402" s="25">
        <v>4</v>
      </c>
      <c r="I1402" s="25" t="s">
        <v>3003</v>
      </c>
      <c r="J1402" s="25" t="s">
        <v>539</v>
      </c>
      <c r="K1402" s="25" t="s">
        <v>199</v>
      </c>
      <c r="L1402" s="167">
        <v>982.142857142857</v>
      </c>
      <c r="M1402" s="167">
        <v>117.85714285714283</v>
      </c>
      <c r="N1402" s="167">
        <v>1100</v>
      </c>
      <c r="O1402" s="27" t="s">
        <v>8293</v>
      </c>
      <c r="P1402" s="25" t="s">
        <v>1482</v>
      </c>
      <c r="Q1402" s="25" t="s">
        <v>3026</v>
      </c>
      <c r="R1402" s="29">
        <v>8000</v>
      </c>
    </row>
    <row r="1403" spans="1:18" x14ac:dyDescent="0.3">
      <c r="A1403" s="20">
        <v>45521</v>
      </c>
      <c r="B1403" s="32" t="s">
        <v>8294</v>
      </c>
      <c r="C1403" s="25" t="s">
        <v>8295</v>
      </c>
      <c r="D1403" s="25" t="s">
        <v>8296</v>
      </c>
      <c r="E1403" s="44" t="s">
        <v>8297</v>
      </c>
      <c r="F1403" s="28" t="s">
        <v>8298</v>
      </c>
      <c r="G1403" s="25">
        <v>5</v>
      </c>
      <c r="H1403" s="25">
        <v>5</v>
      </c>
      <c r="I1403" s="25" t="s">
        <v>3003</v>
      </c>
      <c r="J1403" s="25" t="s">
        <v>539</v>
      </c>
      <c r="K1403" s="25" t="s">
        <v>199</v>
      </c>
      <c r="L1403" s="167">
        <v>1776.7857142857142</v>
      </c>
      <c r="M1403" s="167">
        <v>213.21428571428569</v>
      </c>
      <c r="N1403" s="167">
        <v>1990</v>
      </c>
      <c r="O1403" s="27" t="s">
        <v>8299</v>
      </c>
      <c r="P1403" s="168" t="s">
        <v>569</v>
      </c>
      <c r="Q1403" s="25" t="s">
        <v>65</v>
      </c>
      <c r="R1403" s="29">
        <v>2904</v>
      </c>
    </row>
    <row r="1404" spans="1:18" x14ac:dyDescent="0.3">
      <c r="A1404" s="20">
        <v>45521</v>
      </c>
      <c r="B1404" s="32" t="s">
        <v>8300</v>
      </c>
      <c r="C1404" s="25" t="s">
        <v>7008</v>
      </c>
      <c r="D1404" s="25" t="s">
        <v>8301</v>
      </c>
      <c r="E1404" s="44" t="s">
        <v>8302</v>
      </c>
      <c r="F1404" s="28" t="s">
        <v>8303</v>
      </c>
      <c r="G1404" s="58">
        <v>10</v>
      </c>
      <c r="H1404" s="193">
        <v>10</v>
      </c>
      <c r="I1404" s="38"/>
      <c r="J1404" s="38"/>
      <c r="K1404" s="38"/>
      <c r="L1404" s="167">
        <v>0</v>
      </c>
      <c r="M1404" s="167">
        <v>0</v>
      </c>
      <c r="N1404" s="167">
        <v>0</v>
      </c>
      <c r="O1404" s="49" t="s">
        <v>8304</v>
      </c>
      <c r="P1404" s="35" t="s">
        <v>2832</v>
      </c>
      <c r="Q1404" s="25" t="s">
        <v>340</v>
      </c>
      <c r="R1404" s="294" t="s">
        <v>6554</v>
      </c>
    </row>
    <row r="1405" spans="1:18" x14ac:dyDescent="0.3">
      <c r="A1405" s="20">
        <v>45524</v>
      </c>
      <c r="B1405" s="32" t="s">
        <v>8305</v>
      </c>
      <c r="C1405" s="25" t="s">
        <v>8306</v>
      </c>
      <c r="D1405" s="25" t="s">
        <v>8307</v>
      </c>
      <c r="E1405" s="29" t="s">
        <v>8308</v>
      </c>
      <c r="F1405" s="25">
        <v>985373491</v>
      </c>
      <c r="G1405" s="25">
        <v>6</v>
      </c>
      <c r="H1405" s="58">
        <v>3</v>
      </c>
      <c r="I1405" s="194" t="s">
        <v>605</v>
      </c>
      <c r="J1405" s="194" t="s">
        <v>539</v>
      </c>
      <c r="K1405" s="194" t="s">
        <v>200</v>
      </c>
      <c r="L1405" s="167">
        <f t="shared" si="50"/>
        <v>803.57142857142844</v>
      </c>
      <c r="M1405" s="167">
        <f t="shared" si="51"/>
        <v>96.428571428571416</v>
      </c>
      <c r="N1405" s="167">
        <v>900</v>
      </c>
      <c r="O1405" s="27" t="s">
        <v>8309</v>
      </c>
      <c r="P1405" s="35" t="s">
        <v>2804</v>
      </c>
      <c r="Q1405" s="35" t="s">
        <v>65</v>
      </c>
      <c r="R1405" s="25" t="s">
        <v>8310</v>
      </c>
    </row>
    <row r="1406" spans="1:18" x14ac:dyDescent="0.3">
      <c r="A1406" s="20">
        <v>45524</v>
      </c>
      <c r="B1406" s="32" t="s">
        <v>8311</v>
      </c>
      <c r="C1406" s="25" t="s">
        <v>6166</v>
      </c>
      <c r="D1406" s="25" t="s">
        <v>8312</v>
      </c>
      <c r="E1406" s="44" t="s">
        <v>8313</v>
      </c>
      <c r="F1406" s="28" t="s">
        <v>8314</v>
      </c>
      <c r="G1406" s="25">
        <v>12</v>
      </c>
      <c r="H1406" s="58">
        <v>12</v>
      </c>
      <c r="I1406" s="58" t="s">
        <v>605</v>
      </c>
      <c r="J1406" s="58" t="s">
        <v>539</v>
      </c>
      <c r="K1406" s="58" t="s">
        <v>980</v>
      </c>
      <c r="L1406" s="167">
        <f t="shared" si="50"/>
        <v>3562.4999999999995</v>
      </c>
      <c r="M1406" s="167">
        <f t="shared" si="51"/>
        <v>427.49999999999994</v>
      </c>
      <c r="N1406" s="167">
        <v>3990</v>
      </c>
      <c r="O1406" s="27" t="s">
        <v>8315</v>
      </c>
      <c r="P1406" s="35" t="s">
        <v>2865</v>
      </c>
      <c r="Q1406" s="35" t="s">
        <v>782</v>
      </c>
      <c r="R1406" s="25" t="s">
        <v>6554</v>
      </c>
    </row>
    <row r="1407" spans="1:18" x14ac:dyDescent="0.3">
      <c r="A1407" s="20">
        <v>45525</v>
      </c>
      <c r="B1407" s="32" t="s">
        <v>8316</v>
      </c>
      <c r="C1407" s="25" t="s">
        <v>8317</v>
      </c>
      <c r="D1407" s="25" t="s">
        <v>8318</v>
      </c>
      <c r="E1407" s="44" t="s">
        <v>8319</v>
      </c>
      <c r="F1407" s="28" t="s">
        <v>8320</v>
      </c>
      <c r="G1407" s="25">
        <v>5</v>
      </c>
      <c r="H1407" s="58">
        <v>3</v>
      </c>
      <c r="I1407" s="58" t="s">
        <v>605</v>
      </c>
      <c r="J1407" s="58" t="s">
        <v>539</v>
      </c>
      <c r="K1407" s="58" t="s">
        <v>200</v>
      </c>
      <c r="L1407" s="167">
        <f t="shared" si="50"/>
        <v>937.49999999999989</v>
      </c>
      <c r="M1407" s="167">
        <f t="shared" si="51"/>
        <v>112.49999999999999</v>
      </c>
      <c r="N1407" s="167">
        <v>1050</v>
      </c>
      <c r="O1407" s="27" t="s">
        <v>8321</v>
      </c>
      <c r="P1407" s="35" t="s">
        <v>1482</v>
      </c>
      <c r="Q1407" s="35" t="s">
        <v>225</v>
      </c>
      <c r="R1407" s="25"/>
    </row>
    <row r="1408" spans="1:18" x14ac:dyDescent="0.3">
      <c r="A1408" s="20">
        <v>45525</v>
      </c>
      <c r="B1408" s="32" t="s">
        <v>8322</v>
      </c>
      <c r="C1408" s="25" t="s">
        <v>8323</v>
      </c>
      <c r="D1408" s="25" t="s">
        <v>8324</v>
      </c>
      <c r="E1408" s="44" t="s">
        <v>8325</v>
      </c>
      <c r="F1408" s="28" t="s">
        <v>8326</v>
      </c>
      <c r="G1408" s="25">
        <v>6</v>
      </c>
      <c r="H1408" s="43">
        <v>3</v>
      </c>
      <c r="I1408" s="43" t="s">
        <v>605</v>
      </c>
      <c r="J1408" s="43" t="s">
        <v>539</v>
      </c>
      <c r="K1408" s="43" t="s">
        <v>199</v>
      </c>
      <c r="L1408" s="167">
        <f t="shared" si="50"/>
        <v>892.85714285714278</v>
      </c>
      <c r="M1408" s="167">
        <f t="shared" si="51"/>
        <v>107.14285714285712</v>
      </c>
      <c r="N1408" s="167">
        <v>1000</v>
      </c>
      <c r="O1408" s="27" t="s">
        <v>8327</v>
      </c>
      <c r="P1408" s="35" t="s">
        <v>6428</v>
      </c>
      <c r="Q1408" s="35" t="s">
        <v>6428</v>
      </c>
      <c r="R1408" s="29" t="s">
        <v>6554</v>
      </c>
    </row>
    <row r="1409" spans="1:18" x14ac:dyDescent="0.3">
      <c r="A1409" s="20">
        <v>45525</v>
      </c>
      <c r="B1409" s="32" t="s">
        <v>8328</v>
      </c>
      <c r="C1409" s="25" t="s">
        <v>8329</v>
      </c>
      <c r="D1409" s="25" t="s">
        <v>8330</v>
      </c>
      <c r="E1409" s="44" t="s">
        <v>8331</v>
      </c>
      <c r="F1409" s="28" t="s">
        <v>8332</v>
      </c>
      <c r="G1409" s="25">
        <v>7</v>
      </c>
      <c r="H1409" s="43">
        <v>5</v>
      </c>
      <c r="I1409" s="43" t="s">
        <v>605</v>
      </c>
      <c r="J1409" s="43" t="s">
        <v>539</v>
      </c>
      <c r="K1409" s="43" t="s">
        <v>1518</v>
      </c>
      <c r="L1409" s="167">
        <f t="shared" si="50"/>
        <v>1071.4285714285713</v>
      </c>
      <c r="M1409" s="167">
        <f t="shared" si="51"/>
        <v>128.57142857142856</v>
      </c>
      <c r="N1409" s="167">
        <v>1200</v>
      </c>
      <c r="O1409" s="27" t="s">
        <v>8333</v>
      </c>
      <c r="P1409" s="35" t="s">
        <v>2804</v>
      </c>
      <c r="Q1409" s="35" t="s">
        <v>782</v>
      </c>
      <c r="R1409" s="29" t="s">
        <v>6554</v>
      </c>
    </row>
    <row r="1410" spans="1:18" x14ac:dyDescent="0.3">
      <c r="A1410" s="20">
        <v>45525</v>
      </c>
      <c r="B1410" s="32" t="s">
        <v>8334</v>
      </c>
      <c r="C1410" s="25" t="s">
        <v>8335</v>
      </c>
      <c r="D1410" s="25" t="s">
        <v>8336</v>
      </c>
      <c r="E1410" s="44" t="s">
        <v>8337</v>
      </c>
      <c r="F1410" s="28" t="s">
        <v>8338</v>
      </c>
      <c r="G1410" s="25">
        <v>5</v>
      </c>
      <c r="H1410" s="43">
        <v>5</v>
      </c>
      <c r="I1410" s="43" t="s">
        <v>617</v>
      </c>
      <c r="J1410" s="43" t="s">
        <v>539</v>
      </c>
      <c r="K1410" s="43" t="s">
        <v>1586</v>
      </c>
      <c r="L1410" s="167">
        <f t="shared" si="50"/>
        <v>1776.7857142857142</v>
      </c>
      <c r="M1410" s="167">
        <f t="shared" si="51"/>
        <v>213.21428571428569</v>
      </c>
      <c r="N1410" s="167">
        <v>1990</v>
      </c>
      <c r="O1410" s="27" t="s">
        <v>8339</v>
      </c>
      <c r="P1410" s="35" t="s">
        <v>6059</v>
      </c>
      <c r="Q1410" s="35" t="s">
        <v>225</v>
      </c>
      <c r="R1410" s="29" t="s">
        <v>6554</v>
      </c>
    </row>
    <row r="1411" spans="1:18" x14ac:dyDescent="0.3">
      <c r="A1411" s="20">
        <v>45525</v>
      </c>
      <c r="B1411" s="32" t="s">
        <v>8340</v>
      </c>
      <c r="C1411" s="25" t="s">
        <v>8341</v>
      </c>
      <c r="D1411" s="25" t="s">
        <v>8342</v>
      </c>
      <c r="E1411" s="44" t="s">
        <v>8343</v>
      </c>
      <c r="F1411" s="28" t="s">
        <v>8344</v>
      </c>
      <c r="G1411" s="25">
        <v>7</v>
      </c>
      <c r="H1411" s="25">
        <v>4</v>
      </c>
      <c r="I1411" s="25" t="s">
        <v>3003</v>
      </c>
      <c r="J1411" s="25" t="s">
        <v>539</v>
      </c>
      <c r="K1411" s="25" t="s">
        <v>980</v>
      </c>
      <c r="L1411" s="167">
        <f t="shared" si="50"/>
        <v>982.142857142857</v>
      </c>
      <c r="M1411" s="167">
        <f t="shared" si="51"/>
        <v>117.85714285714283</v>
      </c>
      <c r="N1411" s="167">
        <v>1100</v>
      </c>
      <c r="O1411" s="27" t="s">
        <v>8345</v>
      </c>
      <c r="P1411" s="35" t="s">
        <v>569</v>
      </c>
      <c r="Q1411" s="35" t="s">
        <v>3026</v>
      </c>
      <c r="R1411" s="29" t="s">
        <v>6655</v>
      </c>
    </row>
    <row r="1412" spans="1:18" x14ac:dyDescent="0.3">
      <c r="A1412" s="20">
        <v>45525</v>
      </c>
      <c r="B1412" s="32" t="s">
        <v>8346</v>
      </c>
      <c r="C1412" s="25" t="s">
        <v>8347</v>
      </c>
      <c r="D1412" s="25" t="s">
        <v>8348</v>
      </c>
      <c r="E1412" s="44" t="s">
        <v>8349</v>
      </c>
      <c r="F1412" s="28" t="s">
        <v>8350</v>
      </c>
      <c r="G1412" s="25">
        <v>10</v>
      </c>
      <c r="H1412" s="25">
        <v>5</v>
      </c>
      <c r="I1412" s="25" t="s">
        <v>605</v>
      </c>
      <c r="J1412" s="25" t="s">
        <v>539</v>
      </c>
      <c r="K1412" s="25" t="s">
        <v>199</v>
      </c>
      <c r="L1412" s="167">
        <f t="shared" si="50"/>
        <v>3562.4999999999995</v>
      </c>
      <c r="M1412" s="167">
        <f t="shared" si="51"/>
        <v>427.49999999999994</v>
      </c>
      <c r="N1412" s="167">
        <v>3990</v>
      </c>
      <c r="O1412" s="27" t="s">
        <v>8351</v>
      </c>
      <c r="P1412" s="25" t="s">
        <v>2832</v>
      </c>
      <c r="Q1412" s="25" t="s">
        <v>340</v>
      </c>
      <c r="R1412" s="29" t="s">
        <v>7982</v>
      </c>
    </row>
    <row r="1413" spans="1:18" x14ac:dyDescent="0.3">
      <c r="A1413" s="20">
        <v>45526</v>
      </c>
      <c r="B1413" s="32" t="s">
        <v>8352</v>
      </c>
      <c r="C1413" s="25" t="s">
        <v>8353</v>
      </c>
      <c r="D1413" s="25" t="s">
        <v>8354</v>
      </c>
      <c r="E1413" s="44" t="s">
        <v>8355</v>
      </c>
      <c r="F1413" s="28" t="s">
        <v>8356</v>
      </c>
      <c r="G1413" s="25">
        <v>7</v>
      </c>
      <c r="H1413" s="25">
        <v>3</v>
      </c>
      <c r="I1413" s="25" t="s">
        <v>617</v>
      </c>
      <c r="J1413" s="25" t="s">
        <v>539</v>
      </c>
      <c r="K1413" s="25" t="s">
        <v>1586</v>
      </c>
      <c r="L1413" s="167">
        <f t="shared" si="50"/>
        <v>937.49999999999989</v>
      </c>
      <c r="M1413" s="167">
        <f t="shared" si="51"/>
        <v>112.49999999999999</v>
      </c>
      <c r="N1413" s="167">
        <v>1050</v>
      </c>
      <c r="O1413" s="27" t="s">
        <v>8357</v>
      </c>
      <c r="P1413" s="25" t="s">
        <v>2865</v>
      </c>
      <c r="Q1413" s="25" t="s">
        <v>65</v>
      </c>
      <c r="R1413" s="29" t="s">
        <v>6655</v>
      </c>
    </row>
    <row r="1414" spans="1:18" x14ac:dyDescent="0.3">
      <c r="A1414" s="20">
        <v>45527</v>
      </c>
      <c r="B1414" s="32" t="s">
        <v>8358</v>
      </c>
      <c r="C1414" s="25" t="s">
        <v>8359</v>
      </c>
      <c r="D1414" s="25" t="s">
        <v>8360</v>
      </c>
      <c r="E1414" s="44" t="s">
        <v>8361</v>
      </c>
      <c r="F1414" s="28" t="s">
        <v>8362</v>
      </c>
      <c r="G1414" s="25">
        <v>7</v>
      </c>
      <c r="H1414" s="25">
        <v>10</v>
      </c>
      <c r="I1414" s="25" t="s">
        <v>617</v>
      </c>
      <c r="J1414" s="25" t="s">
        <v>539</v>
      </c>
      <c r="K1414" s="25" t="s">
        <v>327</v>
      </c>
      <c r="L1414" s="167">
        <f t="shared" si="50"/>
        <v>3562.4999999999995</v>
      </c>
      <c r="M1414" s="167">
        <f t="shared" si="51"/>
        <v>427.49999999999994</v>
      </c>
      <c r="N1414" s="167">
        <v>3990</v>
      </c>
      <c r="O1414" s="27"/>
      <c r="P1414" s="25" t="s">
        <v>782</v>
      </c>
      <c r="Q1414" s="25" t="s">
        <v>358</v>
      </c>
      <c r="R1414" s="29" t="s">
        <v>6554</v>
      </c>
    </row>
    <row r="1415" spans="1:18" x14ac:dyDescent="0.3">
      <c r="A1415" s="20">
        <v>45527</v>
      </c>
      <c r="B1415" s="32" t="s">
        <v>8363</v>
      </c>
      <c r="C1415" s="25" t="s">
        <v>8364</v>
      </c>
      <c r="D1415" s="25" t="s">
        <v>8365</v>
      </c>
      <c r="E1415" s="44" t="s">
        <v>8366</v>
      </c>
      <c r="F1415" s="28" t="s">
        <v>8367</v>
      </c>
      <c r="G1415" s="25">
        <v>5</v>
      </c>
      <c r="H1415" s="25">
        <v>3</v>
      </c>
      <c r="I1415" s="25" t="s">
        <v>605</v>
      </c>
      <c r="J1415" s="25" t="s">
        <v>539</v>
      </c>
      <c r="K1415" s="25" t="s">
        <v>2488</v>
      </c>
      <c r="L1415" s="167">
        <f t="shared" si="50"/>
        <v>624.99999999999989</v>
      </c>
      <c r="M1415" s="167">
        <f t="shared" si="51"/>
        <v>74.999999999999986</v>
      </c>
      <c r="N1415" s="167">
        <v>700</v>
      </c>
      <c r="O1415" s="27" t="s">
        <v>8368</v>
      </c>
      <c r="P1415" s="25" t="s">
        <v>569</v>
      </c>
      <c r="Q1415" s="25" t="s">
        <v>2022</v>
      </c>
      <c r="R1415" s="29" t="s">
        <v>6554</v>
      </c>
    </row>
    <row r="1416" spans="1:18" x14ac:dyDescent="0.3">
      <c r="A1416" s="20">
        <v>45528</v>
      </c>
      <c r="B1416" s="32" t="s">
        <v>8369</v>
      </c>
      <c r="C1416" s="25" t="s">
        <v>8370</v>
      </c>
      <c r="D1416" s="25" t="s">
        <v>8371</v>
      </c>
      <c r="E1416" s="44" t="s">
        <v>8372</v>
      </c>
      <c r="F1416" s="28" t="s">
        <v>8373</v>
      </c>
      <c r="G1416" s="25">
        <v>7</v>
      </c>
      <c r="H1416" s="25">
        <v>7</v>
      </c>
      <c r="I1416" s="25" t="s">
        <v>617</v>
      </c>
      <c r="J1416" s="25" t="s">
        <v>539</v>
      </c>
      <c r="K1416" s="25" t="s">
        <v>2488</v>
      </c>
      <c r="L1416" s="167">
        <f t="shared" si="50"/>
        <v>2232.1428571428569</v>
      </c>
      <c r="M1416" s="167">
        <f t="shared" si="51"/>
        <v>267.85714285714283</v>
      </c>
      <c r="N1416" s="167">
        <v>2500</v>
      </c>
      <c r="O1416" s="27" t="s">
        <v>8374</v>
      </c>
      <c r="P1416" s="25" t="s">
        <v>6428</v>
      </c>
      <c r="Q1416" s="25" t="s">
        <v>782</v>
      </c>
      <c r="R1416" s="29" t="s">
        <v>8375</v>
      </c>
    </row>
    <row r="1417" spans="1:18" x14ac:dyDescent="0.3">
      <c r="A1417" s="20">
        <v>45528</v>
      </c>
      <c r="B1417" s="32" t="s">
        <v>8376</v>
      </c>
      <c r="C1417" s="25" t="s">
        <v>8377</v>
      </c>
      <c r="D1417" s="25" t="s">
        <v>8378</v>
      </c>
      <c r="E1417" s="44" t="s">
        <v>8379</v>
      </c>
      <c r="F1417" s="28" t="s">
        <v>8380</v>
      </c>
      <c r="G1417" s="25">
        <v>5</v>
      </c>
      <c r="H1417" s="25">
        <v>2</v>
      </c>
      <c r="I1417" s="25" t="s">
        <v>605</v>
      </c>
      <c r="J1417" s="25" t="s">
        <v>539</v>
      </c>
      <c r="K1417" s="25" t="s">
        <v>199</v>
      </c>
      <c r="L1417" s="167">
        <f t="shared" si="50"/>
        <v>624.99999999999989</v>
      </c>
      <c r="M1417" s="167">
        <f t="shared" si="51"/>
        <v>74.999999999999986</v>
      </c>
      <c r="N1417" s="167">
        <v>700</v>
      </c>
      <c r="O1417" s="27" t="s">
        <v>8381</v>
      </c>
      <c r="P1417" s="25" t="s">
        <v>1482</v>
      </c>
      <c r="Q1417" s="25" t="s">
        <v>3026</v>
      </c>
      <c r="R1417" s="29">
        <v>2904</v>
      </c>
    </row>
    <row r="1418" spans="1:18" x14ac:dyDescent="0.3">
      <c r="A1418" s="20">
        <v>45528</v>
      </c>
      <c r="B1418" s="32" t="s">
        <v>8382</v>
      </c>
      <c r="C1418" s="25" t="s">
        <v>8383</v>
      </c>
      <c r="D1418" s="25" t="s">
        <v>8384</v>
      </c>
      <c r="E1418" s="44" t="s">
        <v>8385</v>
      </c>
      <c r="F1418" s="28" t="s">
        <v>8386</v>
      </c>
      <c r="G1418" s="25">
        <v>5</v>
      </c>
      <c r="H1418" s="25">
        <v>2</v>
      </c>
      <c r="I1418" s="25" t="s">
        <v>605</v>
      </c>
      <c r="J1418" s="25" t="s">
        <v>539</v>
      </c>
      <c r="K1418" s="25" t="s">
        <v>1586</v>
      </c>
      <c r="L1418" s="167">
        <f t="shared" si="50"/>
        <v>624.99999999999989</v>
      </c>
      <c r="M1418" s="167">
        <f t="shared" si="51"/>
        <v>74.999999999999986</v>
      </c>
      <c r="N1418" s="167">
        <v>700</v>
      </c>
      <c r="O1418" s="27" t="s">
        <v>8387</v>
      </c>
      <c r="P1418" s="25" t="s">
        <v>2832</v>
      </c>
      <c r="Q1418" s="25" t="s">
        <v>225</v>
      </c>
      <c r="R1418" s="29" t="s">
        <v>6554</v>
      </c>
    </row>
    <row r="1419" spans="1:18" x14ac:dyDescent="0.3">
      <c r="A1419" s="20">
        <v>45528</v>
      </c>
      <c r="B1419" s="32" t="s">
        <v>8388</v>
      </c>
      <c r="C1419" s="43" t="s">
        <v>8389</v>
      </c>
      <c r="D1419" s="43" t="s">
        <v>8390</v>
      </c>
      <c r="E1419" s="51" t="s">
        <v>8391</v>
      </c>
      <c r="F1419" s="109" t="s">
        <v>8392</v>
      </c>
      <c r="G1419" s="43">
        <v>5</v>
      </c>
      <c r="H1419" s="43">
        <v>3</v>
      </c>
      <c r="I1419" s="43" t="s">
        <v>605</v>
      </c>
      <c r="J1419" s="43" t="s">
        <v>539</v>
      </c>
      <c r="K1419" s="43" t="s">
        <v>200</v>
      </c>
      <c r="L1419" s="167">
        <f t="shared" si="50"/>
        <v>1071.4285714285713</v>
      </c>
      <c r="M1419" s="167">
        <f t="shared" si="51"/>
        <v>128.57142857142856</v>
      </c>
      <c r="N1419" s="167">
        <v>1200</v>
      </c>
      <c r="O1419" s="53" t="s">
        <v>8393</v>
      </c>
      <c r="P1419" s="43" t="s">
        <v>2804</v>
      </c>
      <c r="Q1419" s="43" t="s">
        <v>225</v>
      </c>
      <c r="R1419" s="52">
        <v>2904</v>
      </c>
    </row>
    <row r="1420" spans="1:18" x14ac:dyDescent="0.3">
      <c r="A1420" s="20">
        <v>45528</v>
      </c>
      <c r="B1420" s="32" t="s">
        <v>8394</v>
      </c>
      <c r="C1420" s="43" t="s">
        <v>8395</v>
      </c>
      <c r="D1420" s="43" t="s">
        <v>8396</v>
      </c>
      <c r="E1420" s="51" t="s">
        <v>8397</v>
      </c>
      <c r="F1420" s="109" t="s">
        <v>8398</v>
      </c>
      <c r="G1420" s="43">
        <v>5</v>
      </c>
      <c r="H1420" s="43">
        <v>5</v>
      </c>
      <c r="I1420" s="43" t="s">
        <v>617</v>
      </c>
      <c r="J1420" s="43" t="s">
        <v>539</v>
      </c>
      <c r="K1420" s="43" t="s">
        <v>1975</v>
      </c>
      <c r="L1420" s="167">
        <f t="shared" si="50"/>
        <v>937.49999999999989</v>
      </c>
      <c r="M1420" s="167">
        <f t="shared" si="51"/>
        <v>112.49999999999999</v>
      </c>
      <c r="N1420" s="167">
        <v>1050</v>
      </c>
      <c r="O1420" s="53" t="s">
        <v>8399</v>
      </c>
      <c r="P1420" s="43" t="s">
        <v>2865</v>
      </c>
      <c r="Q1420" s="43" t="s">
        <v>782</v>
      </c>
      <c r="R1420" s="52">
        <v>9060</v>
      </c>
    </row>
    <row r="1421" spans="1:18" x14ac:dyDescent="0.3">
      <c r="A1421" s="20">
        <v>45528</v>
      </c>
      <c r="B1421" s="32" t="s">
        <v>8400</v>
      </c>
      <c r="C1421" s="25" t="s">
        <v>8401</v>
      </c>
      <c r="D1421" s="25" t="s">
        <v>8402</v>
      </c>
      <c r="E1421" s="44" t="s">
        <v>8403</v>
      </c>
      <c r="F1421" s="28" t="s">
        <v>8404</v>
      </c>
      <c r="G1421" s="25">
        <v>5</v>
      </c>
      <c r="H1421" s="25">
        <v>2</v>
      </c>
      <c r="I1421" s="25" t="s">
        <v>605</v>
      </c>
      <c r="J1421" s="25" t="s">
        <v>539</v>
      </c>
      <c r="K1421" s="25" t="s">
        <v>980</v>
      </c>
      <c r="L1421" s="167">
        <f t="shared" si="50"/>
        <v>892.85714285714278</v>
      </c>
      <c r="M1421" s="167">
        <f t="shared" si="51"/>
        <v>107.14285714285712</v>
      </c>
      <c r="N1421" s="167">
        <v>1000</v>
      </c>
      <c r="O1421" s="27" t="s">
        <v>8405</v>
      </c>
      <c r="P1421" s="25" t="s">
        <v>371</v>
      </c>
      <c r="Q1421" s="25" t="s">
        <v>2022</v>
      </c>
      <c r="R1421" s="29" t="s">
        <v>6554</v>
      </c>
    </row>
    <row r="1422" spans="1:18" x14ac:dyDescent="0.3">
      <c r="A1422" s="20">
        <v>45528</v>
      </c>
      <c r="B1422" s="32" t="s">
        <v>8406</v>
      </c>
      <c r="C1422" s="25" t="s">
        <v>8407</v>
      </c>
      <c r="D1422" s="25" t="s">
        <v>8408</v>
      </c>
      <c r="E1422" s="44" t="s">
        <v>8409</v>
      </c>
      <c r="F1422" s="28" t="s">
        <v>8410</v>
      </c>
      <c r="G1422" s="25">
        <v>7</v>
      </c>
      <c r="H1422" s="25">
        <v>4</v>
      </c>
      <c r="I1422" s="25" t="s">
        <v>605</v>
      </c>
      <c r="J1422" s="25" t="s">
        <v>539</v>
      </c>
      <c r="K1422" s="25" t="s">
        <v>3307</v>
      </c>
      <c r="L1422" s="167">
        <f t="shared" ref="L1422:L1485" si="52">+N1422/1.12</f>
        <v>624.99999999999989</v>
      </c>
      <c r="M1422" s="167">
        <f t="shared" ref="M1422:M1485" si="53">+L1422*12%</f>
        <v>74.999999999999986</v>
      </c>
      <c r="N1422" s="167">
        <v>700</v>
      </c>
      <c r="O1422" s="27" t="s">
        <v>8411</v>
      </c>
      <c r="P1422" s="25" t="s">
        <v>2804</v>
      </c>
      <c r="Q1422" s="25" t="s">
        <v>3026</v>
      </c>
      <c r="R1422" s="29">
        <v>9060</v>
      </c>
    </row>
    <row r="1423" spans="1:18" x14ac:dyDescent="0.3">
      <c r="A1423" s="20">
        <v>45528</v>
      </c>
      <c r="B1423" s="32" t="s">
        <v>8412</v>
      </c>
      <c r="C1423" s="25" t="s">
        <v>8383</v>
      </c>
      <c r="D1423" s="25" t="s">
        <v>8413</v>
      </c>
      <c r="E1423" s="44" t="s">
        <v>8414</v>
      </c>
      <c r="F1423" s="28" t="s">
        <v>8415</v>
      </c>
      <c r="G1423" s="25">
        <v>5</v>
      </c>
      <c r="H1423" s="25">
        <v>3</v>
      </c>
      <c r="I1423" s="25" t="s">
        <v>617</v>
      </c>
      <c r="J1423" s="25" t="s">
        <v>539</v>
      </c>
      <c r="K1423" s="25" t="s">
        <v>2488</v>
      </c>
      <c r="L1423" s="167">
        <f t="shared" si="52"/>
        <v>1160.7142857142856</v>
      </c>
      <c r="M1423" s="167">
        <f t="shared" si="53"/>
        <v>139.28571428571425</v>
      </c>
      <c r="N1423" s="167">
        <v>1300</v>
      </c>
      <c r="O1423" s="27" t="s">
        <v>8416</v>
      </c>
      <c r="P1423" s="25" t="s">
        <v>2865</v>
      </c>
      <c r="Q1423" s="25" t="s">
        <v>65</v>
      </c>
      <c r="R1423" s="29">
        <v>9060</v>
      </c>
    </row>
    <row r="1424" spans="1:18" x14ac:dyDescent="0.3">
      <c r="A1424" s="20">
        <v>45531</v>
      </c>
      <c r="B1424" s="32" t="s">
        <v>8417</v>
      </c>
      <c r="C1424" s="25" t="s">
        <v>8418</v>
      </c>
      <c r="D1424" s="25" t="s">
        <v>8419</v>
      </c>
      <c r="E1424" s="44" t="s">
        <v>8420</v>
      </c>
      <c r="F1424" s="28" t="s">
        <v>8421</v>
      </c>
      <c r="G1424" s="25">
        <v>5</v>
      </c>
      <c r="H1424" s="25">
        <v>4</v>
      </c>
      <c r="I1424" s="25" t="s">
        <v>605</v>
      </c>
      <c r="J1424" s="25" t="s">
        <v>539</v>
      </c>
      <c r="K1424" s="25" t="s">
        <v>200</v>
      </c>
      <c r="L1424" s="167">
        <f t="shared" si="52"/>
        <v>892.85714285714278</v>
      </c>
      <c r="M1424" s="167">
        <f t="shared" si="53"/>
        <v>107.14285714285712</v>
      </c>
      <c r="N1424" s="167">
        <v>1000</v>
      </c>
      <c r="O1424" s="27" t="s">
        <v>8422</v>
      </c>
      <c r="P1424" s="25" t="s">
        <v>2832</v>
      </c>
      <c r="Q1424" s="25" t="s">
        <v>225</v>
      </c>
      <c r="R1424" s="29" t="s">
        <v>7397</v>
      </c>
    </row>
    <row r="1425" spans="1:18" x14ac:dyDescent="0.3">
      <c r="A1425" s="20">
        <v>45532</v>
      </c>
      <c r="B1425" s="32" t="s">
        <v>8423</v>
      </c>
      <c r="C1425" s="25" t="s">
        <v>8424</v>
      </c>
      <c r="D1425" s="25" t="s">
        <v>8425</v>
      </c>
      <c r="E1425" s="44" t="s">
        <v>8426</v>
      </c>
      <c r="F1425" s="28" t="s">
        <v>8427</v>
      </c>
      <c r="G1425" s="25">
        <v>8</v>
      </c>
      <c r="H1425" s="25">
        <v>6</v>
      </c>
      <c r="I1425" s="25" t="s">
        <v>605</v>
      </c>
      <c r="J1425" s="25" t="s">
        <v>539</v>
      </c>
      <c r="K1425" s="25" t="s">
        <v>7731</v>
      </c>
      <c r="L1425" s="167">
        <f t="shared" si="52"/>
        <v>758.92857142857133</v>
      </c>
      <c r="M1425" s="167">
        <f t="shared" si="53"/>
        <v>91.071428571428555</v>
      </c>
      <c r="N1425" s="167">
        <v>850</v>
      </c>
      <c r="O1425" s="27" t="s">
        <v>8428</v>
      </c>
      <c r="P1425" s="25" t="s">
        <v>2804</v>
      </c>
      <c r="Q1425" s="25" t="s">
        <v>3026</v>
      </c>
      <c r="R1425" s="29" t="s">
        <v>7397</v>
      </c>
    </row>
    <row r="1426" spans="1:18" x14ac:dyDescent="0.3">
      <c r="A1426" s="20">
        <v>45533</v>
      </c>
      <c r="B1426" s="32" t="s">
        <v>8429</v>
      </c>
      <c r="C1426" s="25" t="s">
        <v>8430</v>
      </c>
      <c r="D1426" s="25" t="s">
        <v>8431</v>
      </c>
      <c r="E1426" s="44" t="s">
        <v>8432</v>
      </c>
      <c r="F1426" s="28" t="s">
        <v>8433</v>
      </c>
      <c r="G1426" s="25">
        <v>7</v>
      </c>
      <c r="H1426" s="25">
        <v>5</v>
      </c>
      <c r="I1426" s="25" t="s">
        <v>3003</v>
      </c>
      <c r="J1426" s="25" t="s">
        <v>539</v>
      </c>
      <c r="K1426" s="25" t="s">
        <v>199</v>
      </c>
      <c r="L1426" s="167">
        <f t="shared" si="52"/>
        <v>2285.7142857142853</v>
      </c>
      <c r="M1426" s="167">
        <f t="shared" si="53"/>
        <v>274.28571428571422</v>
      </c>
      <c r="N1426" s="167">
        <v>2560</v>
      </c>
      <c r="O1426" s="27" t="s">
        <v>8434</v>
      </c>
      <c r="P1426" s="25" t="s">
        <v>6428</v>
      </c>
      <c r="Q1426" s="25" t="s">
        <v>65</v>
      </c>
      <c r="R1426" s="29" t="s">
        <v>6554</v>
      </c>
    </row>
    <row r="1427" spans="1:18" x14ac:dyDescent="0.3">
      <c r="A1427" s="20">
        <v>45533</v>
      </c>
      <c r="B1427" s="32" t="s">
        <v>8435</v>
      </c>
      <c r="C1427" s="25" t="s">
        <v>8436</v>
      </c>
      <c r="D1427" s="25" t="s">
        <v>8437</v>
      </c>
      <c r="E1427" s="44" t="s">
        <v>8438</v>
      </c>
      <c r="F1427" s="28" t="s">
        <v>8439</v>
      </c>
      <c r="G1427" s="25">
        <v>5</v>
      </c>
      <c r="H1427" s="25">
        <v>3</v>
      </c>
      <c r="I1427" s="25" t="s">
        <v>605</v>
      </c>
      <c r="J1427" s="25" t="s">
        <v>539</v>
      </c>
      <c r="K1427" s="25"/>
      <c r="L1427" s="167">
        <f t="shared" si="52"/>
        <v>0</v>
      </c>
      <c r="M1427" s="167">
        <f t="shared" si="53"/>
        <v>0</v>
      </c>
      <c r="N1427" s="167">
        <v>0</v>
      </c>
      <c r="O1427" s="27" t="s">
        <v>8440</v>
      </c>
      <c r="P1427" s="25" t="s">
        <v>5743</v>
      </c>
      <c r="Q1427" s="25" t="s">
        <v>2022</v>
      </c>
      <c r="R1427" s="29" t="s">
        <v>6655</v>
      </c>
    </row>
    <row r="1428" spans="1:18" x14ac:dyDescent="0.3">
      <c r="A1428" s="20">
        <v>45533</v>
      </c>
      <c r="B1428" s="32" t="s">
        <v>8441</v>
      </c>
      <c r="C1428" s="43" t="s">
        <v>8442</v>
      </c>
      <c r="D1428" s="43" t="s">
        <v>8443</v>
      </c>
      <c r="E1428" s="51" t="s">
        <v>8444</v>
      </c>
      <c r="F1428" s="109" t="s">
        <v>8445</v>
      </c>
      <c r="G1428" s="43">
        <v>10</v>
      </c>
      <c r="H1428" s="43">
        <v>10</v>
      </c>
      <c r="I1428" s="43" t="s">
        <v>605</v>
      </c>
      <c r="J1428" s="43" t="s">
        <v>539</v>
      </c>
      <c r="K1428" s="43" t="s">
        <v>980</v>
      </c>
      <c r="L1428" s="167">
        <f t="shared" si="52"/>
        <v>3562.4999999999995</v>
      </c>
      <c r="M1428" s="167">
        <f t="shared" si="53"/>
        <v>427.49999999999994</v>
      </c>
      <c r="N1428" s="167">
        <v>3990</v>
      </c>
      <c r="O1428" s="53" t="s">
        <v>8446</v>
      </c>
      <c r="P1428" s="43" t="s">
        <v>2832</v>
      </c>
      <c r="Q1428" s="43" t="s">
        <v>782</v>
      </c>
      <c r="R1428" s="52">
        <v>2904</v>
      </c>
    </row>
    <row r="1429" spans="1:18" x14ac:dyDescent="0.3">
      <c r="A1429" s="20">
        <v>45533</v>
      </c>
      <c r="B1429" s="32" t="s">
        <v>8447</v>
      </c>
      <c r="C1429" s="25" t="s">
        <v>8448</v>
      </c>
      <c r="D1429" s="25" t="s">
        <v>8449</v>
      </c>
      <c r="E1429" s="44" t="s">
        <v>8450</v>
      </c>
      <c r="F1429" s="28" t="s">
        <v>8451</v>
      </c>
      <c r="G1429" s="25">
        <v>10</v>
      </c>
      <c r="H1429" s="25">
        <v>10</v>
      </c>
      <c r="I1429" s="25" t="s">
        <v>617</v>
      </c>
      <c r="J1429" s="25" t="s">
        <v>539</v>
      </c>
      <c r="K1429" s="25" t="s">
        <v>1586</v>
      </c>
      <c r="L1429" s="167">
        <f t="shared" si="52"/>
        <v>803.57142857142844</v>
      </c>
      <c r="M1429" s="167">
        <f t="shared" si="53"/>
        <v>96.428571428571416</v>
      </c>
      <c r="N1429" s="167">
        <v>900</v>
      </c>
      <c r="O1429" s="27" t="s">
        <v>8452</v>
      </c>
      <c r="P1429" s="25" t="s">
        <v>6428</v>
      </c>
      <c r="Q1429" s="25" t="s">
        <v>65</v>
      </c>
      <c r="R1429" s="29">
        <v>9060</v>
      </c>
    </row>
    <row r="1430" spans="1:18" x14ac:dyDescent="0.3">
      <c r="A1430" s="20">
        <v>45533</v>
      </c>
      <c r="B1430" s="32" t="s">
        <v>8453</v>
      </c>
      <c r="C1430" s="25" t="s">
        <v>8454</v>
      </c>
      <c r="D1430" s="25" t="s">
        <v>8455</v>
      </c>
      <c r="E1430" s="44" t="s">
        <v>8456</v>
      </c>
      <c r="F1430" s="28" t="s">
        <v>8457</v>
      </c>
      <c r="G1430" s="25">
        <v>9</v>
      </c>
      <c r="H1430" s="25">
        <v>7</v>
      </c>
      <c r="I1430" s="25" t="s">
        <v>605</v>
      </c>
      <c r="J1430" s="25" t="s">
        <v>539</v>
      </c>
      <c r="K1430" s="25" t="s">
        <v>200</v>
      </c>
      <c r="L1430" s="167">
        <f t="shared" si="52"/>
        <v>2669.6428571428569</v>
      </c>
      <c r="M1430" s="167">
        <f t="shared" si="53"/>
        <v>320.35714285714283</v>
      </c>
      <c r="N1430" s="167">
        <v>2990</v>
      </c>
      <c r="O1430" s="27" t="s">
        <v>8458</v>
      </c>
      <c r="P1430" s="25" t="s">
        <v>5743</v>
      </c>
      <c r="Q1430" s="25" t="s">
        <v>3026</v>
      </c>
      <c r="R1430" s="29" t="s">
        <v>6554</v>
      </c>
    </row>
    <row r="1431" spans="1:18" x14ac:dyDescent="0.3">
      <c r="A1431" s="20">
        <v>45533</v>
      </c>
      <c r="B1431" s="32" t="s">
        <v>8459</v>
      </c>
      <c r="C1431" s="25" t="s">
        <v>8460</v>
      </c>
      <c r="D1431" s="25" t="s">
        <v>8461</v>
      </c>
      <c r="E1431" s="44" t="s">
        <v>8462</v>
      </c>
      <c r="F1431" s="28" t="s">
        <v>8463</v>
      </c>
      <c r="G1431" s="25">
        <v>6</v>
      </c>
      <c r="H1431" s="25">
        <v>3</v>
      </c>
      <c r="I1431" s="25" t="s">
        <v>605</v>
      </c>
      <c r="J1431" s="25" t="s">
        <v>539</v>
      </c>
      <c r="K1431" s="25" t="s">
        <v>200</v>
      </c>
      <c r="L1431" s="167">
        <f t="shared" si="52"/>
        <v>892.85714285714278</v>
      </c>
      <c r="M1431" s="167">
        <f t="shared" si="53"/>
        <v>107.14285714285712</v>
      </c>
      <c r="N1431" s="167">
        <v>1000</v>
      </c>
      <c r="O1431" s="27" t="s">
        <v>8464</v>
      </c>
      <c r="P1431" s="25" t="s">
        <v>2804</v>
      </c>
      <c r="Q1431" s="25" t="s">
        <v>225</v>
      </c>
      <c r="R1431" s="29" t="s">
        <v>6554</v>
      </c>
    </row>
    <row r="1432" spans="1:18" x14ac:dyDescent="0.3">
      <c r="A1432" s="20">
        <v>45533</v>
      </c>
      <c r="B1432" s="32" t="s">
        <v>8465</v>
      </c>
      <c r="C1432" s="25" t="s">
        <v>8466</v>
      </c>
      <c r="D1432" s="25" t="s">
        <v>8467</v>
      </c>
      <c r="E1432" s="44" t="s">
        <v>8468</v>
      </c>
      <c r="F1432" s="28" t="s">
        <v>8469</v>
      </c>
      <c r="G1432" s="25">
        <v>7</v>
      </c>
      <c r="H1432" s="25">
        <v>3</v>
      </c>
      <c r="I1432" s="25" t="s">
        <v>605</v>
      </c>
      <c r="J1432" s="25" t="s">
        <v>539</v>
      </c>
      <c r="K1432" s="25" t="s">
        <v>2488</v>
      </c>
      <c r="L1432" s="167">
        <f t="shared" si="52"/>
        <v>803.57142857142844</v>
      </c>
      <c r="M1432" s="167">
        <f t="shared" si="53"/>
        <v>96.428571428571416</v>
      </c>
      <c r="N1432" s="167">
        <v>900</v>
      </c>
      <c r="O1432" s="27" t="s">
        <v>8470</v>
      </c>
      <c r="P1432" s="25" t="s">
        <v>1482</v>
      </c>
      <c r="Q1432" s="25" t="s">
        <v>782</v>
      </c>
      <c r="R1432" s="29">
        <v>9060</v>
      </c>
    </row>
    <row r="1433" spans="1:18" x14ac:dyDescent="0.3">
      <c r="A1433" s="20">
        <v>45535</v>
      </c>
      <c r="B1433" s="32" t="s">
        <v>8471</v>
      </c>
      <c r="C1433" s="25" t="s">
        <v>8472</v>
      </c>
      <c r="D1433" s="25" t="s">
        <v>8473</v>
      </c>
      <c r="E1433" s="44" t="s">
        <v>8474</v>
      </c>
      <c r="F1433" s="28" t="s">
        <v>8475</v>
      </c>
      <c r="G1433" s="25">
        <v>12</v>
      </c>
      <c r="H1433" s="25">
        <v>12</v>
      </c>
      <c r="I1433" s="25" t="s">
        <v>605</v>
      </c>
      <c r="J1433" s="25" t="s">
        <v>539</v>
      </c>
      <c r="K1433" s="25" t="s">
        <v>2488</v>
      </c>
      <c r="L1433" s="167">
        <f t="shared" si="52"/>
        <v>4910.7142857142853</v>
      </c>
      <c r="M1433" s="167">
        <f t="shared" si="53"/>
        <v>589.28571428571422</v>
      </c>
      <c r="N1433" s="167">
        <v>5500</v>
      </c>
      <c r="O1433" s="27" t="s">
        <v>8476</v>
      </c>
      <c r="P1433" s="25" t="s">
        <v>2832</v>
      </c>
      <c r="Q1433" s="25" t="s">
        <v>782</v>
      </c>
      <c r="R1433" s="29">
        <v>555</v>
      </c>
    </row>
    <row r="1434" spans="1:18" x14ac:dyDescent="0.3">
      <c r="A1434" s="20">
        <v>45534</v>
      </c>
      <c r="B1434" s="32" t="s">
        <v>8477</v>
      </c>
      <c r="C1434" s="25" t="s">
        <v>3462</v>
      </c>
      <c r="D1434" s="25" t="s">
        <v>8478</v>
      </c>
      <c r="E1434" s="44" t="s">
        <v>8479</v>
      </c>
      <c r="F1434" s="28" t="s">
        <v>8480</v>
      </c>
      <c r="G1434" s="25">
        <v>10</v>
      </c>
      <c r="H1434" s="25">
        <v>10</v>
      </c>
      <c r="I1434" s="25" t="s">
        <v>3003</v>
      </c>
      <c r="J1434" s="25" t="s">
        <v>539</v>
      </c>
      <c r="K1434" s="25" t="s">
        <v>199</v>
      </c>
      <c r="L1434" s="167">
        <f t="shared" si="52"/>
        <v>3749.9999999999995</v>
      </c>
      <c r="M1434" s="167">
        <f t="shared" si="53"/>
        <v>449.99999999999994</v>
      </c>
      <c r="N1434" s="167">
        <v>4200</v>
      </c>
      <c r="O1434" s="27" t="s">
        <v>8481</v>
      </c>
      <c r="P1434" s="25" t="s">
        <v>2804</v>
      </c>
      <c r="Q1434" s="25" t="s">
        <v>3026</v>
      </c>
      <c r="R1434" s="29" t="s">
        <v>6554</v>
      </c>
    </row>
    <row r="1435" spans="1:18" x14ac:dyDescent="0.3">
      <c r="A1435" s="20">
        <v>45535</v>
      </c>
      <c r="B1435" s="32" t="s">
        <v>8482</v>
      </c>
      <c r="C1435" s="25" t="s">
        <v>8483</v>
      </c>
      <c r="D1435" s="25" t="s">
        <v>8484</v>
      </c>
      <c r="E1435" s="44" t="s">
        <v>8485</v>
      </c>
      <c r="F1435" s="28" t="s">
        <v>8486</v>
      </c>
      <c r="G1435" s="25">
        <v>12</v>
      </c>
      <c r="H1435" s="25">
        <v>10</v>
      </c>
      <c r="I1435" s="25" t="s">
        <v>617</v>
      </c>
      <c r="J1435" s="25" t="s">
        <v>539</v>
      </c>
      <c r="K1435" s="25" t="s">
        <v>200</v>
      </c>
      <c r="L1435" s="167">
        <f t="shared" si="52"/>
        <v>4455.3571428571422</v>
      </c>
      <c r="M1435" s="167">
        <f t="shared" si="53"/>
        <v>534.642857142857</v>
      </c>
      <c r="N1435" s="167">
        <v>4990</v>
      </c>
      <c r="O1435" s="27" t="s">
        <v>8487</v>
      </c>
      <c r="P1435" s="25" t="s">
        <v>6059</v>
      </c>
      <c r="Q1435" s="25" t="s">
        <v>65</v>
      </c>
      <c r="R1435" s="29">
        <v>2904</v>
      </c>
    </row>
    <row r="1436" spans="1:18" x14ac:dyDescent="0.3">
      <c r="A1436" s="20">
        <v>45535</v>
      </c>
      <c r="B1436" s="32" t="s">
        <v>8488</v>
      </c>
      <c r="C1436" s="43" t="s">
        <v>8489</v>
      </c>
      <c r="D1436" s="43" t="s">
        <v>8490</v>
      </c>
      <c r="E1436" s="51" t="s">
        <v>8491</v>
      </c>
      <c r="F1436" s="109" t="s">
        <v>8492</v>
      </c>
      <c r="G1436" s="43">
        <v>7</v>
      </c>
      <c r="H1436" s="43">
        <v>5</v>
      </c>
      <c r="I1436" s="43" t="s">
        <v>605</v>
      </c>
      <c r="J1436" s="43" t="s">
        <v>539</v>
      </c>
      <c r="K1436" s="43" t="s">
        <v>200</v>
      </c>
      <c r="L1436" s="167">
        <f t="shared" si="52"/>
        <v>892.85714285714278</v>
      </c>
      <c r="M1436" s="167">
        <f t="shared" si="53"/>
        <v>107.14285714285712</v>
      </c>
      <c r="N1436" s="167">
        <v>1000</v>
      </c>
      <c r="O1436" s="53" t="s">
        <v>8493</v>
      </c>
      <c r="P1436" s="43" t="s">
        <v>1482</v>
      </c>
      <c r="Q1436" s="43" t="s">
        <v>3026</v>
      </c>
      <c r="R1436" s="52">
        <v>9060</v>
      </c>
    </row>
    <row r="1437" spans="1:18" x14ac:dyDescent="0.3">
      <c r="A1437" s="20">
        <v>45535</v>
      </c>
      <c r="B1437" s="32" t="s">
        <v>8494</v>
      </c>
      <c r="C1437" s="25" t="s">
        <v>8495</v>
      </c>
      <c r="D1437" s="25" t="s">
        <v>8496</v>
      </c>
      <c r="E1437" s="44" t="s">
        <v>8497</v>
      </c>
      <c r="F1437" s="28" t="s">
        <v>8498</v>
      </c>
      <c r="G1437" s="25">
        <v>5</v>
      </c>
      <c r="H1437" s="25">
        <v>3</v>
      </c>
      <c r="I1437" s="25" t="s">
        <v>605</v>
      </c>
      <c r="J1437" s="25" t="s">
        <v>539</v>
      </c>
      <c r="K1437" s="25" t="s">
        <v>200</v>
      </c>
      <c r="L1437" s="167">
        <f t="shared" si="52"/>
        <v>892.85714285714278</v>
      </c>
      <c r="M1437" s="167">
        <f t="shared" si="53"/>
        <v>107.14285714285712</v>
      </c>
      <c r="N1437" s="167">
        <v>1000</v>
      </c>
      <c r="O1437" s="27" t="s">
        <v>8499</v>
      </c>
      <c r="P1437" s="25" t="s">
        <v>2865</v>
      </c>
      <c r="Q1437" s="25" t="s">
        <v>65</v>
      </c>
      <c r="R1437" s="29" t="s">
        <v>6655</v>
      </c>
    </row>
    <row r="1438" spans="1:18" x14ac:dyDescent="0.3">
      <c r="A1438" s="20">
        <v>45538</v>
      </c>
      <c r="B1438" s="32" t="s">
        <v>8500</v>
      </c>
      <c r="C1438" s="25" t="s">
        <v>2847</v>
      </c>
      <c r="D1438" s="25" t="s">
        <v>8501</v>
      </c>
      <c r="E1438" s="44" t="s">
        <v>8502</v>
      </c>
      <c r="F1438" s="28" t="s">
        <v>8503</v>
      </c>
      <c r="G1438" s="26">
        <v>7</v>
      </c>
      <c r="H1438" s="29">
        <v>2</v>
      </c>
      <c r="I1438" s="25" t="s">
        <v>605</v>
      </c>
      <c r="J1438" s="25" t="s">
        <v>539</v>
      </c>
      <c r="K1438" s="25" t="s">
        <v>1586</v>
      </c>
      <c r="L1438" s="167">
        <f t="shared" si="52"/>
        <v>714.28571428571422</v>
      </c>
      <c r="M1438" s="167">
        <f t="shared" si="53"/>
        <v>85.714285714285708</v>
      </c>
      <c r="N1438" s="167">
        <v>800</v>
      </c>
      <c r="O1438" s="27" t="s">
        <v>8504</v>
      </c>
      <c r="P1438" s="25" t="s">
        <v>2832</v>
      </c>
      <c r="Q1438" s="25" t="s">
        <v>782</v>
      </c>
      <c r="R1438" s="29">
        <v>2904</v>
      </c>
    </row>
    <row r="1439" spans="1:18" x14ac:dyDescent="0.3">
      <c r="A1439" s="20">
        <v>45538</v>
      </c>
      <c r="B1439" s="32" t="s">
        <v>8505</v>
      </c>
      <c r="C1439" s="25" t="s">
        <v>8506</v>
      </c>
      <c r="D1439" s="25" t="s">
        <v>8507</v>
      </c>
      <c r="E1439" s="44" t="s">
        <v>8508</v>
      </c>
      <c r="F1439" s="44" t="s">
        <v>8509</v>
      </c>
      <c r="G1439" s="29">
        <v>5</v>
      </c>
      <c r="H1439" s="29">
        <v>3</v>
      </c>
      <c r="I1439" s="25" t="s">
        <v>605</v>
      </c>
      <c r="J1439" s="25" t="s">
        <v>539</v>
      </c>
      <c r="K1439" s="25" t="s">
        <v>1975</v>
      </c>
      <c r="L1439" s="167">
        <f t="shared" si="52"/>
        <v>892.85714285714278</v>
      </c>
      <c r="M1439" s="167">
        <f t="shared" si="53"/>
        <v>107.14285714285712</v>
      </c>
      <c r="N1439" s="23">
        <v>1000</v>
      </c>
      <c r="O1439" s="27" t="s">
        <v>8510</v>
      </c>
      <c r="P1439" s="25" t="s">
        <v>371</v>
      </c>
      <c r="Q1439" s="25" t="s">
        <v>3026</v>
      </c>
      <c r="R1439" s="29" t="s">
        <v>6554</v>
      </c>
    </row>
    <row r="1440" spans="1:18" x14ac:dyDescent="0.3">
      <c r="A1440" s="20">
        <v>45539</v>
      </c>
      <c r="B1440" s="32" t="s">
        <v>8511</v>
      </c>
      <c r="C1440" s="25" t="s">
        <v>8512</v>
      </c>
      <c r="D1440" s="25" t="s">
        <v>8513</v>
      </c>
      <c r="E1440" s="44" t="s">
        <v>8514</v>
      </c>
      <c r="F1440" s="44" t="s">
        <v>8515</v>
      </c>
      <c r="G1440" s="44" t="s">
        <v>1833</v>
      </c>
      <c r="H1440" s="29">
        <v>2</v>
      </c>
      <c r="I1440" s="25" t="s">
        <v>605</v>
      </c>
      <c r="J1440" s="25" t="s">
        <v>539</v>
      </c>
      <c r="K1440" s="25" t="s">
        <v>2488</v>
      </c>
      <c r="L1440" s="167">
        <f t="shared" si="52"/>
        <v>624.99999999999989</v>
      </c>
      <c r="M1440" s="167">
        <f t="shared" si="53"/>
        <v>74.999999999999986</v>
      </c>
      <c r="N1440" s="23">
        <v>700</v>
      </c>
      <c r="O1440" s="27" t="s">
        <v>8516</v>
      </c>
      <c r="P1440" s="25" t="s">
        <v>5743</v>
      </c>
      <c r="Q1440" s="25" t="s">
        <v>3026</v>
      </c>
      <c r="R1440" s="29" t="s">
        <v>6554</v>
      </c>
    </row>
    <row r="1441" spans="1:18" x14ac:dyDescent="0.3">
      <c r="A1441" s="20">
        <v>45539</v>
      </c>
      <c r="B1441" s="32" t="s">
        <v>8517</v>
      </c>
      <c r="C1441" s="25" t="s">
        <v>8518</v>
      </c>
      <c r="D1441" s="25" t="s">
        <v>8519</v>
      </c>
      <c r="E1441" s="44" t="s">
        <v>8520</v>
      </c>
      <c r="F1441" s="44" t="s">
        <v>8521</v>
      </c>
      <c r="G1441" s="44" t="s">
        <v>1840</v>
      </c>
      <c r="H1441" s="29">
        <v>2</v>
      </c>
      <c r="I1441" s="25" t="s">
        <v>605</v>
      </c>
      <c r="J1441" s="54" t="s">
        <v>539</v>
      </c>
      <c r="K1441" s="54" t="s">
        <v>199</v>
      </c>
      <c r="L1441" s="167">
        <f t="shared" si="52"/>
        <v>624.99999999999989</v>
      </c>
      <c r="M1441" s="167">
        <f t="shared" si="53"/>
        <v>74.999999999999986</v>
      </c>
      <c r="N1441" s="23">
        <v>700</v>
      </c>
      <c r="O1441" s="27" t="s">
        <v>8522</v>
      </c>
      <c r="P1441" s="25" t="s">
        <v>371</v>
      </c>
      <c r="Q1441" s="25" t="s">
        <v>782</v>
      </c>
      <c r="R1441" s="29" t="s">
        <v>6554</v>
      </c>
    </row>
    <row r="1442" spans="1:18" x14ac:dyDescent="0.3">
      <c r="A1442" s="20">
        <v>45539</v>
      </c>
      <c r="B1442" s="32" t="s">
        <v>8523</v>
      </c>
      <c r="C1442" s="25" t="s">
        <v>2365</v>
      </c>
      <c r="D1442" s="25" t="s">
        <v>8524</v>
      </c>
      <c r="E1442" s="44" t="s">
        <v>8525</v>
      </c>
      <c r="F1442" s="44" t="s">
        <v>8526</v>
      </c>
      <c r="G1442" s="44" t="s">
        <v>1840</v>
      </c>
      <c r="H1442" s="29">
        <v>5</v>
      </c>
      <c r="I1442" s="25" t="s">
        <v>617</v>
      </c>
      <c r="J1442" s="25" t="s">
        <v>539</v>
      </c>
      <c r="K1442" s="25" t="s">
        <v>199</v>
      </c>
      <c r="L1442" s="167">
        <f t="shared" si="52"/>
        <v>2607.1428571428569</v>
      </c>
      <c r="M1442" s="167">
        <f t="shared" si="53"/>
        <v>312.85714285714283</v>
      </c>
      <c r="N1442" s="23">
        <v>2920</v>
      </c>
      <c r="O1442" s="27" t="s">
        <v>8527</v>
      </c>
      <c r="P1442" s="25" t="s">
        <v>2832</v>
      </c>
      <c r="Q1442" s="25" t="s">
        <v>65</v>
      </c>
      <c r="R1442" s="29" t="s">
        <v>6554</v>
      </c>
    </row>
    <row r="1443" spans="1:18" x14ac:dyDescent="0.3">
      <c r="A1443" s="20">
        <v>45539</v>
      </c>
      <c r="B1443" s="32" t="s">
        <v>8528</v>
      </c>
      <c r="C1443" s="25" t="s">
        <v>8529</v>
      </c>
      <c r="D1443" s="25" t="s">
        <v>8530</v>
      </c>
      <c r="E1443" s="44" t="s">
        <v>8531</v>
      </c>
      <c r="F1443" s="44" t="s">
        <v>8532</v>
      </c>
      <c r="G1443" s="44" t="s">
        <v>1840</v>
      </c>
      <c r="H1443" s="29">
        <v>4</v>
      </c>
      <c r="I1443" s="25" t="s">
        <v>605</v>
      </c>
      <c r="J1443" s="25" t="s">
        <v>539</v>
      </c>
      <c r="K1443" s="25" t="s">
        <v>1162</v>
      </c>
      <c r="L1443" s="167">
        <f t="shared" si="52"/>
        <v>803.57142857142844</v>
      </c>
      <c r="M1443" s="167">
        <f t="shared" si="53"/>
        <v>96.428571428571416</v>
      </c>
      <c r="N1443" s="23">
        <v>900</v>
      </c>
      <c r="O1443" s="27" t="s">
        <v>8533</v>
      </c>
      <c r="P1443" s="25" t="s">
        <v>335</v>
      </c>
      <c r="Q1443" s="25" t="s">
        <v>782</v>
      </c>
      <c r="R1443" s="29">
        <v>9060</v>
      </c>
    </row>
    <row r="1444" spans="1:18" x14ac:dyDescent="0.3">
      <c r="A1444" s="20">
        <v>45539</v>
      </c>
      <c r="B1444" s="32" t="s">
        <v>8534</v>
      </c>
      <c r="C1444" s="25" t="s">
        <v>862</v>
      </c>
      <c r="D1444" s="25" t="s">
        <v>8535</v>
      </c>
      <c r="E1444" s="44" t="s">
        <v>8536</v>
      </c>
      <c r="F1444" s="44" t="s">
        <v>8537</v>
      </c>
      <c r="G1444" s="44" t="s">
        <v>1919</v>
      </c>
      <c r="H1444" s="29">
        <v>2</v>
      </c>
      <c r="I1444" s="25" t="s">
        <v>605</v>
      </c>
      <c r="J1444" s="25" t="s">
        <v>539</v>
      </c>
      <c r="K1444" s="25" t="s">
        <v>980</v>
      </c>
      <c r="L1444" s="167">
        <f t="shared" si="52"/>
        <v>624.99999999999989</v>
      </c>
      <c r="M1444" s="167">
        <f t="shared" si="53"/>
        <v>74.999999999999986</v>
      </c>
      <c r="N1444" s="23">
        <v>700</v>
      </c>
      <c r="O1444" s="27" t="s">
        <v>8538</v>
      </c>
      <c r="P1444" s="25" t="s">
        <v>2865</v>
      </c>
      <c r="Q1444" s="25" t="s">
        <v>3026</v>
      </c>
      <c r="R1444" s="29">
        <v>9060</v>
      </c>
    </row>
    <row r="1445" spans="1:18" x14ac:dyDescent="0.3">
      <c r="A1445" s="20">
        <v>45539</v>
      </c>
      <c r="B1445" s="32" t="s">
        <v>8539</v>
      </c>
      <c r="C1445" s="25" t="s">
        <v>8540</v>
      </c>
      <c r="D1445" s="25" t="s">
        <v>8541</v>
      </c>
      <c r="E1445" s="44" t="s">
        <v>8542</v>
      </c>
      <c r="F1445" s="44" t="s">
        <v>8543</v>
      </c>
      <c r="G1445" s="44" t="s">
        <v>1919</v>
      </c>
      <c r="H1445" s="29">
        <v>3</v>
      </c>
      <c r="I1445" s="25" t="s">
        <v>605</v>
      </c>
      <c r="J1445" s="25" t="s">
        <v>539</v>
      </c>
      <c r="K1445" s="25" t="s">
        <v>1586</v>
      </c>
      <c r="L1445" s="167">
        <f t="shared" si="52"/>
        <v>624.99999999999989</v>
      </c>
      <c r="M1445" s="167">
        <f t="shared" si="53"/>
        <v>74.999999999999986</v>
      </c>
      <c r="N1445" s="23">
        <v>700</v>
      </c>
      <c r="O1445" s="27" t="s">
        <v>8544</v>
      </c>
      <c r="P1445" s="25" t="s">
        <v>5743</v>
      </c>
      <c r="Q1445" s="25" t="s">
        <v>2022</v>
      </c>
      <c r="R1445" s="29" t="s">
        <v>6554</v>
      </c>
    </row>
    <row r="1446" spans="1:18" x14ac:dyDescent="0.3">
      <c r="A1446" s="20">
        <v>45539</v>
      </c>
      <c r="B1446" s="32" t="s">
        <v>8545</v>
      </c>
      <c r="C1446" s="25" t="s">
        <v>8546</v>
      </c>
      <c r="D1446" s="25" t="s">
        <v>8547</v>
      </c>
      <c r="E1446" s="44" t="s">
        <v>8548</v>
      </c>
      <c r="F1446" s="44" t="s">
        <v>8549</v>
      </c>
      <c r="G1446" s="44" t="s">
        <v>1919</v>
      </c>
      <c r="H1446" s="29">
        <v>3</v>
      </c>
      <c r="I1446" s="25" t="s">
        <v>605</v>
      </c>
      <c r="J1446" s="25" t="s">
        <v>539</v>
      </c>
      <c r="K1446" s="25" t="s">
        <v>1162</v>
      </c>
      <c r="L1446" s="167">
        <f t="shared" si="52"/>
        <v>624.99999999999989</v>
      </c>
      <c r="M1446" s="167">
        <f t="shared" si="53"/>
        <v>74.999999999999986</v>
      </c>
      <c r="N1446" s="30">
        <v>700</v>
      </c>
      <c r="O1446" s="27" t="s">
        <v>8550</v>
      </c>
      <c r="P1446" s="25" t="s">
        <v>371</v>
      </c>
      <c r="Q1446" s="25" t="s">
        <v>225</v>
      </c>
      <c r="R1446" s="29" t="s">
        <v>6554</v>
      </c>
    </row>
    <row r="1447" spans="1:18" x14ac:dyDescent="0.3">
      <c r="A1447" s="20">
        <v>45540</v>
      </c>
      <c r="B1447" s="32" t="s">
        <v>8551</v>
      </c>
      <c r="C1447" s="25" t="s">
        <v>8552</v>
      </c>
      <c r="D1447" s="25" t="s">
        <v>8553</v>
      </c>
      <c r="E1447" s="44" t="s">
        <v>8554</v>
      </c>
      <c r="F1447" s="44" t="s">
        <v>8555</v>
      </c>
      <c r="G1447" s="44" t="s">
        <v>1833</v>
      </c>
      <c r="H1447" s="29">
        <v>3</v>
      </c>
      <c r="I1447" s="25" t="s">
        <v>605</v>
      </c>
      <c r="J1447" s="25" t="s">
        <v>539</v>
      </c>
      <c r="K1447" s="25" t="s">
        <v>199</v>
      </c>
      <c r="L1447" s="167">
        <f t="shared" si="52"/>
        <v>892.85714285714278</v>
      </c>
      <c r="M1447" s="167">
        <f t="shared" si="53"/>
        <v>107.14285714285712</v>
      </c>
      <c r="N1447" s="23">
        <v>1000</v>
      </c>
      <c r="O1447" s="27" t="s">
        <v>8556</v>
      </c>
      <c r="P1447" s="25" t="s">
        <v>2832</v>
      </c>
      <c r="Q1447" s="25" t="s">
        <v>225</v>
      </c>
      <c r="R1447" s="29" t="s">
        <v>6554</v>
      </c>
    </row>
    <row r="1448" spans="1:18" x14ac:dyDescent="0.3">
      <c r="A1448" s="20">
        <v>45540</v>
      </c>
      <c r="B1448" s="32" t="s">
        <v>8557</v>
      </c>
      <c r="C1448" s="25" t="s">
        <v>8558</v>
      </c>
      <c r="D1448" s="25" t="s">
        <v>8559</v>
      </c>
      <c r="E1448" s="44" t="s">
        <v>8560</v>
      </c>
      <c r="F1448" s="44" t="s">
        <v>8561</v>
      </c>
      <c r="G1448" s="44" t="s">
        <v>1840</v>
      </c>
      <c r="H1448" s="29">
        <v>3</v>
      </c>
      <c r="I1448" s="25" t="s">
        <v>605</v>
      </c>
      <c r="J1448" s="25" t="s">
        <v>539</v>
      </c>
      <c r="K1448" s="25" t="s">
        <v>1586</v>
      </c>
      <c r="L1448" s="167">
        <f t="shared" si="52"/>
        <v>714.28571428571422</v>
      </c>
      <c r="M1448" s="167">
        <f t="shared" si="53"/>
        <v>85.714285714285708</v>
      </c>
      <c r="N1448" s="23">
        <v>800</v>
      </c>
      <c r="O1448" s="27" t="s">
        <v>8562</v>
      </c>
      <c r="P1448" s="25" t="s">
        <v>2865</v>
      </c>
      <c r="Q1448" s="25" t="s">
        <v>782</v>
      </c>
      <c r="R1448" s="29" t="s">
        <v>6554</v>
      </c>
    </row>
    <row r="1449" spans="1:18" x14ac:dyDescent="0.3">
      <c r="A1449" s="20">
        <v>45541</v>
      </c>
      <c r="B1449" s="32" t="s">
        <v>8563</v>
      </c>
      <c r="C1449" s="25" t="s">
        <v>8564</v>
      </c>
      <c r="D1449" s="25" t="s">
        <v>8565</v>
      </c>
      <c r="E1449" s="44" t="s">
        <v>8566</v>
      </c>
      <c r="F1449" s="44" t="s">
        <v>8567</v>
      </c>
      <c r="G1449" s="44" t="s">
        <v>1840</v>
      </c>
      <c r="H1449" s="29">
        <v>8</v>
      </c>
      <c r="I1449" s="25" t="s">
        <v>605</v>
      </c>
      <c r="J1449" s="25" t="s">
        <v>539</v>
      </c>
      <c r="K1449" s="25" t="s">
        <v>199</v>
      </c>
      <c r="L1449" s="167">
        <f t="shared" si="52"/>
        <v>2669.6428571428569</v>
      </c>
      <c r="M1449" s="167">
        <f t="shared" si="53"/>
        <v>320.35714285714283</v>
      </c>
      <c r="N1449" s="23">
        <v>2990</v>
      </c>
      <c r="O1449" s="27" t="s">
        <v>8568</v>
      </c>
      <c r="P1449" s="25" t="s">
        <v>2832</v>
      </c>
      <c r="Q1449" s="25" t="s">
        <v>782</v>
      </c>
      <c r="R1449" s="29" t="s">
        <v>6554</v>
      </c>
    </row>
    <row r="1450" spans="1:18" x14ac:dyDescent="0.3">
      <c r="A1450" s="20">
        <v>45541</v>
      </c>
      <c r="B1450" s="32" t="s">
        <v>8569</v>
      </c>
      <c r="C1450" s="25" t="s">
        <v>8570</v>
      </c>
      <c r="D1450" s="25" t="s">
        <v>8571</v>
      </c>
      <c r="E1450" s="44" t="s">
        <v>8572</v>
      </c>
      <c r="F1450" s="44" t="s">
        <v>8573</v>
      </c>
      <c r="G1450" s="44" t="s">
        <v>1833</v>
      </c>
      <c r="H1450" s="29">
        <v>4</v>
      </c>
      <c r="I1450" s="25" t="s">
        <v>605</v>
      </c>
      <c r="J1450" s="25" t="s">
        <v>539</v>
      </c>
      <c r="K1450" s="25" t="s">
        <v>980</v>
      </c>
      <c r="L1450" s="167">
        <f t="shared" si="52"/>
        <v>1249.9999999999998</v>
      </c>
      <c r="M1450" s="167">
        <f t="shared" si="53"/>
        <v>149.99999999999997</v>
      </c>
      <c r="N1450" s="23">
        <v>1400</v>
      </c>
      <c r="O1450" s="27" t="s">
        <v>8574</v>
      </c>
      <c r="P1450" s="25" t="s">
        <v>6059</v>
      </c>
      <c r="Q1450" s="25" t="s">
        <v>8575</v>
      </c>
      <c r="R1450" s="29">
        <v>9060</v>
      </c>
    </row>
    <row r="1451" spans="1:18" x14ac:dyDescent="0.3">
      <c r="A1451" s="20">
        <v>45541</v>
      </c>
      <c r="B1451" s="32" t="s">
        <v>8576</v>
      </c>
      <c r="C1451" s="25" t="s">
        <v>8577</v>
      </c>
      <c r="D1451" s="25" t="s">
        <v>8578</v>
      </c>
      <c r="E1451" s="44" t="s">
        <v>8579</v>
      </c>
      <c r="F1451" s="44" t="s">
        <v>8580</v>
      </c>
      <c r="G1451" s="44" t="s">
        <v>1926</v>
      </c>
      <c r="H1451" s="29">
        <v>2</v>
      </c>
      <c r="I1451" s="25" t="s">
        <v>605</v>
      </c>
      <c r="J1451" s="25" t="s">
        <v>539</v>
      </c>
      <c r="K1451" s="25" t="s">
        <v>1162</v>
      </c>
      <c r="L1451" s="167">
        <f t="shared" si="52"/>
        <v>267.85714285714283</v>
      </c>
      <c r="M1451" s="167">
        <f t="shared" si="53"/>
        <v>32.142857142857139</v>
      </c>
      <c r="N1451" s="23">
        <v>300</v>
      </c>
      <c r="O1451" s="27" t="s">
        <v>8581</v>
      </c>
      <c r="P1451" s="25" t="s">
        <v>335</v>
      </c>
      <c r="Q1451" s="25" t="s">
        <v>3026</v>
      </c>
      <c r="R1451" s="29" t="s">
        <v>6554</v>
      </c>
    </row>
    <row r="1452" spans="1:18" x14ac:dyDescent="0.3">
      <c r="A1452" s="20">
        <v>45542</v>
      </c>
      <c r="B1452" s="32" t="s">
        <v>8582</v>
      </c>
      <c r="C1452" s="25" t="s">
        <v>8583</v>
      </c>
      <c r="D1452" s="25" t="s">
        <v>8584</v>
      </c>
      <c r="E1452" s="44" t="s">
        <v>8585</v>
      </c>
      <c r="F1452" s="44" t="s">
        <v>8586</v>
      </c>
      <c r="G1452" s="44" t="s">
        <v>1840</v>
      </c>
      <c r="H1452" s="29">
        <v>4</v>
      </c>
      <c r="I1452" s="25" t="s">
        <v>605</v>
      </c>
      <c r="J1452" s="25" t="s">
        <v>539</v>
      </c>
      <c r="K1452" s="25" t="s">
        <v>980</v>
      </c>
      <c r="L1452" s="167">
        <f t="shared" si="52"/>
        <v>1071.4285714285713</v>
      </c>
      <c r="M1452" s="167">
        <f t="shared" si="53"/>
        <v>128.57142857142856</v>
      </c>
      <c r="N1452" s="23">
        <v>1200</v>
      </c>
      <c r="O1452" s="27" t="s">
        <v>8587</v>
      </c>
      <c r="P1452" s="25" t="s">
        <v>5743</v>
      </c>
      <c r="Q1452" s="25" t="s">
        <v>3026</v>
      </c>
      <c r="R1452" s="29" t="s">
        <v>6554</v>
      </c>
    </row>
    <row r="1453" spans="1:18" x14ac:dyDescent="0.3">
      <c r="A1453" s="20">
        <v>45542</v>
      </c>
      <c r="B1453" s="32" t="s">
        <v>8588</v>
      </c>
      <c r="C1453" s="25" t="s">
        <v>8589</v>
      </c>
      <c r="D1453" s="25" t="s">
        <v>8590</v>
      </c>
      <c r="E1453" s="44" t="s">
        <v>8591</v>
      </c>
      <c r="F1453" s="44" t="s">
        <v>8592</v>
      </c>
      <c r="G1453" s="44" t="s">
        <v>1840</v>
      </c>
      <c r="H1453" s="29">
        <v>4</v>
      </c>
      <c r="I1453" s="25" t="s">
        <v>605</v>
      </c>
      <c r="J1453" s="25" t="s">
        <v>539</v>
      </c>
      <c r="K1453" s="25"/>
      <c r="L1453" s="167">
        <f t="shared" si="52"/>
        <v>0</v>
      </c>
      <c r="M1453" s="167">
        <f t="shared" si="53"/>
        <v>0</v>
      </c>
      <c r="N1453" s="23"/>
      <c r="O1453" s="27" t="s">
        <v>8593</v>
      </c>
      <c r="P1453" s="25" t="s">
        <v>569</v>
      </c>
      <c r="Q1453" s="25" t="s">
        <v>2022</v>
      </c>
      <c r="R1453" s="29" t="s">
        <v>6554</v>
      </c>
    </row>
    <row r="1454" spans="1:18" x14ac:dyDescent="0.3">
      <c r="A1454" s="20">
        <v>45542</v>
      </c>
      <c r="B1454" s="32" t="s">
        <v>8594</v>
      </c>
      <c r="C1454" s="25" t="s">
        <v>8595</v>
      </c>
      <c r="D1454" s="25" t="s">
        <v>8596</v>
      </c>
      <c r="E1454" s="44" t="s">
        <v>8597</v>
      </c>
      <c r="F1454" s="44" t="s">
        <v>8598</v>
      </c>
      <c r="G1454" s="44" t="s">
        <v>1840</v>
      </c>
      <c r="H1454" s="29">
        <v>4</v>
      </c>
      <c r="I1454" s="25" t="s">
        <v>605</v>
      </c>
      <c r="J1454" s="25" t="s">
        <v>539</v>
      </c>
      <c r="K1454" s="25" t="s">
        <v>1518</v>
      </c>
      <c r="L1454" s="167">
        <f t="shared" si="52"/>
        <v>1776.7857142857142</v>
      </c>
      <c r="M1454" s="167">
        <f t="shared" si="53"/>
        <v>213.21428571428569</v>
      </c>
      <c r="N1454" s="23">
        <v>1990</v>
      </c>
      <c r="O1454" s="27" t="s">
        <v>8599</v>
      </c>
      <c r="P1454" s="25" t="s">
        <v>2832</v>
      </c>
      <c r="Q1454" s="25" t="s">
        <v>2022</v>
      </c>
      <c r="R1454" s="29">
        <v>2904</v>
      </c>
    </row>
    <row r="1455" spans="1:18" x14ac:dyDescent="0.3">
      <c r="A1455" s="20">
        <v>45545</v>
      </c>
      <c r="B1455" s="32" t="s">
        <v>8600</v>
      </c>
      <c r="C1455" s="25" t="s">
        <v>8601</v>
      </c>
      <c r="D1455" s="25" t="s">
        <v>8602</v>
      </c>
      <c r="E1455" s="44" t="s">
        <v>8603</v>
      </c>
      <c r="F1455" s="44" t="s">
        <v>8604</v>
      </c>
      <c r="G1455" s="44" t="s">
        <v>1840</v>
      </c>
      <c r="H1455" s="29">
        <v>5</v>
      </c>
      <c r="I1455" s="25" t="s">
        <v>605</v>
      </c>
      <c r="J1455" s="25" t="s">
        <v>539</v>
      </c>
      <c r="K1455" s="25" t="s">
        <v>200</v>
      </c>
      <c r="L1455" s="167">
        <f t="shared" si="52"/>
        <v>1249.9999999999998</v>
      </c>
      <c r="M1455" s="167">
        <f t="shared" si="53"/>
        <v>149.99999999999997</v>
      </c>
      <c r="N1455" s="23">
        <v>1400</v>
      </c>
      <c r="O1455" s="27" t="s">
        <v>8605</v>
      </c>
      <c r="P1455" s="25" t="s">
        <v>6059</v>
      </c>
      <c r="Q1455" s="25" t="s">
        <v>3026</v>
      </c>
      <c r="R1455" s="29" t="s">
        <v>7397</v>
      </c>
    </row>
    <row r="1456" spans="1:18" x14ac:dyDescent="0.3">
      <c r="A1456" s="20">
        <v>45545</v>
      </c>
      <c r="B1456" s="32" t="s">
        <v>8606</v>
      </c>
      <c r="C1456" s="25" t="s">
        <v>8607</v>
      </c>
      <c r="D1456" s="25" t="s">
        <v>8608</v>
      </c>
      <c r="E1456" s="44" t="s">
        <v>8609</v>
      </c>
      <c r="F1456" s="44" t="s">
        <v>8610</v>
      </c>
      <c r="G1456" s="44" t="s">
        <v>1840</v>
      </c>
      <c r="H1456" s="29">
        <v>5</v>
      </c>
      <c r="I1456" s="25" t="s">
        <v>617</v>
      </c>
      <c r="J1456" s="25" t="s">
        <v>539</v>
      </c>
      <c r="K1456" s="25" t="s">
        <v>2488</v>
      </c>
      <c r="L1456" s="167">
        <f t="shared" si="52"/>
        <v>1339.2857142857142</v>
      </c>
      <c r="M1456" s="167">
        <f t="shared" si="53"/>
        <v>160.71428571428569</v>
      </c>
      <c r="N1456" s="23">
        <v>1500</v>
      </c>
      <c r="O1456" s="27" t="s">
        <v>8611</v>
      </c>
      <c r="P1456" s="25" t="s">
        <v>5743</v>
      </c>
      <c r="Q1456" s="25" t="s">
        <v>65</v>
      </c>
      <c r="R1456" s="29">
        <v>8000</v>
      </c>
    </row>
    <row r="1457" spans="1:18" x14ac:dyDescent="0.3">
      <c r="A1457" s="20">
        <v>45545</v>
      </c>
      <c r="B1457" s="32" t="s">
        <v>8612</v>
      </c>
      <c r="C1457" s="25" t="s">
        <v>8613</v>
      </c>
      <c r="D1457" s="25" t="s">
        <v>8614</v>
      </c>
      <c r="E1457" s="44" t="s">
        <v>8615</v>
      </c>
      <c r="F1457" s="44" t="s">
        <v>8616</v>
      </c>
      <c r="G1457" s="44" t="s">
        <v>1840</v>
      </c>
      <c r="H1457" s="29">
        <v>4</v>
      </c>
      <c r="I1457" s="55" t="s">
        <v>605</v>
      </c>
      <c r="J1457" s="293" t="s">
        <v>539</v>
      </c>
      <c r="K1457" s="57" t="s">
        <v>199</v>
      </c>
      <c r="L1457" s="167">
        <f t="shared" si="52"/>
        <v>1160.7142857142856</v>
      </c>
      <c r="M1457" s="167">
        <f t="shared" si="53"/>
        <v>139.28571428571425</v>
      </c>
      <c r="N1457" s="23">
        <v>1300</v>
      </c>
      <c r="O1457" s="27" t="s">
        <v>8617</v>
      </c>
      <c r="P1457" s="25" t="s">
        <v>2865</v>
      </c>
      <c r="Q1457" s="25" t="s">
        <v>2832</v>
      </c>
      <c r="R1457" s="29"/>
    </row>
    <row r="1458" spans="1:18" x14ac:dyDescent="0.3">
      <c r="A1458" s="20">
        <v>45545</v>
      </c>
      <c r="B1458" s="32" t="s">
        <v>8618</v>
      </c>
      <c r="C1458" s="25" t="s">
        <v>8619</v>
      </c>
      <c r="D1458" s="25" t="s">
        <v>8620</v>
      </c>
      <c r="E1458" s="44" t="s">
        <v>8621</v>
      </c>
      <c r="F1458" s="44" t="s">
        <v>8622</v>
      </c>
      <c r="G1458" s="44" t="s">
        <v>1833</v>
      </c>
      <c r="H1458" s="29">
        <v>3</v>
      </c>
      <c r="I1458" s="25" t="s">
        <v>605</v>
      </c>
      <c r="J1458" s="25" t="s">
        <v>539</v>
      </c>
      <c r="K1458" s="25" t="s">
        <v>199</v>
      </c>
      <c r="L1458" s="167">
        <f t="shared" si="52"/>
        <v>892.85714285714278</v>
      </c>
      <c r="M1458" s="167">
        <f t="shared" si="53"/>
        <v>107.14285714285712</v>
      </c>
      <c r="N1458" s="23">
        <v>1000</v>
      </c>
      <c r="O1458" s="27" t="s">
        <v>8623</v>
      </c>
      <c r="P1458" s="25" t="s">
        <v>371</v>
      </c>
      <c r="Q1458" s="25" t="s">
        <v>225</v>
      </c>
      <c r="R1458" s="29" t="s">
        <v>7397</v>
      </c>
    </row>
    <row r="1459" spans="1:18" x14ac:dyDescent="0.3">
      <c r="A1459" s="20">
        <v>45545</v>
      </c>
      <c r="B1459" s="32" t="s">
        <v>8624</v>
      </c>
      <c r="C1459" s="25" t="s">
        <v>8625</v>
      </c>
      <c r="D1459" s="25" t="s">
        <v>8626</v>
      </c>
      <c r="E1459" s="44" t="s">
        <v>8627</v>
      </c>
      <c r="F1459" s="44" t="s">
        <v>8628</v>
      </c>
      <c r="G1459" s="44" t="s">
        <v>1919</v>
      </c>
      <c r="H1459" s="29">
        <v>4</v>
      </c>
      <c r="I1459" s="25" t="s">
        <v>605</v>
      </c>
      <c r="J1459" s="25" t="s">
        <v>539</v>
      </c>
      <c r="K1459" s="25" t="s">
        <v>1162</v>
      </c>
      <c r="L1459" s="167">
        <f t="shared" si="52"/>
        <v>624.99999999999989</v>
      </c>
      <c r="M1459" s="167">
        <f t="shared" si="53"/>
        <v>74.999999999999986</v>
      </c>
      <c r="N1459" s="23">
        <v>700</v>
      </c>
      <c r="O1459" s="27" t="s">
        <v>8629</v>
      </c>
      <c r="P1459" s="25" t="s">
        <v>2865</v>
      </c>
      <c r="Q1459" s="25" t="s">
        <v>782</v>
      </c>
      <c r="R1459" s="29">
        <v>8000</v>
      </c>
    </row>
    <row r="1460" spans="1:18" x14ac:dyDescent="0.3">
      <c r="A1460" s="20">
        <v>45546</v>
      </c>
      <c r="B1460" s="32" t="s">
        <v>8630</v>
      </c>
      <c r="C1460" s="25" t="s">
        <v>731</v>
      </c>
      <c r="D1460" s="25" t="s">
        <v>8631</v>
      </c>
      <c r="E1460" s="44" t="s">
        <v>8632</v>
      </c>
      <c r="F1460" s="44" t="s">
        <v>8633</v>
      </c>
      <c r="G1460" s="44" t="s">
        <v>1833</v>
      </c>
      <c r="H1460" s="29">
        <v>5</v>
      </c>
      <c r="I1460" s="25" t="s">
        <v>605</v>
      </c>
      <c r="J1460" s="25" t="s">
        <v>539</v>
      </c>
      <c r="K1460" s="25" t="s">
        <v>2488</v>
      </c>
      <c r="L1460" s="167">
        <f t="shared" si="52"/>
        <v>892.85714285714278</v>
      </c>
      <c r="M1460" s="167">
        <f t="shared" si="53"/>
        <v>107.14285714285712</v>
      </c>
      <c r="N1460" s="23">
        <v>1000</v>
      </c>
      <c r="O1460" s="27" t="s">
        <v>8634</v>
      </c>
      <c r="P1460" s="25" t="s">
        <v>1482</v>
      </c>
      <c r="Q1460" s="25" t="s">
        <v>782</v>
      </c>
      <c r="R1460" s="29">
        <v>9060</v>
      </c>
    </row>
    <row r="1461" spans="1:18" x14ac:dyDescent="0.3">
      <c r="A1461" s="20">
        <v>45546</v>
      </c>
      <c r="B1461" s="32" t="s">
        <v>8635</v>
      </c>
      <c r="C1461" s="25" t="s">
        <v>8636</v>
      </c>
      <c r="D1461" s="25" t="s">
        <v>8637</v>
      </c>
      <c r="E1461" s="44" t="s">
        <v>8638</v>
      </c>
      <c r="F1461" s="44" t="s">
        <v>8639</v>
      </c>
      <c r="G1461" s="44" t="s">
        <v>1919</v>
      </c>
      <c r="H1461" s="29">
        <v>3</v>
      </c>
      <c r="I1461" s="25" t="s">
        <v>605</v>
      </c>
      <c r="J1461" s="25" t="s">
        <v>539</v>
      </c>
      <c r="K1461" s="25" t="s">
        <v>199</v>
      </c>
      <c r="L1461" s="167">
        <f t="shared" si="52"/>
        <v>624.99999999999989</v>
      </c>
      <c r="M1461" s="167">
        <f t="shared" si="53"/>
        <v>74.999999999999986</v>
      </c>
      <c r="N1461" s="23">
        <v>700</v>
      </c>
      <c r="O1461" s="27" t="s">
        <v>8640</v>
      </c>
      <c r="P1461" s="25" t="s">
        <v>371</v>
      </c>
      <c r="Q1461" s="25" t="s">
        <v>340</v>
      </c>
      <c r="R1461" s="29" t="s">
        <v>7397</v>
      </c>
    </row>
    <row r="1462" spans="1:18" x14ac:dyDescent="0.3">
      <c r="A1462" s="20">
        <v>45546</v>
      </c>
      <c r="B1462" s="32" t="s">
        <v>8641</v>
      </c>
      <c r="C1462" s="25" t="s">
        <v>8642</v>
      </c>
      <c r="D1462" s="25" t="s">
        <v>8643</v>
      </c>
      <c r="E1462" s="44" t="s">
        <v>8644</v>
      </c>
      <c r="F1462" s="44" t="s">
        <v>8645</v>
      </c>
      <c r="G1462" s="44" t="s">
        <v>1919</v>
      </c>
      <c r="H1462" s="29">
        <v>3</v>
      </c>
      <c r="I1462" s="25" t="s">
        <v>605</v>
      </c>
      <c r="J1462" s="25" t="s">
        <v>539</v>
      </c>
      <c r="K1462" s="25" t="s">
        <v>200</v>
      </c>
      <c r="L1462" s="167">
        <f t="shared" si="52"/>
        <v>1071.4285714285713</v>
      </c>
      <c r="M1462" s="167">
        <f t="shared" si="53"/>
        <v>128.57142857142856</v>
      </c>
      <c r="N1462" s="23">
        <v>1200</v>
      </c>
      <c r="O1462" s="27" t="s">
        <v>8646</v>
      </c>
      <c r="P1462" s="25" t="s">
        <v>6428</v>
      </c>
      <c r="Q1462" s="25" t="s">
        <v>65</v>
      </c>
      <c r="R1462" s="29">
        <v>2904</v>
      </c>
    </row>
    <row r="1463" spans="1:18" x14ac:dyDescent="0.3">
      <c r="A1463" s="20">
        <v>45546</v>
      </c>
      <c r="B1463" s="32" t="s">
        <v>8647</v>
      </c>
      <c r="C1463" s="25" t="s">
        <v>8648</v>
      </c>
      <c r="D1463" s="25" t="s">
        <v>8649</v>
      </c>
      <c r="E1463" s="44" t="s">
        <v>8650</v>
      </c>
      <c r="F1463" s="44" t="s">
        <v>8651</v>
      </c>
      <c r="G1463" s="44" t="s">
        <v>1919</v>
      </c>
      <c r="H1463" s="29">
        <v>3</v>
      </c>
      <c r="I1463" s="25" t="s">
        <v>605</v>
      </c>
      <c r="J1463" s="25" t="s">
        <v>539</v>
      </c>
      <c r="K1463" s="25" t="s">
        <v>1518</v>
      </c>
      <c r="L1463" s="167">
        <f t="shared" si="52"/>
        <v>892.85714285714278</v>
      </c>
      <c r="M1463" s="167">
        <f t="shared" si="53"/>
        <v>107.14285714285712</v>
      </c>
      <c r="N1463" s="23">
        <v>1000</v>
      </c>
      <c r="O1463" s="27" t="s">
        <v>8652</v>
      </c>
      <c r="P1463" s="25" t="s">
        <v>5743</v>
      </c>
      <c r="Q1463" s="25" t="s">
        <v>8653</v>
      </c>
      <c r="R1463" s="29" t="s">
        <v>7397</v>
      </c>
    </row>
    <row r="1464" spans="1:18" x14ac:dyDescent="0.3">
      <c r="A1464" s="20">
        <v>45546</v>
      </c>
      <c r="B1464" s="32" t="s">
        <v>8654</v>
      </c>
      <c r="C1464" s="25" t="s">
        <v>5467</v>
      </c>
      <c r="D1464" s="25" t="s">
        <v>8655</v>
      </c>
      <c r="E1464" s="44" t="s">
        <v>8656</v>
      </c>
      <c r="F1464" s="44" t="s">
        <v>8657</v>
      </c>
      <c r="G1464" s="44" t="s">
        <v>1833</v>
      </c>
      <c r="H1464" s="29">
        <v>5</v>
      </c>
      <c r="I1464" s="25" t="s">
        <v>617</v>
      </c>
      <c r="J1464" s="25" t="s">
        <v>539</v>
      </c>
      <c r="K1464" s="25" t="s">
        <v>2488</v>
      </c>
      <c r="L1464" s="167">
        <f t="shared" si="52"/>
        <v>1776.7857142857142</v>
      </c>
      <c r="M1464" s="167">
        <f t="shared" si="53"/>
        <v>213.21428571428569</v>
      </c>
      <c r="N1464" s="23">
        <v>1990</v>
      </c>
      <c r="O1464" s="27" t="s">
        <v>8658</v>
      </c>
      <c r="P1464" s="25" t="s">
        <v>2832</v>
      </c>
      <c r="Q1464" s="25" t="s">
        <v>782</v>
      </c>
      <c r="R1464" s="29" t="s">
        <v>7982</v>
      </c>
    </row>
    <row r="1465" spans="1:18" x14ac:dyDescent="0.3">
      <c r="A1465" s="20">
        <v>45547</v>
      </c>
      <c r="B1465" s="32" t="s">
        <v>8659</v>
      </c>
      <c r="C1465" s="25" t="s">
        <v>8660</v>
      </c>
      <c r="D1465" s="25" t="s">
        <v>8661</v>
      </c>
      <c r="E1465" s="44" t="s">
        <v>8662</v>
      </c>
      <c r="F1465" s="44" t="s">
        <v>8663</v>
      </c>
      <c r="G1465" s="44" t="s">
        <v>1962</v>
      </c>
      <c r="H1465" s="29">
        <v>10</v>
      </c>
      <c r="I1465" s="25" t="s">
        <v>605</v>
      </c>
      <c r="J1465" s="25" t="s">
        <v>539</v>
      </c>
      <c r="K1465" s="25" t="s">
        <v>200</v>
      </c>
      <c r="L1465" s="167">
        <f t="shared" si="52"/>
        <v>4455.3571428571422</v>
      </c>
      <c r="M1465" s="167">
        <f t="shared" si="53"/>
        <v>534.642857142857</v>
      </c>
      <c r="N1465" s="118">
        <v>4990</v>
      </c>
      <c r="O1465" s="295" t="s">
        <v>8664</v>
      </c>
      <c r="P1465" s="25" t="s">
        <v>1482</v>
      </c>
      <c r="Q1465" s="25" t="s">
        <v>3026</v>
      </c>
      <c r="R1465" s="29" t="s">
        <v>7397</v>
      </c>
    </row>
    <row r="1466" spans="1:18" x14ac:dyDescent="0.3">
      <c r="A1466" s="20">
        <v>45546</v>
      </c>
      <c r="B1466" s="32" t="s">
        <v>8665</v>
      </c>
      <c r="C1466" s="25" t="s">
        <v>8666</v>
      </c>
      <c r="D1466" s="25" t="s">
        <v>8667</v>
      </c>
      <c r="E1466" s="44" t="s">
        <v>8668</v>
      </c>
      <c r="F1466" s="44" t="s">
        <v>8669</v>
      </c>
      <c r="G1466" s="44" t="s">
        <v>1919</v>
      </c>
      <c r="H1466" s="29">
        <v>2</v>
      </c>
      <c r="I1466" s="25" t="s">
        <v>605</v>
      </c>
      <c r="J1466" s="25" t="s">
        <v>539</v>
      </c>
      <c r="K1466" s="25" t="s">
        <v>199</v>
      </c>
      <c r="L1466" s="167">
        <f t="shared" si="52"/>
        <v>624.99999999999989</v>
      </c>
      <c r="M1466" s="167">
        <f t="shared" si="53"/>
        <v>74.999999999999986</v>
      </c>
      <c r="N1466" s="23">
        <v>700</v>
      </c>
      <c r="O1466" s="27" t="s">
        <v>8670</v>
      </c>
      <c r="P1466" s="25" t="s">
        <v>2865</v>
      </c>
      <c r="Q1466" s="25" t="s">
        <v>65</v>
      </c>
      <c r="R1466" s="29" t="s">
        <v>7397</v>
      </c>
    </row>
    <row r="1467" spans="1:18" x14ac:dyDescent="0.3">
      <c r="A1467" s="20">
        <v>45547</v>
      </c>
      <c r="B1467" s="32" t="s">
        <v>8671</v>
      </c>
      <c r="C1467" s="25" t="s">
        <v>8672</v>
      </c>
      <c r="D1467" s="25" t="s">
        <v>8673</v>
      </c>
      <c r="E1467" s="44" t="s">
        <v>8674</v>
      </c>
      <c r="F1467" s="44" t="s">
        <v>8675</v>
      </c>
      <c r="G1467" s="44" t="s">
        <v>1833</v>
      </c>
      <c r="H1467" s="29">
        <v>3</v>
      </c>
      <c r="I1467" s="25" t="s">
        <v>605</v>
      </c>
      <c r="J1467" s="25" t="s">
        <v>539</v>
      </c>
      <c r="K1467" s="25" t="s">
        <v>1518</v>
      </c>
      <c r="L1467" s="167">
        <f t="shared" si="52"/>
        <v>1071.4285714285713</v>
      </c>
      <c r="M1467" s="167">
        <f t="shared" si="53"/>
        <v>128.57142857142856</v>
      </c>
      <c r="N1467" s="23">
        <v>1200</v>
      </c>
      <c r="O1467" s="27" t="s">
        <v>8676</v>
      </c>
      <c r="P1467" s="25" t="s">
        <v>2865</v>
      </c>
      <c r="Q1467" s="25" t="s">
        <v>225</v>
      </c>
      <c r="R1467" s="29" t="s">
        <v>6554</v>
      </c>
    </row>
    <row r="1468" spans="1:18" x14ac:dyDescent="0.3">
      <c r="A1468" s="20">
        <v>45548</v>
      </c>
      <c r="B1468" s="32" t="s">
        <v>8677</v>
      </c>
      <c r="C1468" s="25" t="s">
        <v>8678</v>
      </c>
      <c r="D1468" s="25" t="s">
        <v>8679</v>
      </c>
      <c r="E1468" s="44" t="s">
        <v>8680</v>
      </c>
      <c r="F1468" s="44" t="s">
        <v>8681</v>
      </c>
      <c r="G1468" s="44" t="s">
        <v>1833</v>
      </c>
      <c r="H1468" s="29">
        <v>8</v>
      </c>
      <c r="I1468" s="25" t="s">
        <v>617</v>
      </c>
      <c r="J1468" s="25" t="s">
        <v>539</v>
      </c>
      <c r="K1468" s="25" t="s">
        <v>199</v>
      </c>
      <c r="L1468" s="167">
        <f t="shared" si="52"/>
        <v>2669.6428571428569</v>
      </c>
      <c r="M1468" s="167">
        <f t="shared" si="53"/>
        <v>320.35714285714283</v>
      </c>
      <c r="N1468" s="23">
        <v>2990</v>
      </c>
      <c r="O1468" s="27" t="s">
        <v>8682</v>
      </c>
      <c r="P1468" s="25" t="s">
        <v>1482</v>
      </c>
      <c r="Q1468" s="25" t="s">
        <v>225</v>
      </c>
      <c r="R1468" s="29">
        <v>555</v>
      </c>
    </row>
    <row r="1469" spans="1:18" x14ac:dyDescent="0.3">
      <c r="A1469" s="20">
        <v>45548</v>
      </c>
      <c r="B1469" s="32" t="s">
        <v>8683</v>
      </c>
      <c r="C1469" s="25" t="s">
        <v>8684</v>
      </c>
      <c r="D1469" s="25" t="s">
        <v>8685</v>
      </c>
      <c r="E1469" s="44" t="s">
        <v>8686</v>
      </c>
      <c r="F1469" s="44" t="s">
        <v>8687</v>
      </c>
      <c r="G1469" s="44" t="s">
        <v>1833</v>
      </c>
      <c r="H1469" s="29">
        <v>5</v>
      </c>
      <c r="I1469" s="25" t="s">
        <v>605</v>
      </c>
      <c r="J1469" s="25" t="s">
        <v>539</v>
      </c>
      <c r="K1469" s="25" t="s">
        <v>200</v>
      </c>
      <c r="L1469" s="167">
        <f t="shared" si="52"/>
        <v>1776.7857142857142</v>
      </c>
      <c r="M1469" s="167">
        <f t="shared" si="53"/>
        <v>213.21428571428569</v>
      </c>
      <c r="N1469" s="23">
        <v>1990</v>
      </c>
      <c r="O1469" s="27" t="s">
        <v>8688</v>
      </c>
      <c r="P1469" s="25" t="s">
        <v>2832</v>
      </c>
      <c r="Q1469" s="25" t="s">
        <v>3026</v>
      </c>
      <c r="R1469" s="29">
        <v>8000</v>
      </c>
    </row>
    <row r="1470" spans="1:18" x14ac:dyDescent="0.3">
      <c r="A1470" s="20">
        <v>45548</v>
      </c>
      <c r="B1470" s="32" t="s">
        <v>8689</v>
      </c>
      <c r="C1470" s="25" t="s">
        <v>8690</v>
      </c>
      <c r="D1470" s="25" t="s">
        <v>8691</v>
      </c>
      <c r="E1470" s="44" t="s">
        <v>8692</v>
      </c>
      <c r="F1470" s="44" t="s">
        <v>8693</v>
      </c>
      <c r="G1470" s="44" t="s">
        <v>1962</v>
      </c>
      <c r="H1470" s="29">
        <v>10</v>
      </c>
      <c r="I1470" s="25" t="s">
        <v>617</v>
      </c>
      <c r="J1470" s="25" t="s">
        <v>539</v>
      </c>
      <c r="K1470" s="25" t="s">
        <v>1518</v>
      </c>
      <c r="L1470" s="167">
        <f t="shared" si="52"/>
        <v>2670.5357142857142</v>
      </c>
      <c r="M1470" s="167">
        <f t="shared" si="53"/>
        <v>320.46428571428572</v>
      </c>
      <c r="N1470" s="23">
        <v>2991</v>
      </c>
      <c r="O1470" s="27" t="s">
        <v>8694</v>
      </c>
      <c r="P1470" s="25" t="s">
        <v>569</v>
      </c>
      <c r="Q1470" s="25" t="s">
        <v>340</v>
      </c>
      <c r="R1470" s="29" t="s">
        <v>6554</v>
      </c>
    </row>
    <row r="1471" spans="1:18" x14ac:dyDescent="0.3">
      <c r="A1471" s="20">
        <v>45548</v>
      </c>
      <c r="B1471" s="32" t="s">
        <v>8695</v>
      </c>
      <c r="C1471" s="25" t="s">
        <v>8696</v>
      </c>
      <c r="D1471" s="25" t="s">
        <v>8697</v>
      </c>
      <c r="E1471" s="44" t="s">
        <v>8698</v>
      </c>
      <c r="F1471" s="44" t="s">
        <v>8699</v>
      </c>
      <c r="G1471" s="44" t="s">
        <v>1833</v>
      </c>
      <c r="H1471" s="29">
        <v>4</v>
      </c>
      <c r="I1471" s="25" t="s">
        <v>605</v>
      </c>
      <c r="J1471" s="25" t="s">
        <v>539</v>
      </c>
      <c r="K1471" s="25" t="s">
        <v>980</v>
      </c>
      <c r="L1471" s="167">
        <f t="shared" si="52"/>
        <v>624.99999999999989</v>
      </c>
      <c r="M1471" s="167">
        <f t="shared" si="53"/>
        <v>74.999999999999986</v>
      </c>
      <c r="N1471" s="23">
        <v>700</v>
      </c>
      <c r="O1471" s="27" t="s">
        <v>8700</v>
      </c>
      <c r="P1471" s="25" t="s">
        <v>6428</v>
      </c>
      <c r="Q1471" s="25" t="s">
        <v>3026</v>
      </c>
      <c r="R1471" s="29" t="s">
        <v>6554</v>
      </c>
    </row>
    <row r="1472" spans="1:18" x14ac:dyDescent="0.3">
      <c r="A1472" s="20">
        <v>45549</v>
      </c>
      <c r="B1472" s="32" t="s">
        <v>8701</v>
      </c>
      <c r="C1472" s="25" t="s">
        <v>8702</v>
      </c>
      <c r="D1472" s="25" t="s">
        <v>8703</v>
      </c>
      <c r="E1472" s="44" t="s">
        <v>8704</v>
      </c>
      <c r="F1472" s="44" t="s">
        <v>8705</v>
      </c>
      <c r="G1472" s="44" t="s">
        <v>1919</v>
      </c>
      <c r="H1472" s="47">
        <v>3</v>
      </c>
      <c r="I1472" s="58" t="s">
        <v>605</v>
      </c>
      <c r="J1472" s="193" t="s">
        <v>539</v>
      </c>
      <c r="K1472" s="58" t="s">
        <v>980</v>
      </c>
      <c r="L1472" s="167">
        <f t="shared" si="52"/>
        <v>535.71428571428567</v>
      </c>
      <c r="M1472" s="167">
        <f t="shared" si="53"/>
        <v>64.285714285714278</v>
      </c>
      <c r="N1472" s="23">
        <v>600</v>
      </c>
      <c r="O1472" s="49" t="s">
        <v>8706</v>
      </c>
      <c r="P1472" s="35" t="s">
        <v>2804</v>
      </c>
      <c r="Q1472" s="25" t="s">
        <v>340</v>
      </c>
      <c r="R1472" s="294" t="s">
        <v>6554</v>
      </c>
    </row>
    <row r="1473" spans="1:18" x14ac:dyDescent="0.3">
      <c r="A1473" s="20">
        <v>45549</v>
      </c>
      <c r="B1473" s="32" t="s">
        <v>8707</v>
      </c>
      <c r="C1473" s="25" t="s">
        <v>8708</v>
      </c>
      <c r="D1473" s="25" t="s">
        <v>8709</v>
      </c>
      <c r="E1473" s="44" t="s">
        <v>8710</v>
      </c>
      <c r="F1473" s="44" t="s">
        <v>8711</v>
      </c>
      <c r="G1473" s="44" t="s">
        <v>1919</v>
      </c>
      <c r="H1473" s="29">
        <v>2</v>
      </c>
      <c r="I1473" s="25" t="s">
        <v>605</v>
      </c>
      <c r="J1473" s="58" t="s">
        <v>539</v>
      </c>
      <c r="K1473" s="194" t="s">
        <v>1162</v>
      </c>
      <c r="L1473" s="167">
        <f t="shared" si="52"/>
        <v>624.99999999999989</v>
      </c>
      <c r="M1473" s="167">
        <f t="shared" si="53"/>
        <v>74.999999999999986</v>
      </c>
      <c r="N1473" s="23">
        <v>700</v>
      </c>
      <c r="O1473" s="27" t="s">
        <v>8712</v>
      </c>
      <c r="P1473" s="35" t="s">
        <v>569</v>
      </c>
      <c r="Q1473" s="35" t="s">
        <v>225</v>
      </c>
      <c r="R1473" s="25" t="s">
        <v>6554</v>
      </c>
    </row>
    <row r="1474" spans="1:18" x14ac:dyDescent="0.3">
      <c r="A1474" s="20">
        <v>45549</v>
      </c>
      <c r="B1474" s="32" t="s">
        <v>8713</v>
      </c>
      <c r="C1474" s="25" t="s">
        <v>8714</v>
      </c>
      <c r="D1474" s="25" t="s">
        <v>8715</v>
      </c>
      <c r="E1474" s="44" t="s">
        <v>8716</v>
      </c>
      <c r="F1474" s="44" t="s">
        <v>8717</v>
      </c>
      <c r="G1474" s="44" t="s">
        <v>2763</v>
      </c>
      <c r="H1474" s="29">
        <v>3</v>
      </c>
      <c r="I1474" s="25" t="s">
        <v>605</v>
      </c>
      <c r="J1474" s="58" t="s">
        <v>539</v>
      </c>
      <c r="K1474" s="194" t="s">
        <v>200</v>
      </c>
      <c r="L1474" s="167">
        <f t="shared" si="52"/>
        <v>892.85714285714278</v>
      </c>
      <c r="M1474" s="167">
        <f t="shared" si="53"/>
        <v>107.14285714285712</v>
      </c>
      <c r="N1474" s="23">
        <v>1000</v>
      </c>
      <c r="O1474" s="27" t="s">
        <v>8718</v>
      </c>
      <c r="P1474" s="35" t="s">
        <v>371</v>
      </c>
      <c r="Q1474" s="35" t="s">
        <v>65</v>
      </c>
      <c r="R1474" s="25" t="s">
        <v>7397</v>
      </c>
    </row>
    <row r="1475" spans="1:18" x14ac:dyDescent="0.3">
      <c r="A1475" s="20">
        <v>45554</v>
      </c>
      <c r="B1475" s="32" t="s">
        <v>8719</v>
      </c>
      <c r="C1475" s="25" t="s">
        <v>8720</v>
      </c>
      <c r="D1475" s="25" t="s">
        <v>8721</v>
      </c>
      <c r="E1475" s="44" t="s">
        <v>8722</v>
      </c>
      <c r="F1475" s="44" t="s">
        <v>8723</v>
      </c>
      <c r="G1475" s="44" t="s">
        <v>1840</v>
      </c>
      <c r="H1475" s="29">
        <v>5</v>
      </c>
      <c r="I1475" s="25">
        <v>5</v>
      </c>
      <c r="J1475" s="296" t="s">
        <v>8724</v>
      </c>
      <c r="K1475" s="297"/>
      <c r="L1475" s="167">
        <f t="shared" si="52"/>
        <v>1776.7857142857142</v>
      </c>
      <c r="M1475" s="167">
        <f t="shared" si="53"/>
        <v>213.21428571428569</v>
      </c>
      <c r="N1475" s="23">
        <v>1990</v>
      </c>
      <c r="O1475" s="27" t="s">
        <v>8725</v>
      </c>
      <c r="P1475" s="35" t="s">
        <v>5743</v>
      </c>
      <c r="Q1475" s="35" t="s">
        <v>225</v>
      </c>
      <c r="R1475" s="25"/>
    </row>
    <row r="1476" spans="1:18" x14ac:dyDescent="0.3">
      <c r="A1476" s="20">
        <v>45554</v>
      </c>
      <c r="B1476" s="32" t="s">
        <v>8726</v>
      </c>
      <c r="C1476" s="25" t="s">
        <v>8727</v>
      </c>
      <c r="D1476" s="25" t="s">
        <v>8728</v>
      </c>
      <c r="E1476" s="44" t="s">
        <v>8729</v>
      </c>
      <c r="F1476" s="44" t="s">
        <v>8730</v>
      </c>
      <c r="G1476" s="44" t="s">
        <v>1840</v>
      </c>
      <c r="H1476" s="29">
        <v>5</v>
      </c>
      <c r="I1476" s="25" t="s">
        <v>605</v>
      </c>
      <c r="J1476" s="58" t="s">
        <v>2787</v>
      </c>
      <c r="K1476" s="58" t="s">
        <v>2488</v>
      </c>
      <c r="L1476" s="167">
        <f t="shared" si="52"/>
        <v>2491.0714285714284</v>
      </c>
      <c r="M1476" s="167">
        <f t="shared" si="53"/>
        <v>298.92857142857139</v>
      </c>
      <c r="N1476" s="23">
        <v>2790</v>
      </c>
      <c r="O1476" s="27" t="s">
        <v>8731</v>
      </c>
      <c r="P1476" s="35" t="s">
        <v>569</v>
      </c>
      <c r="Q1476" s="35" t="s">
        <v>65</v>
      </c>
      <c r="R1476" s="25">
        <v>8000</v>
      </c>
    </row>
    <row r="1477" spans="1:18" x14ac:dyDescent="0.3">
      <c r="A1477" s="20">
        <v>45559</v>
      </c>
      <c r="B1477" s="32" t="s">
        <v>8732</v>
      </c>
      <c r="C1477" s="25" t="s">
        <v>8733</v>
      </c>
      <c r="D1477" s="25" t="s">
        <v>8734</v>
      </c>
      <c r="E1477" s="44" t="s">
        <v>8735</v>
      </c>
      <c r="F1477" s="44" t="s">
        <v>8736</v>
      </c>
      <c r="G1477" s="44" t="s">
        <v>1919</v>
      </c>
      <c r="H1477" s="29">
        <v>5</v>
      </c>
      <c r="I1477" s="25" t="s">
        <v>617</v>
      </c>
      <c r="J1477" s="298" t="s">
        <v>2787</v>
      </c>
      <c r="K1477" s="298" t="s">
        <v>1162</v>
      </c>
      <c r="L1477" s="167">
        <f t="shared" si="52"/>
        <v>1294.6428571428571</v>
      </c>
      <c r="M1477" s="167">
        <f t="shared" si="53"/>
        <v>155.35714285714286</v>
      </c>
      <c r="N1477" s="118">
        <v>1450</v>
      </c>
      <c r="O1477" s="295" t="s">
        <v>8737</v>
      </c>
      <c r="P1477" s="35" t="s">
        <v>5743</v>
      </c>
      <c r="Q1477" s="35" t="s">
        <v>2832</v>
      </c>
      <c r="R1477" s="25" t="s">
        <v>7397</v>
      </c>
    </row>
    <row r="1478" spans="1:18" x14ac:dyDescent="0.3">
      <c r="A1478" s="20">
        <v>45555</v>
      </c>
      <c r="B1478" s="32" t="s">
        <v>8738</v>
      </c>
      <c r="C1478" s="25" t="s">
        <v>8739</v>
      </c>
      <c r="D1478" s="25" t="s">
        <v>8740</v>
      </c>
      <c r="E1478" s="44" t="s">
        <v>8741</v>
      </c>
      <c r="F1478" s="44" t="s">
        <v>8742</v>
      </c>
      <c r="G1478" s="44" t="s">
        <v>1919</v>
      </c>
      <c r="H1478" s="29">
        <v>4</v>
      </c>
      <c r="I1478" s="25" t="s">
        <v>617</v>
      </c>
      <c r="J1478" s="43" t="s">
        <v>2787</v>
      </c>
      <c r="K1478" s="43" t="s">
        <v>2488</v>
      </c>
      <c r="L1478" s="167">
        <f t="shared" si="52"/>
        <v>937.49999999999989</v>
      </c>
      <c r="M1478" s="167">
        <f t="shared" si="53"/>
        <v>112.49999999999999</v>
      </c>
      <c r="N1478" s="23">
        <v>1050</v>
      </c>
      <c r="O1478" s="27" t="s">
        <v>8743</v>
      </c>
      <c r="P1478" s="35" t="s">
        <v>371</v>
      </c>
      <c r="Q1478" s="35" t="s">
        <v>8744</v>
      </c>
      <c r="R1478" s="29" t="s">
        <v>8167</v>
      </c>
    </row>
    <row r="1479" spans="1:18" x14ac:dyDescent="0.3">
      <c r="A1479" s="20">
        <v>45559</v>
      </c>
      <c r="B1479" s="32" t="s">
        <v>8745</v>
      </c>
      <c r="C1479" s="25" t="s">
        <v>8746</v>
      </c>
      <c r="D1479" s="25" t="s">
        <v>8747</v>
      </c>
      <c r="E1479" s="44" t="s">
        <v>8748</v>
      </c>
      <c r="F1479" s="44" t="s">
        <v>8749</v>
      </c>
      <c r="G1479" s="44" t="s">
        <v>1833</v>
      </c>
      <c r="H1479" s="29">
        <v>4</v>
      </c>
      <c r="I1479" s="25" t="s">
        <v>605</v>
      </c>
      <c r="J1479" s="43" t="s">
        <v>2787</v>
      </c>
      <c r="K1479" s="43" t="s">
        <v>2488</v>
      </c>
      <c r="L1479" s="167">
        <f t="shared" si="52"/>
        <v>1026.7857142857142</v>
      </c>
      <c r="M1479" s="167">
        <f t="shared" si="53"/>
        <v>123.21428571428571</v>
      </c>
      <c r="N1479" s="23">
        <v>1150</v>
      </c>
      <c r="O1479" s="27" t="s">
        <v>8750</v>
      </c>
      <c r="P1479" s="35" t="s">
        <v>6059</v>
      </c>
      <c r="Q1479" s="35" t="s">
        <v>782</v>
      </c>
      <c r="R1479" s="29">
        <v>8000</v>
      </c>
    </row>
    <row r="1480" spans="1:18" x14ac:dyDescent="0.3">
      <c r="A1480" s="20">
        <v>45559</v>
      </c>
      <c r="B1480" s="32" t="s">
        <v>8751</v>
      </c>
      <c r="C1480" s="25" t="s">
        <v>8752</v>
      </c>
      <c r="D1480" s="25" t="s">
        <v>8753</v>
      </c>
      <c r="E1480" s="44" t="s">
        <v>8754</v>
      </c>
      <c r="F1480" s="44" t="s">
        <v>8755</v>
      </c>
      <c r="G1480" s="44" t="s">
        <v>1840</v>
      </c>
      <c r="H1480" s="29">
        <v>4</v>
      </c>
      <c r="I1480" s="25" t="s">
        <v>617</v>
      </c>
      <c r="J1480" s="43" t="s">
        <v>3868</v>
      </c>
      <c r="K1480" s="43" t="s">
        <v>3868</v>
      </c>
      <c r="L1480" s="167">
        <f t="shared" si="52"/>
        <v>1116.0714285714284</v>
      </c>
      <c r="M1480" s="167">
        <f t="shared" si="53"/>
        <v>133.92857142857142</v>
      </c>
      <c r="N1480" s="23">
        <v>1250</v>
      </c>
      <c r="O1480" s="27" t="s">
        <v>8756</v>
      </c>
      <c r="P1480" s="35" t="s">
        <v>1482</v>
      </c>
      <c r="Q1480" s="35" t="s">
        <v>65</v>
      </c>
      <c r="R1480" s="29" t="s">
        <v>6554</v>
      </c>
    </row>
    <row r="1481" spans="1:18" x14ac:dyDescent="0.3">
      <c r="A1481" s="20">
        <v>45559</v>
      </c>
      <c r="B1481" s="32" t="s">
        <v>8757</v>
      </c>
      <c r="C1481" s="25" t="s">
        <v>8758</v>
      </c>
      <c r="D1481" s="25" t="s">
        <v>8759</v>
      </c>
      <c r="E1481" s="44" t="s">
        <v>8760</v>
      </c>
      <c r="F1481" s="44" t="s">
        <v>8761</v>
      </c>
      <c r="G1481" s="44" t="s">
        <v>1833</v>
      </c>
      <c r="H1481" s="29">
        <v>3</v>
      </c>
      <c r="I1481" s="25" t="s">
        <v>605</v>
      </c>
      <c r="J1481" s="25" t="s">
        <v>2787</v>
      </c>
      <c r="K1481" s="25" t="s">
        <v>1518</v>
      </c>
      <c r="L1481" s="167">
        <f t="shared" si="52"/>
        <v>892.85714285714278</v>
      </c>
      <c r="M1481" s="167">
        <f t="shared" si="53"/>
        <v>107.14285714285712</v>
      </c>
      <c r="N1481" s="23">
        <v>1000</v>
      </c>
      <c r="O1481" s="27" t="s">
        <v>8762</v>
      </c>
      <c r="P1481" s="35" t="s">
        <v>569</v>
      </c>
      <c r="Q1481" s="35" t="s">
        <v>225</v>
      </c>
      <c r="R1481" s="29" t="s">
        <v>6554</v>
      </c>
    </row>
    <row r="1482" spans="1:18" x14ac:dyDescent="0.3">
      <c r="A1482" s="20">
        <v>45559</v>
      </c>
      <c r="B1482" s="32" t="s">
        <v>8763</v>
      </c>
      <c r="C1482" s="25" t="s">
        <v>8764</v>
      </c>
      <c r="D1482" s="25" t="s">
        <v>8765</v>
      </c>
      <c r="E1482" s="44" t="s">
        <v>8766</v>
      </c>
      <c r="F1482" s="44" t="s">
        <v>8767</v>
      </c>
      <c r="G1482" s="44" t="s">
        <v>1840</v>
      </c>
      <c r="H1482" s="29">
        <v>8</v>
      </c>
      <c r="I1482" s="25" t="s">
        <v>617</v>
      </c>
      <c r="J1482" s="25" t="s">
        <v>3868</v>
      </c>
      <c r="K1482" s="25" t="s">
        <v>3868</v>
      </c>
      <c r="L1482" s="167">
        <f t="shared" si="52"/>
        <v>3562.4999999999995</v>
      </c>
      <c r="M1482" s="167">
        <f t="shared" si="53"/>
        <v>427.49999999999994</v>
      </c>
      <c r="N1482" s="118">
        <v>3990</v>
      </c>
      <c r="O1482" s="27" t="s">
        <v>8768</v>
      </c>
      <c r="P1482" s="25" t="s">
        <v>6059</v>
      </c>
      <c r="Q1482" s="25" t="s">
        <v>65</v>
      </c>
      <c r="R1482" s="29" t="s">
        <v>6554</v>
      </c>
    </row>
    <row r="1483" spans="1:18" x14ac:dyDescent="0.3">
      <c r="A1483" s="20">
        <v>45559</v>
      </c>
      <c r="B1483" s="32" t="s">
        <v>8769</v>
      </c>
      <c r="C1483" s="25" t="s">
        <v>8770</v>
      </c>
      <c r="D1483" s="25" t="s">
        <v>8771</v>
      </c>
      <c r="E1483" s="44" t="s">
        <v>8772</v>
      </c>
      <c r="F1483" s="44" t="s">
        <v>8773</v>
      </c>
      <c r="G1483" s="44" t="s">
        <v>8774</v>
      </c>
      <c r="H1483" s="29">
        <v>6</v>
      </c>
      <c r="I1483" s="25" t="s">
        <v>605</v>
      </c>
      <c r="J1483" s="25" t="s">
        <v>2787</v>
      </c>
      <c r="K1483" s="25" t="s">
        <v>2488</v>
      </c>
      <c r="L1483" s="167">
        <f t="shared" si="52"/>
        <v>2678.5714285714284</v>
      </c>
      <c r="M1483" s="167">
        <f t="shared" si="53"/>
        <v>321.42857142857139</v>
      </c>
      <c r="N1483" s="118">
        <v>3000</v>
      </c>
      <c r="O1483" s="27" t="s">
        <v>8775</v>
      </c>
      <c r="P1483" s="25" t="s">
        <v>5743</v>
      </c>
      <c r="Q1483" s="25" t="s">
        <v>2804</v>
      </c>
      <c r="R1483" s="29" t="s">
        <v>6554</v>
      </c>
    </row>
    <row r="1484" spans="1:18" x14ac:dyDescent="0.3">
      <c r="A1484" s="20">
        <v>45560</v>
      </c>
      <c r="B1484" s="32" t="s">
        <v>8776</v>
      </c>
      <c r="C1484" s="25" t="s">
        <v>8777</v>
      </c>
      <c r="D1484" s="25" t="s">
        <v>8778</v>
      </c>
      <c r="E1484" s="44" t="s">
        <v>8779</v>
      </c>
      <c r="F1484" s="44" t="s">
        <v>8780</v>
      </c>
      <c r="G1484" s="44" t="s">
        <v>1840</v>
      </c>
      <c r="H1484" s="29">
        <v>5</v>
      </c>
      <c r="I1484" s="25" t="s">
        <v>617</v>
      </c>
      <c r="J1484" s="25" t="s">
        <v>2787</v>
      </c>
      <c r="K1484" s="25" t="s">
        <v>2488</v>
      </c>
      <c r="L1484" s="167">
        <f t="shared" si="52"/>
        <v>1071.4285714285713</v>
      </c>
      <c r="M1484" s="167">
        <f t="shared" si="53"/>
        <v>128.57142857142856</v>
      </c>
      <c r="N1484" s="118">
        <v>1200</v>
      </c>
      <c r="O1484" s="27" t="s">
        <v>8781</v>
      </c>
      <c r="P1484" s="25" t="s">
        <v>1482</v>
      </c>
      <c r="Q1484" s="25" t="s">
        <v>225</v>
      </c>
      <c r="R1484" s="29">
        <v>9060</v>
      </c>
    </row>
    <row r="1485" spans="1:18" x14ac:dyDescent="0.3">
      <c r="A1485" s="20">
        <v>45560</v>
      </c>
      <c r="B1485" s="32" t="s">
        <v>8782</v>
      </c>
      <c r="C1485" s="25" t="s">
        <v>8783</v>
      </c>
      <c r="D1485" s="25" t="s">
        <v>8784</v>
      </c>
      <c r="E1485" s="44" t="s">
        <v>8785</v>
      </c>
      <c r="F1485" s="44" t="s">
        <v>8786</v>
      </c>
      <c r="G1485" s="44" t="s">
        <v>1919</v>
      </c>
      <c r="H1485" s="29">
        <v>4</v>
      </c>
      <c r="I1485" s="55" t="s">
        <v>605</v>
      </c>
      <c r="J1485" s="25" t="s">
        <v>2787</v>
      </c>
      <c r="K1485" s="191" t="s">
        <v>2488</v>
      </c>
      <c r="L1485" s="167">
        <f t="shared" si="52"/>
        <v>892.85714285714278</v>
      </c>
      <c r="M1485" s="167">
        <f t="shared" si="53"/>
        <v>107.14285714285712</v>
      </c>
      <c r="N1485" s="118">
        <v>1000</v>
      </c>
      <c r="O1485" s="27" t="s">
        <v>8787</v>
      </c>
      <c r="P1485" s="25" t="s">
        <v>2804</v>
      </c>
      <c r="Q1485" s="25" t="s">
        <v>782</v>
      </c>
      <c r="R1485" s="29">
        <v>2904</v>
      </c>
    </row>
    <row r="1486" spans="1:18" x14ac:dyDescent="0.3">
      <c r="A1486" s="20">
        <v>45560</v>
      </c>
      <c r="B1486" s="32" t="s">
        <v>8788</v>
      </c>
      <c r="C1486" s="25" t="s">
        <v>8789</v>
      </c>
      <c r="D1486" s="25" t="s">
        <v>8790</v>
      </c>
      <c r="E1486" s="44" t="s">
        <v>8791</v>
      </c>
      <c r="F1486" s="44" t="s">
        <v>8792</v>
      </c>
      <c r="G1486" s="44" t="s">
        <v>1962</v>
      </c>
      <c r="H1486" s="29">
        <v>10</v>
      </c>
      <c r="I1486" s="25" t="s">
        <v>605</v>
      </c>
      <c r="J1486" s="25" t="s">
        <v>2787</v>
      </c>
      <c r="K1486" s="25" t="s">
        <v>2488</v>
      </c>
      <c r="L1486" s="167">
        <f t="shared" ref="L1486:L1549" si="54">+N1486/1.12</f>
        <v>3214.2857142857138</v>
      </c>
      <c r="M1486" s="167">
        <f t="shared" ref="M1486:M1549" si="55">+L1486*12%</f>
        <v>385.71428571428567</v>
      </c>
      <c r="N1486" s="118">
        <v>3600</v>
      </c>
      <c r="O1486" s="27" t="s">
        <v>8793</v>
      </c>
      <c r="P1486" s="25" t="s">
        <v>2832</v>
      </c>
      <c r="Q1486" s="25" t="s">
        <v>3026</v>
      </c>
      <c r="R1486" s="29">
        <v>2904</v>
      </c>
    </row>
    <row r="1487" spans="1:18" x14ac:dyDescent="0.3">
      <c r="A1487" s="20">
        <v>45560</v>
      </c>
      <c r="B1487" s="32" t="s">
        <v>8794</v>
      </c>
      <c r="C1487" s="25" t="s">
        <v>8795</v>
      </c>
      <c r="D1487" s="25" t="s">
        <v>8796</v>
      </c>
      <c r="E1487" s="44" t="s">
        <v>8797</v>
      </c>
      <c r="F1487" s="44" t="s">
        <v>8798</v>
      </c>
      <c r="G1487" s="44" t="s">
        <v>1995</v>
      </c>
      <c r="H1487" s="29">
        <v>6</v>
      </c>
      <c r="I1487" s="25" t="s">
        <v>605</v>
      </c>
      <c r="J1487" s="25" t="s">
        <v>2787</v>
      </c>
      <c r="K1487" s="25" t="s">
        <v>1518</v>
      </c>
      <c r="L1487" s="167">
        <f t="shared" si="54"/>
        <v>1776.7857142857142</v>
      </c>
      <c r="M1487" s="167">
        <f t="shared" si="55"/>
        <v>213.21428571428569</v>
      </c>
      <c r="N1487" s="118">
        <v>1990</v>
      </c>
      <c r="O1487" s="27" t="s">
        <v>8799</v>
      </c>
      <c r="P1487" s="25" t="s">
        <v>782</v>
      </c>
      <c r="Q1487" s="25" t="s">
        <v>371</v>
      </c>
      <c r="R1487" s="29" t="s">
        <v>6554</v>
      </c>
    </row>
    <row r="1488" spans="1:18" x14ac:dyDescent="0.3">
      <c r="A1488" s="20">
        <v>45561</v>
      </c>
      <c r="B1488" s="32" t="s">
        <v>8800</v>
      </c>
      <c r="C1488" s="25" t="s">
        <v>8801</v>
      </c>
      <c r="D1488" s="25" t="s">
        <v>8802</v>
      </c>
      <c r="E1488" s="44" t="s">
        <v>8803</v>
      </c>
      <c r="F1488" s="44" t="s">
        <v>8804</v>
      </c>
      <c r="G1488" s="44" t="s">
        <v>1840</v>
      </c>
      <c r="H1488" s="29">
        <v>4</v>
      </c>
      <c r="I1488" s="25" t="s">
        <v>3003</v>
      </c>
      <c r="J1488" s="25" t="s">
        <v>2787</v>
      </c>
      <c r="K1488" s="25" t="s">
        <v>1586</v>
      </c>
      <c r="L1488" s="167">
        <f t="shared" si="54"/>
        <v>999.99999999999989</v>
      </c>
      <c r="M1488" s="167">
        <f t="shared" si="55"/>
        <v>119.99999999999999</v>
      </c>
      <c r="N1488" s="118">
        <v>1120</v>
      </c>
      <c r="O1488" s="27" t="s">
        <v>8805</v>
      </c>
      <c r="P1488" s="25" t="s">
        <v>371</v>
      </c>
      <c r="Q1488" s="25" t="s">
        <v>3026</v>
      </c>
      <c r="R1488" s="29" t="s">
        <v>6554</v>
      </c>
    </row>
    <row r="1489" spans="1:18" x14ac:dyDescent="0.3">
      <c r="A1489" s="20">
        <v>45561</v>
      </c>
      <c r="B1489" s="32" t="s">
        <v>8806</v>
      </c>
      <c r="C1489" s="25" t="s">
        <v>8807</v>
      </c>
      <c r="D1489" s="25" t="s">
        <v>8808</v>
      </c>
      <c r="E1489" s="44" t="s">
        <v>8809</v>
      </c>
      <c r="F1489" s="44" t="s">
        <v>8810</v>
      </c>
      <c r="G1489" s="44" t="s">
        <v>1919</v>
      </c>
      <c r="H1489" s="29">
        <v>3</v>
      </c>
      <c r="I1489" s="25" t="s">
        <v>617</v>
      </c>
      <c r="J1489" s="25" t="s">
        <v>3266</v>
      </c>
      <c r="K1489" s="25" t="s">
        <v>3266</v>
      </c>
      <c r="L1489" s="167">
        <f t="shared" si="54"/>
        <v>937.49999999999989</v>
      </c>
      <c r="M1489" s="167">
        <f t="shared" si="55"/>
        <v>112.49999999999999</v>
      </c>
      <c r="N1489" s="118">
        <v>1050</v>
      </c>
      <c r="O1489" s="27" t="s">
        <v>8811</v>
      </c>
      <c r="P1489" s="25" t="s">
        <v>1482</v>
      </c>
      <c r="Q1489" s="25" t="s">
        <v>65</v>
      </c>
      <c r="R1489" s="29" t="s">
        <v>8812</v>
      </c>
    </row>
    <row r="1490" spans="1:18" x14ac:dyDescent="0.3">
      <c r="A1490" s="20">
        <v>45562</v>
      </c>
      <c r="B1490" s="32" t="s">
        <v>8813</v>
      </c>
      <c r="C1490" s="25" t="s">
        <v>8814</v>
      </c>
      <c r="D1490" s="25" t="s">
        <v>8815</v>
      </c>
      <c r="E1490" s="44" t="s">
        <v>8816</v>
      </c>
      <c r="F1490" s="44" t="s">
        <v>8817</v>
      </c>
      <c r="G1490" s="44" t="s">
        <v>1826</v>
      </c>
      <c r="H1490" s="29">
        <v>5</v>
      </c>
      <c r="I1490" s="25" t="s">
        <v>3003</v>
      </c>
      <c r="J1490" s="25" t="s">
        <v>2787</v>
      </c>
      <c r="K1490" s="25" t="s">
        <v>1518</v>
      </c>
      <c r="L1490" s="167">
        <f t="shared" si="54"/>
        <v>1160.7142857142856</v>
      </c>
      <c r="M1490" s="167">
        <f t="shared" si="55"/>
        <v>139.28571428571425</v>
      </c>
      <c r="N1490" s="118">
        <v>1300</v>
      </c>
      <c r="O1490" s="295" t="s">
        <v>8818</v>
      </c>
      <c r="P1490" s="25" t="s">
        <v>569</v>
      </c>
      <c r="Q1490" s="25" t="s">
        <v>3026</v>
      </c>
      <c r="R1490" s="29" t="s">
        <v>6554</v>
      </c>
    </row>
    <row r="1491" spans="1:18" x14ac:dyDescent="0.3">
      <c r="A1491" s="20">
        <v>45561</v>
      </c>
      <c r="B1491" s="32" t="s">
        <v>8819</v>
      </c>
      <c r="C1491" s="25" t="s">
        <v>413</v>
      </c>
      <c r="D1491" s="25" t="s">
        <v>8820</v>
      </c>
      <c r="E1491" s="44" t="s">
        <v>8821</v>
      </c>
      <c r="F1491" s="44" t="s">
        <v>8822</v>
      </c>
      <c r="G1491" s="44" t="s">
        <v>1926</v>
      </c>
      <c r="H1491" s="29">
        <v>2</v>
      </c>
      <c r="I1491" s="25" t="s">
        <v>605</v>
      </c>
      <c r="J1491" s="25" t="s">
        <v>3266</v>
      </c>
      <c r="K1491" s="25" t="s">
        <v>3266</v>
      </c>
      <c r="L1491" s="167">
        <f t="shared" si="54"/>
        <v>714.28571428571422</v>
      </c>
      <c r="M1491" s="167">
        <f t="shared" si="55"/>
        <v>85.714285714285708</v>
      </c>
      <c r="N1491" s="118">
        <v>800</v>
      </c>
      <c r="O1491" s="27" t="s">
        <v>8823</v>
      </c>
      <c r="P1491" s="25" t="s">
        <v>6059</v>
      </c>
      <c r="Q1491" s="25" t="s">
        <v>6059</v>
      </c>
      <c r="R1491" s="29" t="s">
        <v>8824</v>
      </c>
    </row>
    <row r="1492" spans="1:18" x14ac:dyDescent="0.3">
      <c r="A1492" s="20">
        <v>45563</v>
      </c>
      <c r="B1492" s="32" t="s">
        <v>8825</v>
      </c>
      <c r="C1492" s="25" t="s">
        <v>8826</v>
      </c>
      <c r="D1492" s="25" t="s">
        <v>8827</v>
      </c>
      <c r="E1492" s="44" t="s">
        <v>8828</v>
      </c>
      <c r="F1492" s="44" t="s">
        <v>8829</v>
      </c>
      <c r="G1492" s="44" t="s">
        <v>1919</v>
      </c>
      <c r="H1492" s="29">
        <v>2</v>
      </c>
      <c r="I1492" s="25" t="s">
        <v>605</v>
      </c>
      <c r="J1492" s="25" t="s">
        <v>2787</v>
      </c>
      <c r="K1492" s="25" t="s">
        <v>1518</v>
      </c>
      <c r="L1492" s="167">
        <f t="shared" si="54"/>
        <v>624.99999999999989</v>
      </c>
      <c r="M1492" s="167">
        <f t="shared" si="55"/>
        <v>74.999999999999986</v>
      </c>
      <c r="N1492" s="118">
        <v>700</v>
      </c>
      <c r="O1492" s="27" t="s">
        <v>8830</v>
      </c>
      <c r="P1492" s="25" t="s">
        <v>8831</v>
      </c>
      <c r="Q1492" s="25" t="s">
        <v>3026</v>
      </c>
      <c r="R1492" s="29" t="s">
        <v>6554</v>
      </c>
    </row>
    <row r="1493" spans="1:18" x14ac:dyDescent="0.3">
      <c r="A1493" s="20">
        <v>45563</v>
      </c>
      <c r="B1493" s="32" t="s">
        <v>8832</v>
      </c>
      <c r="C1493" s="25" t="s">
        <v>8833</v>
      </c>
      <c r="D1493" s="25" t="s">
        <v>8834</v>
      </c>
      <c r="E1493" s="44" t="s">
        <v>8835</v>
      </c>
      <c r="F1493" s="44" t="s">
        <v>8836</v>
      </c>
      <c r="G1493" s="44" t="s">
        <v>1840</v>
      </c>
      <c r="H1493" s="29">
        <v>4</v>
      </c>
      <c r="I1493" s="25" t="s">
        <v>605</v>
      </c>
      <c r="J1493" s="25" t="s">
        <v>2787</v>
      </c>
      <c r="K1493" s="25" t="s">
        <v>1586</v>
      </c>
      <c r="L1493" s="167">
        <f t="shared" si="54"/>
        <v>937.49999999999989</v>
      </c>
      <c r="M1493" s="167">
        <f t="shared" si="55"/>
        <v>112.49999999999999</v>
      </c>
      <c r="N1493" s="118">
        <v>1050</v>
      </c>
      <c r="O1493" s="27" t="s">
        <v>8837</v>
      </c>
      <c r="P1493" s="25" t="s">
        <v>6059</v>
      </c>
      <c r="Q1493" s="25" t="s">
        <v>782</v>
      </c>
      <c r="R1493" s="29" t="s">
        <v>7652</v>
      </c>
    </row>
    <row r="1494" spans="1:18" x14ac:dyDescent="0.3">
      <c r="A1494" s="20">
        <v>45563</v>
      </c>
      <c r="B1494" s="32" t="s">
        <v>8838</v>
      </c>
      <c r="C1494" s="25" t="s">
        <v>8839</v>
      </c>
      <c r="D1494" s="25" t="s">
        <v>8840</v>
      </c>
      <c r="E1494" s="44" t="s">
        <v>8841</v>
      </c>
      <c r="F1494" s="44" t="s">
        <v>8842</v>
      </c>
      <c r="G1494" s="44" t="s">
        <v>1840</v>
      </c>
      <c r="H1494" s="29">
        <v>5</v>
      </c>
      <c r="I1494" s="25" t="s">
        <v>605</v>
      </c>
      <c r="J1494" s="25" t="s">
        <v>2787</v>
      </c>
      <c r="K1494" s="25" t="s">
        <v>1518</v>
      </c>
      <c r="L1494" s="167">
        <f t="shared" si="54"/>
        <v>982.142857142857</v>
      </c>
      <c r="M1494" s="167">
        <f t="shared" si="55"/>
        <v>117.85714285714283</v>
      </c>
      <c r="N1494" s="118">
        <v>1100</v>
      </c>
      <c r="O1494" s="27" t="s">
        <v>8843</v>
      </c>
      <c r="P1494" s="25" t="s">
        <v>1482</v>
      </c>
      <c r="Q1494" s="25" t="s">
        <v>8844</v>
      </c>
      <c r="R1494" s="29" t="s">
        <v>8167</v>
      </c>
    </row>
    <row r="1495" spans="1:18" x14ac:dyDescent="0.3">
      <c r="A1495" s="20">
        <v>45566</v>
      </c>
      <c r="B1495" s="25" t="s">
        <v>920</v>
      </c>
      <c r="C1495" s="25" t="s">
        <v>8845</v>
      </c>
      <c r="D1495" s="25" t="s">
        <v>8846</v>
      </c>
      <c r="E1495" s="44" t="s">
        <v>8847</v>
      </c>
      <c r="F1495" s="44" t="s">
        <v>8848</v>
      </c>
      <c r="G1495" s="44" t="s">
        <v>1826</v>
      </c>
      <c r="H1495" s="29">
        <v>3</v>
      </c>
      <c r="I1495" s="25" t="s">
        <v>611</v>
      </c>
      <c r="J1495" s="25" t="s">
        <v>2787</v>
      </c>
      <c r="K1495" s="25" t="s">
        <v>200</v>
      </c>
      <c r="L1495" s="167">
        <f t="shared" si="54"/>
        <v>669.64285714285711</v>
      </c>
      <c r="M1495" s="167">
        <f t="shared" si="55"/>
        <v>80.357142857142847</v>
      </c>
      <c r="N1495" s="118">
        <v>750</v>
      </c>
      <c r="O1495" s="299" t="s">
        <v>8849</v>
      </c>
      <c r="P1495" s="300"/>
      <c r="Q1495" s="300"/>
      <c r="R1495" s="301"/>
    </row>
    <row r="1496" spans="1:18" x14ac:dyDescent="0.3">
      <c r="A1496" s="20">
        <v>45567</v>
      </c>
      <c r="B1496" s="32" t="s">
        <v>8850</v>
      </c>
      <c r="C1496" s="25" t="s">
        <v>8851</v>
      </c>
      <c r="D1496" s="25" t="s">
        <v>8852</v>
      </c>
      <c r="E1496" s="44" t="s">
        <v>8853</v>
      </c>
      <c r="F1496" s="44" t="s">
        <v>8854</v>
      </c>
      <c r="G1496" s="44" t="s">
        <v>1833</v>
      </c>
      <c r="H1496" s="29">
        <v>4</v>
      </c>
      <c r="I1496" s="25" t="s">
        <v>605</v>
      </c>
      <c r="J1496" s="25" t="s">
        <v>2787</v>
      </c>
      <c r="K1496" s="25" t="s">
        <v>2488</v>
      </c>
      <c r="L1496" s="167">
        <f t="shared" si="54"/>
        <v>624.99999999999989</v>
      </c>
      <c r="M1496" s="167">
        <f t="shared" si="55"/>
        <v>74.999999999999986</v>
      </c>
      <c r="N1496" s="118">
        <v>700</v>
      </c>
      <c r="O1496" s="27" t="s">
        <v>8855</v>
      </c>
      <c r="P1496" s="25" t="s">
        <v>2804</v>
      </c>
      <c r="Q1496" s="25" t="s">
        <v>8744</v>
      </c>
      <c r="R1496" s="29" t="s">
        <v>7397</v>
      </c>
    </row>
    <row r="1497" spans="1:18" x14ac:dyDescent="0.3">
      <c r="A1497" s="20">
        <v>45568</v>
      </c>
      <c r="B1497" s="32" t="s">
        <v>8856</v>
      </c>
      <c r="C1497" s="25" t="s">
        <v>8857</v>
      </c>
      <c r="D1497" s="25" t="s">
        <v>8858</v>
      </c>
      <c r="E1497" s="44" t="s">
        <v>8859</v>
      </c>
      <c r="F1497" s="44" t="s">
        <v>8860</v>
      </c>
      <c r="G1497" s="44" t="s">
        <v>1833</v>
      </c>
      <c r="H1497" s="29">
        <v>2</v>
      </c>
      <c r="I1497" s="25" t="s">
        <v>605</v>
      </c>
      <c r="J1497" s="25" t="s">
        <v>8861</v>
      </c>
      <c r="K1497" s="25" t="s">
        <v>8861</v>
      </c>
      <c r="L1497" s="167">
        <f t="shared" si="54"/>
        <v>624.99999999999989</v>
      </c>
      <c r="M1497" s="167">
        <f t="shared" si="55"/>
        <v>74.999999999999986</v>
      </c>
      <c r="N1497" s="118">
        <v>700</v>
      </c>
      <c r="O1497" s="27" t="s">
        <v>8862</v>
      </c>
      <c r="P1497" s="25" t="s">
        <v>6428</v>
      </c>
      <c r="Q1497" s="25" t="s">
        <v>3026</v>
      </c>
      <c r="R1497" s="29">
        <v>9060</v>
      </c>
    </row>
    <row r="1498" spans="1:18" x14ac:dyDescent="0.3">
      <c r="A1498" s="20">
        <v>45568</v>
      </c>
      <c r="B1498" s="32" t="s">
        <v>8863</v>
      </c>
      <c r="C1498" s="43" t="s">
        <v>8864</v>
      </c>
      <c r="D1498" s="43" t="s">
        <v>8865</v>
      </c>
      <c r="E1498" s="51" t="s">
        <v>8866</v>
      </c>
      <c r="F1498" s="51" t="s">
        <v>8867</v>
      </c>
      <c r="G1498" s="51" t="s">
        <v>1919</v>
      </c>
      <c r="H1498" s="52">
        <v>7</v>
      </c>
      <c r="I1498" s="43" t="s">
        <v>617</v>
      </c>
      <c r="J1498" s="43" t="s">
        <v>2787</v>
      </c>
      <c r="K1498" s="43" t="s">
        <v>1586</v>
      </c>
      <c r="L1498" s="167">
        <f t="shared" si="54"/>
        <v>1339.2857142857142</v>
      </c>
      <c r="M1498" s="167">
        <f t="shared" si="55"/>
        <v>160.71428571428569</v>
      </c>
      <c r="N1498" s="118">
        <v>1500</v>
      </c>
      <c r="O1498" s="53" t="s">
        <v>8868</v>
      </c>
      <c r="P1498" s="43" t="s">
        <v>2865</v>
      </c>
      <c r="Q1498" s="43" t="s">
        <v>65</v>
      </c>
      <c r="R1498" s="52" t="s">
        <v>7652</v>
      </c>
    </row>
    <row r="1499" spans="1:18" x14ac:dyDescent="0.3">
      <c r="A1499" s="20">
        <v>45570</v>
      </c>
      <c r="B1499" s="32" t="s">
        <v>8869</v>
      </c>
      <c r="C1499" s="25" t="s">
        <v>8870</v>
      </c>
      <c r="D1499" s="25" t="s">
        <v>8871</v>
      </c>
      <c r="E1499" s="44" t="s">
        <v>8872</v>
      </c>
      <c r="F1499" s="44" t="s">
        <v>8873</v>
      </c>
      <c r="G1499" s="44" t="s">
        <v>1833</v>
      </c>
      <c r="H1499" s="29">
        <v>4</v>
      </c>
      <c r="I1499" s="25" t="s">
        <v>617</v>
      </c>
      <c r="J1499" s="25" t="s">
        <v>8874</v>
      </c>
      <c r="K1499" s="25" t="s">
        <v>1586</v>
      </c>
      <c r="L1499" s="167">
        <f t="shared" si="54"/>
        <v>1071.4285714285713</v>
      </c>
      <c r="M1499" s="167">
        <f t="shared" si="55"/>
        <v>128.57142857142856</v>
      </c>
      <c r="N1499" s="118">
        <v>1200</v>
      </c>
      <c r="O1499" s="27" t="s">
        <v>8875</v>
      </c>
      <c r="P1499" s="25" t="s">
        <v>6059</v>
      </c>
      <c r="Q1499" s="25" t="s">
        <v>782</v>
      </c>
      <c r="R1499" s="29" t="s">
        <v>7652</v>
      </c>
    </row>
    <row r="1500" spans="1:18" x14ac:dyDescent="0.3">
      <c r="A1500" s="20">
        <v>45570</v>
      </c>
      <c r="B1500" s="32" t="s">
        <v>8876</v>
      </c>
      <c r="C1500" s="25" t="s">
        <v>8877</v>
      </c>
      <c r="D1500" s="25" t="s">
        <v>8878</v>
      </c>
      <c r="E1500" s="44" t="s">
        <v>8879</v>
      </c>
      <c r="F1500" s="44" t="s">
        <v>8880</v>
      </c>
      <c r="G1500" s="44" t="s">
        <v>1919</v>
      </c>
      <c r="H1500" s="29">
        <v>4</v>
      </c>
      <c r="I1500" s="25" t="s">
        <v>617</v>
      </c>
      <c r="J1500" s="25" t="s">
        <v>3868</v>
      </c>
      <c r="K1500" s="25" t="s">
        <v>3868</v>
      </c>
      <c r="L1500" s="167">
        <f t="shared" si="54"/>
        <v>1071.4285714285713</v>
      </c>
      <c r="M1500" s="167">
        <f t="shared" si="55"/>
        <v>128.57142857142856</v>
      </c>
      <c r="N1500" s="118">
        <v>1200</v>
      </c>
      <c r="O1500" s="27" t="s">
        <v>8881</v>
      </c>
      <c r="P1500" s="25" t="s">
        <v>6428</v>
      </c>
      <c r="Q1500" s="25" t="s">
        <v>340</v>
      </c>
      <c r="R1500" s="29" t="s">
        <v>7397</v>
      </c>
    </row>
    <row r="1501" spans="1:18" x14ac:dyDescent="0.3">
      <c r="A1501" s="20">
        <v>45570</v>
      </c>
      <c r="B1501" s="32" t="s">
        <v>8882</v>
      </c>
      <c r="C1501" s="25" t="s">
        <v>8883</v>
      </c>
      <c r="D1501" s="25" t="s">
        <v>8884</v>
      </c>
      <c r="E1501" s="44" t="s">
        <v>8885</v>
      </c>
      <c r="F1501" s="44" t="s">
        <v>8886</v>
      </c>
      <c r="G1501" s="44" t="s">
        <v>1833</v>
      </c>
      <c r="H1501" s="29">
        <v>2</v>
      </c>
      <c r="I1501" s="25" t="s">
        <v>605</v>
      </c>
      <c r="J1501" s="25" t="s">
        <v>8861</v>
      </c>
      <c r="K1501" s="25" t="s">
        <v>8861</v>
      </c>
      <c r="L1501" s="167">
        <f t="shared" si="54"/>
        <v>624.99999999999989</v>
      </c>
      <c r="M1501" s="167">
        <f t="shared" si="55"/>
        <v>74.999999999999986</v>
      </c>
      <c r="N1501" s="118">
        <v>700</v>
      </c>
      <c r="O1501" s="27" t="s">
        <v>8887</v>
      </c>
      <c r="P1501" s="25" t="s">
        <v>371</v>
      </c>
      <c r="Q1501" s="25" t="s">
        <v>782</v>
      </c>
      <c r="R1501" s="29" t="s">
        <v>7982</v>
      </c>
    </row>
    <row r="1502" spans="1:18" x14ac:dyDescent="0.3">
      <c r="A1502" s="20">
        <v>45570</v>
      </c>
      <c r="B1502" s="32" t="s">
        <v>8888</v>
      </c>
      <c r="C1502" s="25" t="s">
        <v>5467</v>
      </c>
      <c r="D1502" s="25" t="s">
        <v>8889</v>
      </c>
      <c r="E1502" s="44" t="s">
        <v>8890</v>
      </c>
      <c r="F1502" s="44" t="s">
        <v>8891</v>
      </c>
      <c r="G1502" s="44" t="s">
        <v>1919</v>
      </c>
      <c r="H1502" s="29">
        <v>2</v>
      </c>
      <c r="I1502" s="25" t="s">
        <v>605</v>
      </c>
      <c r="J1502" s="25" t="s">
        <v>3868</v>
      </c>
      <c r="K1502" s="25" t="s">
        <v>3868</v>
      </c>
      <c r="L1502" s="167">
        <f t="shared" si="54"/>
        <v>624.99999999999989</v>
      </c>
      <c r="M1502" s="167">
        <f t="shared" si="55"/>
        <v>74.999999999999986</v>
      </c>
      <c r="N1502" s="118">
        <v>700</v>
      </c>
      <c r="O1502" s="27" t="s">
        <v>8892</v>
      </c>
      <c r="P1502" s="25" t="s">
        <v>5743</v>
      </c>
      <c r="Q1502" s="25" t="s">
        <v>2832</v>
      </c>
      <c r="R1502" s="29" t="s">
        <v>6554</v>
      </c>
    </row>
    <row r="1503" spans="1:18" x14ac:dyDescent="0.3">
      <c r="A1503" s="20">
        <v>45570</v>
      </c>
      <c r="B1503" s="32" t="s">
        <v>8893</v>
      </c>
      <c r="C1503" s="25" t="s">
        <v>1417</v>
      </c>
      <c r="D1503" s="25" t="s">
        <v>8894</v>
      </c>
      <c r="E1503" s="44" t="s">
        <v>8895</v>
      </c>
      <c r="F1503" s="44" t="s">
        <v>8896</v>
      </c>
      <c r="G1503" s="44" t="s">
        <v>1919</v>
      </c>
      <c r="H1503" s="29">
        <v>3</v>
      </c>
      <c r="I1503" s="25" t="s">
        <v>605</v>
      </c>
      <c r="J1503" s="25" t="s">
        <v>3868</v>
      </c>
      <c r="K1503" s="25" t="s">
        <v>3868</v>
      </c>
      <c r="L1503" s="167">
        <f t="shared" si="54"/>
        <v>892.85714285714278</v>
      </c>
      <c r="M1503" s="167">
        <f t="shared" si="55"/>
        <v>107.14285714285712</v>
      </c>
      <c r="N1503" s="118">
        <v>1000</v>
      </c>
      <c r="O1503" s="27" t="s">
        <v>8897</v>
      </c>
      <c r="P1503" s="25" t="s">
        <v>371</v>
      </c>
      <c r="Q1503" s="25" t="s">
        <v>340</v>
      </c>
      <c r="R1503" s="29">
        <v>2904</v>
      </c>
    </row>
    <row r="1504" spans="1:18" x14ac:dyDescent="0.3">
      <c r="A1504" s="20">
        <v>45570</v>
      </c>
      <c r="B1504" s="32" t="s">
        <v>8898</v>
      </c>
      <c r="C1504" s="25" t="s">
        <v>8899</v>
      </c>
      <c r="D1504" s="25" t="s">
        <v>8900</v>
      </c>
      <c r="E1504" s="44" t="s">
        <v>8901</v>
      </c>
      <c r="F1504" s="44" t="s">
        <v>8902</v>
      </c>
      <c r="G1504" s="44" t="s">
        <v>1840</v>
      </c>
      <c r="H1504" s="29">
        <v>5</v>
      </c>
      <c r="I1504" s="25" t="s">
        <v>617</v>
      </c>
      <c r="J1504" s="25" t="s">
        <v>3868</v>
      </c>
      <c r="K1504" s="25" t="s">
        <v>3868</v>
      </c>
      <c r="L1504" s="167">
        <f t="shared" si="54"/>
        <v>2669.6428571428569</v>
      </c>
      <c r="M1504" s="167">
        <f t="shared" si="55"/>
        <v>320.35714285714283</v>
      </c>
      <c r="N1504" s="118">
        <v>2990</v>
      </c>
      <c r="O1504" s="27" t="s">
        <v>8903</v>
      </c>
      <c r="P1504" s="25" t="s">
        <v>371</v>
      </c>
      <c r="Q1504" s="25" t="s">
        <v>65</v>
      </c>
      <c r="R1504" s="29" t="s">
        <v>6554</v>
      </c>
    </row>
    <row r="1505" spans="1:18" x14ac:dyDescent="0.3">
      <c r="A1505" s="234">
        <v>45573</v>
      </c>
      <c r="B1505" s="32" t="s">
        <v>8904</v>
      </c>
      <c r="C1505" s="32" t="s">
        <v>8905</v>
      </c>
      <c r="D1505" s="32" t="s">
        <v>8906</v>
      </c>
      <c r="E1505" s="44" t="s">
        <v>8907</v>
      </c>
      <c r="F1505" s="44" t="s">
        <v>8908</v>
      </c>
      <c r="G1505" s="44" t="s">
        <v>1919</v>
      </c>
      <c r="H1505" s="29">
        <v>4</v>
      </c>
      <c r="I1505" s="32" t="s">
        <v>605</v>
      </c>
      <c r="J1505" s="32" t="s">
        <v>8909</v>
      </c>
      <c r="K1505" s="32" t="s">
        <v>8909</v>
      </c>
      <c r="L1505" s="167">
        <f t="shared" si="54"/>
        <v>1517.8571428571427</v>
      </c>
      <c r="M1505" s="167">
        <f t="shared" si="55"/>
        <v>182.14285714285711</v>
      </c>
      <c r="N1505" s="118">
        <v>1700</v>
      </c>
      <c r="O1505" s="235" t="s">
        <v>8910</v>
      </c>
      <c r="P1505" s="32" t="s">
        <v>2804</v>
      </c>
      <c r="Q1505" s="32" t="s">
        <v>65</v>
      </c>
      <c r="R1505" s="32" t="s">
        <v>6554</v>
      </c>
    </row>
    <row r="1506" spans="1:18" x14ac:dyDescent="0.3">
      <c r="A1506" s="234">
        <v>45574</v>
      </c>
      <c r="B1506" s="32" t="s">
        <v>8911</v>
      </c>
      <c r="C1506" s="32" t="s">
        <v>8912</v>
      </c>
      <c r="D1506" s="32" t="s">
        <v>8913</v>
      </c>
      <c r="E1506" s="44" t="s">
        <v>8914</v>
      </c>
      <c r="F1506" s="44" t="s">
        <v>8915</v>
      </c>
      <c r="G1506" s="44" t="s">
        <v>1919</v>
      </c>
      <c r="H1506" s="29">
        <v>4</v>
      </c>
      <c r="I1506" s="32" t="s">
        <v>605</v>
      </c>
      <c r="J1506" s="32" t="s">
        <v>8909</v>
      </c>
      <c r="K1506" s="32" t="s">
        <v>8909</v>
      </c>
      <c r="L1506" s="167">
        <f t="shared" si="54"/>
        <v>892.85714285714278</v>
      </c>
      <c r="M1506" s="167">
        <f t="shared" si="55"/>
        <v>107.14285714285712</v>
      </c>
      <c r="N1506" s="118">
        <v>1000</v>
      </c>
      <c r="O1506" s="235" t="s">
        <v>8916</v>
      </c>
      <c r="P1506" s="32" t="s">
        <v>1482</v>
      </c>
      <c r="Q1506" s="32" t="s">
        <v>65</v>
      </c>
      <c r="R1506" s="32">
        <v>2904</v>
      </c>
    </row>
    <row r="1507" spans="1:18" x14ac:dyDescent="0.3">
      <c r="A1507" s="234">
        <v>45575</v>
      </c>
      <c r="B1507" s="32" t="s">
        <v>8917</v>
      </c>
      <c r="C1507" s="32" t="s">
        <v>8918</v>
      </c>
      <c r="D1507" s="32" t="s">
        <v>8919</v>
      </c>
      <c r="E1507" s="44" t="s">
        <v>8920</v>
      </c>
      <c r="F1507" s="44" t="s">
        <v>8921</v>
      </c>
      <c r="G1507" s="44" t="s">
        <v>1833</v>
      </c>
      <c r="H1507" s="29">
        <v>4</v>
      </c>
      <c r="I1507" s="32" t="s">
        <v>605</v>
      </c>
      <c r="J1507" s="32" t="s">
        <v>2787</v>
      </c>
      <c r="K1507" s="32" t="s">
        <v>2488</v>
      </c>
      <c r="L1507" s="167">
        <f t="shared" si="54"/>
        <v>982.142857142857</v>
      </c>
      <c r="M1507" s="167">
        <f t="shared" si="55"/>
        <v>117.85714285714283</v>
      </c>
      <c r="N1507" s="118">
        <v>1100</v>
      </c>
      <c r="O1507" s="235" t="s">
        <v>8922</v>
      </c>
      <c r="P1507" s="32" t="s">
        <v>2832</v>
      </c>
      <c r="Q1507" s="32" t="s">
        <v>782</v>
      </c>
      <c r="R1507" s="32" t="s">
        <v>6554</v>
      </c>
    </row>
    <row r="1508" spans="1:18" x14ac:dyDescent="0.3">
      <c r="A1508" s="234">
        <v>45575</v>
      </c>
      <c r="B1508" s="32" t="s">
        <v>8923</v>
      </c>
      <c r="C1508" s="32" t="s">
        <v>8924</v>
      </c>
      <c r="D1508" s="32" t="s">
        <v>8925</v>
      </c>
      <c r="E1508" s="44" t="s">
        <v>8926</v>
      </c>
      <c r="F1508" s="44" t="s">
        <v>8927</v>
      </c>
      <c r="G1508" s="44" t="s">
        <v>1833</v>
      </c>
      <c r="H1508" s="29">
        <v>5</v>
      </c>
      <c r="I1508" s="32" t="s">
        <v>617</v>
      </c>
      <c r="J1508" s="32" t="s">
        <v>3868</v>
      </c>
      <c r="K1508" s="32" t="s">
        <v>3868</v>
      </c>
      <c r="L1508" s="167">
        <f t="shared" si="54"/>
        <v>1776.7857142857142</v>
      </c>
      <c r="M1508" s="167">
        <f t="shared" si="55"/>
        <v>213.21428571428569</v>
      </c>
      <c r="N1508" s="118">
        <v>1990</v>
      </c>
      <c r="O1508" s="235" t="s">
        <v>8928</v>
      </c>
      <c r="P1508" s="32" t="s">
        <v>2865</v>
      </c>
      <c r="Q1508" s="32" t="s">
        <v>65</v>
      </c>
      <c r="R1508" s="32" t="s">
        <v>7652</v>
      </c>
    </row>
    <row r="1509" spans="1:18" x14ac:dyDescent="0.3">
      <c r="A1509" s="234">
        <v>45575</v>
      </c>
      <c r="B1509" s="32" t="s">
        <v>8929</v>
      </c>
      <c r="C1509" s="32" t="s">
        <v>8930</v>
      </c>
      <c r="D1509" s="32" t="s">
        <v>8931</v>
      </c>
      <c r="E1509" s="44" t="s">
        <v>8932</v>
      </c>
      <c r="F1509" s="44" t="s">
        <v>8933</v>
      </c>
      <c r="G1509" s="44" t="s">
        <v>1919</v>
      </c>
      <c r="H1509" s="29">
        <v>5</v>
      </c>
      <c r="I1509" s="32" t="s">
        <v>605</v>
      </c>
      <c r="J1509" s="32" t="s">
        <v>8934</v>
      </c>
      <c r="K1509" s="32" t="s">
        <v>8934</v>
      </c>
      <c r="L1509" s="167">
        <f t="shared" si="54"/>
        <v>1330.3571428571427</v>
      </c>
      <c r="M1509" s="167">
        <f t="shared" si="55"/>
        <v>159.64285714285711</v>
      </c>
      <c r="N1509" s="118">
        <v>1490</v>
      </c>
      <c r="O1509" s="235" t="s">
        <v>8935</v>
      </c>
      <c r="P1509" s="32" t="s">
        <v>2832</v>
      </c>
      <c r="Q1509" s="32" t="s">
        <v>340</v>
      </c>
      <c r="R1509" s="32" t="s">
        <v>7344</v>
      </c>
    </row>
    <row r="1510" spans="1:18" x14ac:dyDescent="0.3">
      <c r="A1510" s="234">
        <v>45577</v>
      </c>
      <c r="B1510" s="32" t="s">
        <v>8936</v>
      </c>
      <c r="C1510" s="32" t="s">
        <v>1048</v>
      </c>
      <c r="D1510" s="32" t="s">
        <v>8937</v>
      </c>
      <c r="E1510" s="44" t="s">
        <v>8938</v>
      </c>
      <c r="F1510" s="44" t="s">
        <v>8939</v>
      </c>
      <c r="G1510" s="44" t="s">
        <v>1919</v>
      </c>
      <c r="H1510" s="29">
        <v>3</v>
      </c>
      <c r="I1510" s="32" t="s">
        <v>605</v>
      </c>
      <c r="J1510" s="32" t="s">
        <v>2787</v>
      </c>
      <c r="K1510" s="32" t="s">
        <v>200</v>
      </c>
      <c r="L1510" s="167">
        <f t="shared" si="54"/>
        <v>892.85714285714278</v>
      </c>
      <c r="M1510" s="167">
        <f t="shared" si="55"/>
        <v>107.14285714285712</v>
      </c>
      <c r="N1510" s="118">
        <v>1000</v>
      </c>
      <c r="O1510" s="235" t="s">
        <v>8940</v>
      </c>
      <c r="P1510" s="32" t="s">
        <v>2865</v>
      </c>
      <c r="Q1510" s="32" t="s">
        <v>225</v>
      </c>
      <c r="R1510" s="32" t="s">
        <v>6554</v>
      </c>
    </row>
    <row r="1511" spans="1:18" x14ac:dyDescent="0.3">
      <c r="A1511" s="234">
        <v>45577</v>
      </c>
      <c r="B1511" s="32" t="s">
        <v>8941</v>
      </c>
      <c r="C1511" s="32" t="s">
        <v>8942</v>
      </c>
      <c r="D1511" s="32" t="s">
        <v>8943</v>
      </c>
      <c r="E1511" s="44" t="s">
        <v>8944</v>
      </c>
      <c r="F1511" s="44" t="s">
        <v>8945</v>
      </c>
      <c r="G1511" s="44" t="s">
        <v>1826</v>
      </c>
      <c r="H1511" s="29">
        <v>10</v>
      </c>
      <c r="I1511" s="32" t="s">
        <v>3003</v>
      </c>
      <c r="J1511" s="32" t="s">
        <v>2787</v>
      </c>
      <c r="K1511" s="32" t="s">
        <v>1518</v>
      </c>
      <c r="L1511" s="167">
        <f t="shared" si="54"/>
        <v>2669.6428571428569</v>
      </c>
      <c r="M1511" s="167">
        <f t="shared" si="55"/>
        <v>320.35714285714283</v>
      </c>
      <c r="N1511" s="118">
        <v>2990</v>
      </c>
      <c r="O1511" s="235" t="s">
        <v>8946</v>
      </c>
      <c r="P1511" s="32" t="s">
        <v>2832</v>
      </c>
      <c r="Q1511" s="32" t="s">
        <v>3026</v>
      </c>
      <c r="R1511" s="32" t="s">
        <v>7652</v>
      </c>
    </row>
    <row r="1512" spans="1:18" x14ac:dyDescent="0.3">
      <c r="A1512" s="234">
        <v>45577</v>
      </c>
      <c r="B1512" s="32" t="s">
        <v>8947</v>
      </c>
      <c r="C1512" s="32" t="s">
        <v>2142</v>
      </c>
      <c r="D1512" s="32" t="s">
        <v>8146</v>
      </c>
      <c r="E1512" s="44" t="s">
        <v>8948</v>
      </c>
      <c r="F1512" s="44" t="s">
        <v>8949</v>
      </c>
      <c r="G1512" s="44" t="s">
        <v>1919</v>
      </c>
      <c r="H1512" s="29">
        <v>3</v>
      </c>
      <c r="I1512" s="32" t="s">
        <v>605</v>
      </c>
      <c r="J1512" s="32" t="s">
        <v>2787</v>
      </c>
      <c r="K1512" s="32" t="s">
        <v>2488</v>
      </c>
      <c r="L1512" s="167">
        <f t="shared" si="54"/>
        <v>624.99999999999989</v>
      </c>
      <c r="M1512" s="167">
        <f t="shared" si="55"/>
        <v>74.999999999999986</v>
      </c>
      <c r="N1512" s="118">
        <v>700</v>
      </c>
      <c r="O1512" s="235" t="s">
        <v>8950</v>
      </c>
      <c r="P1512" s="32" t="s">
        <v>2804</v>
      </c>
      <c r="Q1512" s="32" t="s">
        <v>340</v>
      </c>
      <c r="R1512" s="32"/>
    </row>
    <row r="1513" spans="1:18" x14ac:dyDescent="0.3">
      <c r="A1513" s="59">
        <v>45581</v>
      </c>
      <c r="B1513" s="32" t="s">
        <v>8951</v>
      </c>
      <c r="C1513" s="32" t="s">
        <v>8952</v>
      </c>
      <c r="D1513" s="32" t="s">
        <v>8953</v>
      </c>
      <c r="E1513" s="44" t="s">
        <v>8954</v>
      </c>
      <c r="F1513" s="44" t="s">
        <v>8955</v>
      </c>
      <c r="G1513" s="44" t="s">
        <v>1919</v>
      </c>
      <c r="H1513" s="29">
        <v>3</v>
      </c>
      <c r="I1513" s="32" t="s">
        <v>605</v>
      </c>
      <c r="J1513" s="32" t="s">
        <v>3868</v>
      </c>
      <c r="K1513" s="32" t="s">
        <v>3868</v>
      </c>
      <c r="L1513" s="167">
        <f t="shared" si="54"/>
        <v>892.85714285714278</v>
      </c>
      <c r="M1513" s="167">
        <f t="shared" si="55"/>
        <v>107.14285714285712</v>
      </c>
      <c r="N1513" s="118">
        <v>1000</v>
      </c>
      <c r="O1513" s="302" t="s">
        <v>8956</v>
      </c>
      <c r="P1513" s="32" t="s">
        <v>6059</v>
      </c>
      <c r="Q1513" s="32" t="s">
        <v>225</v>
      </c>
      <c r="R1513" s="32" t="s">
        <v>7397</v>
      </c>
    </row>
    <row r="1514" spans="1:18" x14ac:dyDescent="0.3">
      <c r="A1514" s="59">
        <v>45580</v>
      </c>
      <c r="B1514" s="32" t="s">
        <v>8957</v>
      </c>
      <c r="C1514" s="32" t="s">
        <v>8958</v>
      </c>
      <c r="D1514" s="32" t="s">
        <v>8959</v>
      </c>
      <c r="E1514" s="44" t="s">
        <v>8960</v>
      </c>
      <c r="F1514" s="44" t="s">
        <v>8961</v>
      </c>
      <c r="G1514" s="44" t="s">
        <v>1919</v>
      </c>
      <c r="H1514" s="29">
        <v>4</v>
      </c>
      <c r="I1514" s="32" t="s">
        <v>605</v>
      </c>
      <c r="J1514" s="32" t="s">
        <v>2787</v>
      </c>
      <c r="K1514" s="32" t="s">
        <v>3307</v>
      </c>
      <c r="L1514" s="167">
        <v>1776.79</v>
      </c>
      <c r="M1514" s="167">
        <v>213.21</v>
      </c>
      <c r="N1514" s="118">
        <v>1990</v>
      </c>
      <c r="O1514" s="235" t="s">
        <v>8962</v>
      </c>
      <c r="P1514" s="32" t="s">
        <v>2804</v>
      </c>
      <c r="Q1514" s="32" t="s">
        <v>225</v>
      </c>
      <c r="R1514" s="32" t="s">
        <v>7652</v>
      </c>
    </row>
    <row r="1515" spans="1:18" x14ac:dyDescent="0.3">
      <c r="A1515" s="59">
        <v>45580</v>
      </c>
      <c r="B1515" s="32" t="s">
        <v>8963</v>
      </c>
      <c r="C1515" s="32" t="s">
        <v>8964</v>
      </c>
      <c r="D1515" s="32" t="s">
        <v>8965</v>
      </c>
      <c r="E1515" s="44" t="s">
        <v>8966</v>
      </c>
      <c r="F1515" s="44" t="s">
        <v>8967</v>
      </c>
      <c r="G1515" s="44" t="s">
        <v>1919</v>
      </c>
      <c r="H1515" s="29">
        <v>3</v>
      </c>
      <c r="I1515" s="241" t="s">
        <v>605</v>
      </c>
      <c r="J1515" s="242" t="s">
        <v>2824</v>
      </c>
      <c r="K1515" s="242" t="s">
        <v>2824</v>
      </c>
      <c r="L1515" s="167">
        <v>892.86</v>
      </c>
      <c r="M1515" s="167">
        <v>107.14</v>
      </c>
      <c r="N1515" s="118">
        <v>1000</v>
      </c>
      <c r="O1515" s="235" t="s">
        <v>8968</v>
      </c>
      <c r="P1515" s="32" t="s">
        <v>5743</v>
      </c>
      <c r="Q1515" s="32" t="s">
        <v>65</v>
      </c>
      <c r="R1515" s="32" t="s">
        <v>6655</v>
      </c>
    </row>
    <row r="1516" spans="1:18" x14ac:dyDescent="0.3">
      <c r="A1516" s="59">
        <v>45581</v>
      </c>
      <c r="B1516" s="32" t="s">
        <v>8969</v>
      </c>
      <c r="C1516" s="32" t="s">
        <v>8970</v>
      </c>
      <c r="D1516" s="32" t="s">
        <v>8971</v>
      </c>
      <c r="E1516" s="44" t="s">
        <v>8972</v>
      </c>
      <c r="F1516" s="44" t="s">
        <v>8973</v>
      </c>
      <c r="G1516" s="44" t="s">
        <v>1962</v>
      </c>
      <c r="H1516" s="29">
        <v>10</v>
      </c>
      <c r="I1516" s="32" t="s">
        <v>605</v>
      </c>
      <c r="J1516" s="32" t="s">
        <v>8974</v>
      </c>
      <c r="K1516" s="32" t="s">
        <v>1586</v>
      </c>
      <c r="L1516" s="167">
        <f t="shared" si="54"/>
        <v>2669.6428571428569</v>
      </c>
      <c r="M1516" s="167">
        <f t="shared" si="55"/>
        <v>320.35714285714283</v>
      </c>
      <c r="N1516" s="118">
        <v>2990</v>
      </c>
      <c r="O1516" s="235" t="s">
        <v>8975</v>
      </c>
      <c r="P1516" s="32" t="s">
        <v>340</v>
      </c>
      <c r="Q1516" s="32" t="s">
        <v>782</v>
      </c>
      <c r="R1516" s="32" t="s">
        <v>6554</v>
      </c>
    </row>
    <row r="1517" spans="1:18" x14ac:dyDescent="0.3">
      <c r="A1517" s="59">
        <v>45582</v>
      </c>
      <c r="B1517" s="32" t="s">
        <v>8976</v>
      </c>
      <c r="C1517" s="32" t="s">
        <v>8977</v>
      </c>
      <c r="D1517" s="32" t="s">
        <v>8978</v>
      </c>
      <c r="E1517" s="44" t="s">
        <v>8979</v>
      </c>
      <c r="F1517" s="44" t="s">
        <v>8980</v>
      </c>
      <c r="G1517" s="44" t="s">
        <v>1833</v>
      </c>
      <c r="H1517" s="29">
        <v>3</v>
      </c>
      <c r="I1517" s="32" t="s">
        <v>605</v>
      </c>
      <c r="J1517" s="32" t="s">
        <v>8909</v>
      </c>
      <c r="K1517" s="32" t="s">
        <v>8909</v>
      </c>
      <c r="L1517" s="167">
        <f t="shared" si="54"/>
        <v>669.64285714285711</v>
      </c>
      <c r="M1517" s="167">
        <f t="shared" si="55"/>
        <v>80.357142857142847</v>
      </c>
      <c r="N1517" s="118">
        <v>750</v>
      </c>
      <c r="O1517" s="235" t="s">
        <v>8981</v>
      </c>
      <c r="P1517" s="32" t="s">
        <v>6059</v>
      </c>
      <c r="Q1517" s="32" t="s">
        <v>340</v>
      </c>
      <c r="R1517" s="32" t="s">
        <v>6554</v>
      </c>
    </row>
    <row r="1518" spans="1:18" x14ac:dyDescent="0.3">
      <c r="A1518" s="59">
        <v>45583</v>
      </c>
      <c r="B1518" s="32" t="s">
        <v>8982</v>
      </c>
      <c r="C1518" s="32" t="s">
        <v>8983</v>
      </c>
      <c r="D1518" s="32" t="s">
        <v>8984</v>
      </c>
      <c r="E1518" s="44" t="s">
        <v>8985</v>
      </c>
      <c r="F1518" s="44" t="s">
        <v>8986</v>
      </c>
      <c r="G1518" s="44" t="s">
        <v>1826</v>
      </c>
      <c r="H1518" s="29">
        <v>7</v>
      </c>
      <c r="I1518" s="32" t="s">
        <v>605</v>
      </c>
      <c r="J1518" s="32" t="s">
        <v>8909</v>
      </c>
      <c r="K1518" s="32" t="s">
        <v>8909</v>
      </c>
      <c r="L1518" s="167">
        <f t="shared" si="54"/>
        <v>1517.8571428571427</v>
      </c>
      <c r="M1518" s="167">
        <f t="shared" si="55"/>
        <v>182.14285714285711</v>
      </c>
      <c r="N1518" s="118">
        <v>1700</v>
      </c>
      <c r="O1518" s="235" t="s">
        <v>8987</v>
      </c>
      <c r="P1518" s="32" t="s">
        <v>6059</v>
      </c>
      <c r="Q1518" s="32" t="s">
        <v>782</v>
      </c>
      <c r="R1518" s="32" t="s">
        <v>8167</v>
      </c>
    </row>
    <row r="1519" spans="1:18" x14ac:dyDescent="0.3">
      <c r="A1519" s="59">
        <v>45584</v>
      </c>
      <c r="B1519" s="32" t="s">
        <v>8988</v>
      </c>
      <c r="C1519" s="32" t="s">
        <v>8989</v>
      </c>
      <c r="D1519" s="32" t="s">
        <v>8990</v>
      </c>
      <c r="E1519" s="44" t="s">
        <v>8991</v>
      </c>
      <c r="F1519" s="44" t="s">
        <v>8992</v>
      </c>
      <c r="G1519" s="44" t="s">
        <v>1926</v>
      </c>
      <c r="H1519" s="29">
        <v>3</v>
      </c>
      <c r="I1519" s="32" t="s">
        <v>605</v>
      </c>
      <c r="J1519" s="32" t="s">
        <v>3868</v>
      </c>
      <c r="K1519" s="32" t="s">
        <v>3868</v>
      </c>
      <c r="L1519" s="167">
        <f t="shared" si="54"/>
        <v>0</v>
      </c>
      <c r="M1519" s="167">
        <f t="shared" si="55"/>
        <v>0</v>
      </c>
      <c r="N1519" s="118">
        <v>0</v>
      </c>
      <c r="O1519" s="235" t="s">
        <v>8993</v>
      </c>
      <c r="P1519" s="32" t="s">
        <v>2832</v>
      </c>
      <c r="Q1519" s="32" t="s">
        <v>340</v>
      </c>
      <c r="R1519" s="32" t="s">
        <v>7652</v>
      </c>
    </row>
    <row r="1520" spans="1:18" x14ac:dyDescent="0.3">
      <c r="A1520" s="59">
        <v>45584</v>
      </c>
      <c r="B1520" s="32" t="s">
        <v>8994</v>
      </c>
      <c r="C1520" s="32" t="s">
        <v>8995</v>
      </c>
      <c r="D1520" s="32" t="s">
        <v>8996</v>
      </c>
      <c r="E1520" s="29">
        <v>1314345271</v>
      </c>
      <c r="F1520" s="44" t="s">
        <v>8997</v>
      </c>
      <c r="G1520" s="29">
        <v>5</v>
      </c>
      <c r="H1520" s="29">
        <v>2</v>
      </c>
      <c r="I1520" s="32" t="s">
        <v>605</v>
      </c>
      <c r="J1520" s="32" t="s">
        <v>2787</v>
      </c>
      <c r="K1520" s="32" t="s">
        <v>1586</v>
      </c>
      <c r="L1520" s="167">
        <f t="shared" si="54"/>
        <v>624.99999999999989</v>
      </c>
      <c r="M1520" s="167">
        <f t="shared" si="55"/>
        <v>74.999999999999986</v>
      </c>
      <c r="N1520" s="118">
        <v>700</v>
      </c>
      <c r="O1520" s="235" t="s">
        <v>8998</v>
      </c>
      <c r="P1520" s="32" t="s">
        <v>5743</v>
      </c>
      <c r="Q1520" s="32" t="s">
        <v>225</v>
      </c>
      <c r="R1520" s="32" t="s">
        <v>6655</v>
      </c>
    </row>
    <row r="1521" spans="1:18" x14ac:dyDescent="0.3">
      <c r="A1521" s="59">
        <v>45587</v>
      </c>
      <c r="B1521" s="32" t="s">
        <v>8999</v>
      </c>
      <c r="C1521" s="32" t="s">
        <v>6494</v>
      </c>
      <c r="D1521" s="32" t="s">
        <v>9000</v>
      </c>
      <c r="E1521" s="44" t="s">
        <v>9001</v>
      </c>
      <c r="F1521" s="44" t="s">
        <v>9002</v>
      </c>
      <c r="G1521" s="44" t="s">
        <v>1919</v>
      </c>
      <c r="H1521" s="29">
        <v>2</v>
      </c>
      <c r="I1521" s="32" t="s">
        <v>605</v>
      </c>
      <c r="J1521" s="32" t="s">
        <v>8934</v>
      </c>
      <c r="K1521" s="32" t="s">
        <v>8934</v>
      </c>
      <c r="L1521" s="167">
        <f t="shared" si="54"/>
        <v>714.28571428571422</v>
      </c>
      <c r="M1521" s="167">
        <f t="shared" si="55"/>
        <v>85.714285714285708</v>
      </c>
      <c r="N1521" s="118">
        <v>800</v>
      </c>
      <c r="O1521" s="235" t="s">
        <v>9003</v>
      </c>
      <c r="P1521" s="32" t="s">
        <v>6059</v>
      </c>
      <c r="Q1521" s="32" t="s">
        <v>225</v>
      </c>
      <c r="R1521" s="32" t="s">
        <v>7982</v>
      </c>
    </row>
    <row r="1522" spans="1:18" x14ac:dyDescent="0.3">
      <c r="A1522" s="59">
        <v>45587</v>
      </c>
      <c r="B1522" s="32" t="s">
        <v>9004</v>
      </c>
      <c r="C1522" s="32" t="s">
        <v>9005</v>
      </c>
      <c r="D1522" s="32" t="s">
        <v>9006</v>
      </c>
      <c r="E1522" s="44" t="s">
        <v>9007</v>
      </c>
      <c r="F1522" s="44" t="s">
        <v>9008</v>
      </c>
      <c r="G1522" s="44" t="s">
        <v>1826</v>
      </c>
      <c r="H1522" s="29">
        <v>7</v>
      </c>
      <c r="I1522" s="32" t="s">
        <v>605</v>
      </c>
      <c r="J1522" s="32" t="s">
        <v>8909</v>
      </c>
      <c r="K1522" s="32" t="s">
        <v>8909</v>
      </c>
      <c r="L1522" s="167">
        <f t="shared" si="54"/>
        <v>2669.6428571428569</v>
      </c>
      <c r="M1522" s="167">
        <f t="shared" si="55"/>
        <v>320.35714285714283</v>
      </c>
      <c r="N1522" s="118">
        <v>2990</v>
      </c>
      <c r="O1522" s="235" t="s">
        <v>9009</v>
      </c>
      <c r="P1522" s="32" t="s">
        <v>2804</v>
      </c>
      <c r="Q1522" s="32" t="s">
        <v>3026</v>
      </c>
      <c r="R1522" s="32" t="s">
        <v>6655</v>
      </c>
    </row>
    <row r="1523" spans="1:18" x14ac:dyDescent="0.3">
      <c r="A1523" s="59">
        <v>45587</v>
      </c>
      <c r="B1523" s="32" t="s">
        <v>9010</v>
      </c>
      <c r="C1523" s="32" t="s">
        <v>3462</v>
      </c>
      <c r="D1523" s="32" t="s">
        <v>9011</v>
      </c>
      <c r="E1523" s="44" t="s">
        <v>9012</v>
      </c>
      <c r="F1523" s="44" t="s">
        <v>9013</v>
      </c>
      <c r="G1523" s="44" t="s">
        <v>1826</v>
      </c>
      <c r="H1523" s="29">
        <v>5</v>
      </c>
      <c r="I1523" s="32" t="s">
        <v>605</v>
      </c>
      <c r="J1523" s="32" t="s">
        <v>9014</v>
      </c>
      <c r="K1523" s="32" t="s">
        <v>9014</v>
      </c>
      <c r="L1523" s="167">
        <f t="shared" si="54"/>
        <v>2670.5357142857142</v>
      </c>
      <c r="M1523" s="167">
        <f t="shared" si="55"/>
        <v>320.46428571428572</v>
      </c>
      <c r="N1523" s="118">
        <v>2991</v>
      </c>
      <c r="O1523" s="235" t="s">
        <v>9015</v>
      </c>
      <c r="P1523" s="32" t="s">
        <v>2832</v>
      </c>
      <c r="Q1523" s="32" t="s">
        <v>340</v>
      </c>
      <c r="R1523" s="32" t="s">
        <v>6655</v>
      </c>
    </row>
    <row r="1524" spans="1:18" x14ac:dyDescent="0.3">
      <c r="A1524" s="59">
        <v>45587</v>
      </c>
      <c r="B1524" s="32" t="s">
        <v>9016</v>
      </c>
      <c r="C1524" s="32" t="s">
        <v>9017</v>
      </c>
      <c r="D1524" s="32" t="s">
        <v>9018</v>
      </c>
      <c r="E1524" s="44" t="s">
        <v>9019</v>
      </c>
      <c r="F1524" s="44" t="s">
        <v>9020</v>
      </c>
      <c r="G1524" s="44" t="s">
        <v>1919</v>
      </c>
      <c r="H1524" s="29">
        <v>5</v>
      </c>
      <c r="I1524" s="32" t="s">
        <v>617</v>
      </c>
      <c r="J1524" s="32" t="s">
        <v>9021</v>
      </c>
      <c r="K1524" s="32" t="s">
        <v>3396</v>
      </c>
      <c r="L1524" s="167">
        <f t="shared" si="54"/>
        <v>1607.1428571428569</v>
      </c>
      <c r="M1524" s="167">
        <f t="shared" si="55"/>
        <v>192.85714285714283</v>
      </c>
      <c r="N1524" s="118">
        <v>1800</v>
      </c>
      <c r="O1524" s="235" t="s">
        <v>9022</v>
      </c>
      <c r="P1524" s="32" t="s">
        <v>2865</v>
      </c>
      <c r="Q1524" s="32" t="s">
        <v>65</v>
      </c>
      <c r="R1524" s="32" t="s">
        <v>7652</v>
      </c>
    </row>
    <row r="1525" spans="1:18" x14ac:dyDescent="0.3">
      <c r="A1525" s="59">
        <v>45587</v>
      </c>
      <c r="B1525" s="32" t="s">
        <v>9023</v>
      </c>
      <c r="C1525" s="32" t="s">
        <v>9024</v>
      </c>
      <c r="D1525" s="32" t="s">
        <v>9025</v>
      </c>
      <c r="E1525" s="44" t="s">
        <v>9026</v>
      </c>
      <c r="F1525" s="44" t="s">
        <v>9027</v>
      </c>
      <c r="G1525" s="44" t="s">
        <v>1826</v>
      </c>
      <c r="H1525" s="29">
        <v>8</v>
      </c>
      <c r="I1525" s="32" t="s">
        <v>605</v>
      </c>
      <c r="J1525" s="32" t="s">
        <v>8934</v>
      </c>
      <c r="K1525" s="32" t="s">
        <v>8934</v>
      </c>
      <c r="L1525" s="167">
        <f t="shared" si="54"/>
        <v>2669.6428571428569</v>
      </c>
      <c r="M1525" s="167">
        <f t="shared" si="55"/>
        <v>320.35714285714283</v>
      </c>
      <c r="N1525" s="118">
        <v>2990</v>
      </c>
      <c r="O1525" s="235" t="s">
        <v>9028</v>
      </c>
      <c r="P1525" s="32" t="s">
        <v>6428</v>
      </c>
      <c r="Q1525" s="32" t="s">
        <v>225</v>
      </c>
      <c r="R1525" s="32" t="s">
        <v>6655</v>
      </c>
    </row>
    <row r="1526" spans="1:18" x14ac:dyDescent="0.3">
      <c r="A1526" s="59">
        <v>45587</v>
      </c>
      <c r="B1526" s="32" t="s">
        <v>9029</v>
      </c>
      <c r="C1526" s="32" t="s">
        <v>9030</v>
      </c>
      <c r="D1526" s="32" t="s">
        <v>9031</v>
      </c>
      <c r="E1526" s="44" t="s">
        <v>9032</v>
      </c>
      <c r="F1526" s="44" t="s">
        <v>9033</v>
      </c>
      <c r="G1526" s="44" t="s">
        <v>1919</v>
      </c>
      <c r="H1526" s="29">
        <v>2</v>
      </c>
      <c r="I1526" s="32" t="s">
        <v>605</v>
      </c>
      <c r="J1526" s="32" t="s">
        <v>2787</v>
      </c>
      <c r="K1526" s="32" t="s">
        <v>1586</v>
      </c>
      <c r="L1526" s="167">
        <f t="shared" si="54"/>
        <v>624.99999999999989</v>
      </c>
      <c r="M1526" s="167">
        <f t="shared" si="55"/>
        <v>74.999999999999986</v>
      </c>
      <c r="N1526" s="118">
        <v>700</v>
      </c>
      <c r="O1526" s="235" t="s">
        <v>9034</v>
      </c>
      <c r="P1526" s="32" t="s">
        <v>371</v>
      </c>
      <c r="Q1526" s="32" t="s">
        <v>3026</v>
      </c>
      <c r="R1526" s="32" t="s">
        <v>7652</v>
      </c>
    </row>
    <row r="1527" spans="1:18" x14ac:dyDescent="0.3">
      <c r="A1527" s="59">
        <v>45588</v>
      </c>
      <c r="B1527" s="32" t="s">
        <v>9035</v>
      </c>
      <c r="C1527" s="32" t="s">
        <v>9036</v>
      </c>
      <c r="D1527" s="32" t="s">
        <v>9037</v>
      </c>
      <c r="E1527" s="44" t="s">
        <v>9038</v>
      </c>
      <c r="F1527" s="44" t="s">
        <v>9039</v>
      </c>
      <c r="G1527" s="44" t="s">
        <v>1919</v>
      </c>
      <c r="H1527" s="29">
        <v>3</v>
      </c>
      <c r="I1527" s="32" t="s">
        <v>605</v>
      </c>
      <c r="J1527" s="32" t="s">
        <v>8934</v>
      </c>
      <c r="K1527" s="32" t="s">
        <v>8934</v>
      </c>
      <c r="L1527" s="167">
        <f t="shared" si="54"/>
        <v>892.85714285714278</v>
      </c>
      <c r="M1527" s="167">
        <f t="shared" si="55"/>
        <v>107.14285714285712</v>
      </c>
      <c r="N1527" s="118">
        <v>1000</v>
      </c>
      <c r="O1527" s="235" t="s">
        <v>9040</v>
      </c>
      <c r="P1527" s="32" t="s">
        <v>371</v>
      </c>
      <c r="Q1527" s="32" t="s">
        <v>225</v>
      </c>
      <c r="R1527" s="32" t="s">
        <v>6554</v>
      </c>
    </row>
    <row r="1528" spans="1:18" x14ac:dyDescent="0.3">
      <c r="A1528" s="59">
        <v>45588</v>
      </c>
      <c r="B1528" s="32" t="s">
        <v>9041</v>
      </c>
      <c r="C1528" s="32" t="s">
        <v>1241</v>
      </c>
      <c r="D1528" s="32" t="s">
        <v>9042</v>
      </c>
      <c r="E1528" s="44" t="s">
        <v>9043</v>
      </c>
      <c r="F1528" s="44" t="s">
        <v>9044</v>
      </c>
      <c r="G1528" s="44" t="s">
        <v>1962</v>
      </c>
      <c r="H1528" s="29">
        <v>12</v>
      </c>
      <c r="I1528" s="32" t="s">
        <v>605</v>
      </c>
      <c r="J1528" s="32" t="s">
        <v>9014</v>
      </c>
      <c r="K1528" s="32" t="s">
        <v>9014</v>
      </c>
      <c r="L1528" s="167">
        <f t="shared" si="54"/>
        <v>5348.2142857142853</v>
      </c>
      <c r="M1528" s="167">
        <f t="shared" si="55"/>
        <v>641.78571428571422</v>
      </c>
      <c r="N1528" s="118">
        <v>5990</v>
      </c>
      <c r="O1528" s="235" t="s">
        <v>9045</v>
      </c>
      <c r="P1528" s="32" t="s">
        <v>2832</v>
      </c>
      <c r="Q1528" s="32" t="s">
        <v>3026</v>
      </c>
      <c r="R1528" s="32" t="s">
        <v>7397</v>
      </c>
    </row>
    <row r="1529" spans="1:18" x14ac:dyDescent="0.3">
      <c r="A1529" s="59">
        <v>45588</v>
      </c>
      <c r="B1529" s="32" t="s">
        <v>9046</v>
      </c>
      <c r="C1529" s="32" t="s">
        <v>9047</v>
      </c>
      <c r="D1529" s="32" t="s">
        <v>9048</v>
      </c>
      <c r="E1529" s="44" t="s">
        <v>9049</v>
      </c>
      <c r="F1529" s="44" t="s">
        <v>9050</v>
      </c>
      <c r="G1529" s="44" t="s">
        <v>1919</v>
      </c>
      <c r="H1529" s="29">
        <v>3</v>
      </c>
      <c r="I1529" s="32" t="s">
        <v>605</v>
      </c>
      <c r="J1529" s="32" t="s">
        <v>2787</v>
      </c>
      <c r="K1529" s="32" t="s">
        <v>2488</v>
      </c>
      <c r="L1529" s="167">
        <f t="shared" si="54"/>
        <v>624.99999999999989</v>
      </c>
      <c r="M1529" s="167">
        <f t="shared" si="55"/>
        <v>74.999999999999986</v>
      </c>
      <c r="N1529" s="118">
        <v>700</v>
      </c>
      <c r="O1529" s="235" t="s">
        <v>9051</v>
      </c>
      <c r="P1529" s="32" t="s">
        <v>371</v>
      </c>
      <c r="Q1529" s="32" t="s">
        <v>340</v>
      </c>
      <c r="R1529" s="32" t="s">
        <v>6554</v>
      </c>
    </row>
    <row r="1530" spans="1:18" x14ac:dyDescent="0.3">
      <c r="A1530" s="59">
        <v>45589</v>
      </c>
      <c r="B1530" s="32" t="s">
        <v>9052</v>
      </c>
      <c r="C1530" s="32" t="s">
        <v>9053</v>
      </c>
      <c r="D1530" s="32" t="s">
        <v>9054</v>
      </c>
      <c r="E1530" s="44" t="s">
        <v>9055</v>
      </c>
      <c r="F1530" s="44" t="s">
        <v>9056</v>
      </c>
      <c r="G1530" s="44" t="s">
        <v>1919</v>
      </c>
      <c r="H1530" s="47">
        <v>4</v>
      </c>
      <c r="I1530" s="303" t="s">
        <v>605</v>
      </c>
      <c r="J1530" s="32" t="s">
        <v>8909</v>
      </c>
      <c r="K1530" s="32" t="s">
        <v>8909</v>
      </c>
      <c r="L1530" s="167">
        <f t="shared" si="54"/>
        <v>1785.7142857142856</v>
      </c>
      <c r="M1530" s="167">
        <f t="shared" si="55"/>
        <v>214.28571428571425</v>
      </c>
      <c r="N1530" s="118">
        <v>2000</v>
      </c>
      <c r="O1530" s="235" t="s">
        <v>9057</v>
      </c>
      <c r="P1530" s="32" t="s">
        <v>2804</v>
      </c>
      <c r="Q1530" s="32" t="s">
        <v>65</v>
      </c>
      <c r="R1530" s="32" t="s">
        <v>7982</v>
      </c>
    </row>
    <row r="1531" spans="1:18" x14ac:dyDescent="0.3">
      <c r="A1531" s="59">
        <v>45589</v>
      </c>
      <c r="B1531" s="32" t="s">
        <v>9058</v>
      </c>
      <c r="C1531" s="32" t="s">
        <v>9059</v>
      </c>
      <c r="D1531" s="32" t="s">
        <v>9060</v>
      </c>
      <c r="E1531" s="44" t="s">
        <v>9061</v>
      </c>
      <c r="F1531" s="44" t="s">
        <v>9062</v>
      </c>
      <c r="G1531" s="44" t="s">
        <v>1919</v>
      </c>
      <c r="H1531" s="29">
        <v>3</v>
      </c>
      <c r="I1531" s="32" t="s">
        <v>605</v>
      </c>
      <c r="J1531" s="32" t="s">
        <v>8909</v>
      </c>
      <c r="K1531" s="32" t="s">
        <v>8909</v>
      </c>
      <c r="L1531" s="167">
        <f t="shared" si="54"/>
        <v>892.85714285714278</v>
      </c>
      <c r="M1531" s="167">
        <f t="shared" si="55"/>
        <v>107.14285714285712</v>
      </c>
      <c r="N1531" s="118">
        <v>1000</v>
      </c>
      <c r="O1531" s="235" t="s">
        <v>9063</v>
      </c>
      <c r="P1531" s="32" t="s">
        <v>6059</v>
      </c>
      <c r="Q1531" s="32" t="s">
        <v>340</v>
      </c>
      <c r="R1531" s="32" t="s">
        <v>7652</v>
      </c>
    </row>
    <row r="1532" spans="1:18" x14ac:dyDescent="0.3">
      <c r="A1532" s="59">
        <v>45589</v>
      </c>
      <c r="B1532" s="32" t="s">
        <v>9064</v>
      </c>
      <c r="C1532" s="32" t="s">
        <v>303</v>
      </c>
      <c r="D1532" s="32" t="s">
        <v>9065</v>
      </c>
      <c r="E1532" s="44" t="s">
        <v>9066</v>
      </c>
      <c r="F1532" s="44" t="s">
        <v>9067</v>
      </c>
      <c r="G1532" s="44" t="s">
        <v>1919</v>
      </c>
      <c r="H1532" s="29">
        <v>4</v>
      </c>
      <c r="I1532" s="32" t="s">
        <v>605</v>
      </c>
      <c r="J1532" s="32" t="s">
        <v>8934</v>
      </c>
      <c r="K1532" s="32" t="s">
        <v>8934</v>
      </c>
      <c r="L1532" s="167">
        <f t="shared" si="54"/>
        <v>892.85714285714278</v>
      </c>
      <c r="M1532" s="167">
        <f t="shared" si="55"/>
        <v>107.14285714285712</v>
      </c>
      <c r="N1532" s="118">
        <v>1000</v>
      </c>
      <c r="O1532" s="235" t="s">
        <v>9068</v>
      </c>
      <c r="P1532" s="32" t="s">
        <v>2832</v>
      </c>
      <c r="Q1532" s="32" t="s">
        <v>9069</v>
      </c>
      <c r="R1532" s="32" t="s">
        <v>6554</v>
      </c>
    </row>
    <row r="1533" spans="1:18" x14ac:dyDescent="0.3">
      <c r="A1533" s="59">
        <v>45589</v>
      </c>
      <c r="B1533" s="32" t="s">
        <v>9070</v>
      </c>
      <c r="C1533" s="32" t="s">
        <v>9071</v>
      </c>
      <c r="D1533" s="32" t="s">
        <v>9072</v>
      </c>
      <c r="E1533" s="44" t="s">
        <v>9073</v>
      </c>
      <c r="F1533" s="44" t="s">
        <v>9074</v>
      </c>
      <c r="G1533" s="44" t="s">
        <v>1962</v>
      </c>
      <c r="H1533" s="29">
        <v>5</v>
      </c>
      <c r="I1533" s="32" t="s">
        <v>605</v>
      </c>
      <c r="J1533" s="32" t="s">
        <v>2787</v>
      </c>
      <c r="K1533" s="32" t="s">
        <v>2488</v>
      </c>
      <c r="L1533" s="167">
        <f t="shared" si="54"/>
        <v>1776.7857142857142</v>
      </c>
      <c r="M1533" s="167">
        <f t="shared" si="55"/>
        <v>213.21428571428569</v>
      </c>
      <c r="N1533" s="118">
        <v>1990</v>
      </c>
      <c r="O1533" s="235" t="s">
        <v>9075</v>
      </c>
      <c r="P1533" s="32" t="s">
        <v>371</v>
      </c>
      <c r="Q1533" s="32" t="s">
        <v>3026</v>
      </c>
      <c r="R1533" s="32" t="s">
        <v>6655</v>
      </c>
    </row>
    <row r="1534" spans="1:18" x14ac:dyDescent="0.3">
      <c r="A1534" s="59">
        <v>45589</v>
      </c>
      <c r="B1534" s="32" t="s">
        <v>9076</v>
      </c>
      <c r="C1534" s="32" t="s">
        <v>9077</v>
      </c>
      <c r="D1534" s="32" t="s">
        <v>9078</v>
      </c>
      <c r="E1534" s="44" t="s">
        <v>9079</v>
      </c>
      <c r="F1534" s="44" t="s">
        <v>9080</v>
      </c>
      <c r="G1534" s="44" t="s">
        <v>1919</v>
      </c>
      <c r="H1534" s="29">
        <v>3</v>
      </c>
      <c r="I1534" s="32" t="s">
        <v>617</v>
      </c>
      <c r="J1534" s="32" t="s">
        <v>8934</v>
      </c>
      <c r="K1534" s="32" t="s">
        <v>8934</v>
      </c>
      <c r="L1534" s="167">
        <f t="shared" si="54"/>
        <v>982.142857142857</v>
      </c>
      <c r="M1534" s="167">
        <f t="shared" si="55"/>
        <v>117.85714285714283</v>
      </c>
      <c r="N1534" s="118">
        <v>1100</v>
      </c>
      <c r="O1534" s="235" t="s">
        <v>9081</v>
      </c>
      <c r="P1534" s="32" t="s">
        <v>1482</v>
      </c>
      <c r="Q1534" s="32" t="s">
        <v>225</v>
      </c>
      <c r="R1534" s="32" t="s">
        <v>6554</v>
      </c>
    </row>
    <row r="1535" spans="1:18" x14ac:dyDescent="0.3">
      <c r="A1535" s="59">
        <v>45589</v>
      </c>
      <c r="B1535" s="32" t="s">
        <v>9082</v>
      </c>
      <c r="C1535" s="32" t="s">
        <v>9083</v>
      </c>
      <c r="D1535" s="32" t="s">
        <v>9084</v>
      </c>
      <c r="E1535" s="44" t="s">
        <v>9085</v>
      </c>
      <c r="F1535" s="44" t="s">
        <v>9086</v>
      </c>
      <c r="G1535" s="44" t="s">
        <v>1919</v>
      </c>
      <c r="H1535" s="29">
        <v>3</v>
      </c>
      <c r="I1535" s="32" t="s">
        <v>605</v>
      </c>
      <c r="J1535" s="32" t="s">
        <v>2787</v>
      </c>
      <c r="K1535" s="32" t="s">
        <v>2488</v>
      </c>
      <c r="L1535" s="167">
        <f t="shared" si="54"/>
        <v>1071.4285714285713</v>
      </c>
      <c r="M1535" s="167">
        <f t="shared" si="55"/>
        <v>128.57142857142856</v>
      </c>
      <c r="N1535" s="118">
        <v>1200</v>
      </c>
      <c r="O1535" s="235" t="s">
        <v>9087</v>
      </c>
      <c r="P1535" s="32" t="s">
        <v>569</v>
      </c>
      <c r="Q1535" s="32" t="s">
        <v>65</v>
      </c>
      <c r="R1535" s="32" t="s">
        <v>7652</v>
      </c>
    </row>
    <row r="1536" spans="1:18" x14ac:dyDescent="0.3">
      <c r="A1536" s="59">
        <v>45589</v>
      </c>
      <c r="B1536" s="32" t="s">
        <v>9088</v>
      </c>
      <c r="C1536" s="32" t="s">
        <v>9089</v>
      </c>
      <c r="D1536" s="32" t="s">
        <v>9090</v>
      </c>
      <c r="E1536" s="44" t="s">
        <v>9091</v>
      </c>
      <c r="F1536" s="44" t="s">
        <v>9092</v>
      </c>
      <c r="G1536" s="44" t="s">
        <v>1826</v>
      </c>
      <c r="H1536" s="29">
        <v>4</v>
      </c>
      <c r="I1536" s="32" t="s">
        <v>617</v>
      </c>
      <c r="J1536" s="32" t="s">
        <v>8934</v>
      </c>
      <c r="K1536" s="32" t="s">
        <v>8934</v>
      </c>
      <c r="L1536" s="167">
        <f t="shared" si="54"/>
        <v>1428.5714285714284</v>
      </c>
      <c r="M1536" s="167">
        <f t="shared" si="55"/>
        <v>171.42857142857142</v>
      </c>
      <c r="N1536" s="118">
        <v>1600</v>
      </c>
      <c r="O1536" s="235" t="s">
        <v>9093</v>
      </c>
      <c r="P1536" s="32" t="s">
        <v>1482</v>
      </c>
      <c r="Q1536" s="32" t="s">
        <v>225</v>
      </c>
      <c r="R1536" s="32" t="s">
        <v>6554</v>
      </c>
    </row>
    <row r="1537" spans="1:18" x14ac:dyDescent="0.3">
      <c r="A1537" s="59">
        <v>45589</v>
      </c>
      <c r="B1537" s="32" t="s">
        <v>9094</v>
      </c>
      <c r="C1537" s="32" t="s">
        <v>3749</v>
      </c>
      <c r="D1537" s="32" t="s">
        <v>9095</v>
      </c>
      <c r="E1537" s="44" t="s">
        <v>9096</v>
      </c>
      <c r="F1537" s="44" t="s">
        <v>9097</v>
      </c>
      <c r="G1537" s="44" t="s">
        <v>1826</v>
      </c>
      <c r="H1537" s="29">
        <v>5</v>
      </c>
      <c r="I1537" s="32" t="s">
        <v>605</v>
      </c>
      <c r="J1537" s="32" t="s">
        <v>2787</v>
      </c>
      <c r="K1537" s="32" t="s">
        <v>2488</v>
      </c>
      <c r="L1537" s="167">
        <f t="shared" si="54"/>
        <v>1339.2857142857142</v>
      </c>
      <c r="M1537" s="167">
        <f t="shared" si="55"/>
        <v>160.71428571428569</v>
      </c>
      <c r="N1537" s="118">
        <v>1500</v>
      </c>
      <c r="O1537" s="235" t="s">
        <v>9098</v>
      </c>
      <c r="P1537" s="32" t="s">
        <v>6059</v>
      </c>
      <c r="Q1537" s="32" t="s">
        <v>340</v>
      </c>
      <c r="R1537" s="32" t="s">
        <v>6554</v>
      </c>
    </row>
    <row r="1538" spans="1:18" x14ac:dyDescent="0.3">
      <c r="A1538" s="59">
        <v>45590</v>
      </c>
      <c r="B1538" s="32" t="s">
        <v>9099</v>
      </c>
      <c r="C1538" s="32" t="s">
        <v>9100</v>
      </c>
      <c r="D1538" s="32" t="s">
        <v>9101</v>
      </c>
      <c r="E1538" s="44" t="s">
        <v>9102</v>
      </c>
      <c r="F1538" s="44" t="s">
        <v>9103</v>
      </c>
      <c r="G1538" s="44" t="s">
        <v>1919</v>
      </c>
      <c r="H1538" s="29">
        <v>4</v>
      </c>
      <c r="I1538" s="32" t="s">
        <v>617</v>
      </c>
      <c r="J1538" s="74" t="s">
        <v>2787</v>
      </c>
      <c r="K1538" s="74" t="s">
        <v>1518</v>
      </c>
      <c r="L1538" s="167">
        <f t="shared" si="54"/>
        <v>1071.4285714285713</v>
      </c>
      <c r="M1538" s="167">
        <f t="shared" si="55"/>
        <v>128.57142857142856</v>
      </c>
      <c r="N1538" s="118">
        <v>1200</v>
      </c>
      <c r="O1538" s="235" t="s">
        <v>9104</v>
      </c>
      <c r="P1538" s="32" t="s">
        <v>5743</v>
      </c>
      <c r="Q1538" s="32" t="s">
        <v>2832</v>
      </c>
      <c r="R1538" s="32" t="s">
        <v>7652</v>
      </c>
    </row>
    <row r="1539" spans="1:18" x14ac:dyDescent="0.3">
      <c r="A1539" s="59">
        <v>45590</v>
      </c>
      <c r="B1539" s="32" t="s">
        <v>9105</v>
      </c>
      <c r="C1539" s="32" t="s">
        <v>9106</v>
      </c>
      <c r="D1539" s="32" t="s">
        <v>9107</v>
      </c>
      <c r="E1539" s="44" t="s">
        <v>9108</v>
      </c>
      <c r="F1539" s="44" t="s">
        <v>9109</v>
      </c>
      <c r="G1539" s="44" t="s">
        <v>1826</v>
      </c>
      <c r="H1539" s="29">
        <v>4</v>
      </c>
      <c r="I1539" s="32" t="s">
        <v>3003</v>
      </c>
      <c r="J1539" s="32" t="s">
        <v>8909</v>
      </c>
      <c r="K1539" s="32" t="s">
        <v>8909</v>
      </c>
      <c r="L1539" s="167">
        <f t="shared" si="54"/>
        <v>999.99999999999989</v>
      </c>
      <c r="M1539" s="167">
        <f t="shared" si="55"/>
        <v>119.99999999999999</v>
      </c>
      <c r="N1539" s="118">
        <v>1120</v>
      </c>
      <c r="O1539" s="235" t="s">
        <v>9110</v>
      </c>
      <c r="P1539" s="32" t="s">
        <v>569</v>
      </c>
      <c r="Q1539" s="32" t="s">
        <v>3026</v>
      </c>
      <c r="R1539" s="32" t="s">
        <v>6655</v>
      </c>
    </row>
    <row r="1540" spans="1:18" x14ac:dyDescent="0.3">
      <c r="A1540" s="59">
        <v>45590</v>
      </c>
      <c r="B1540" s="32" t="s">
        <v>9111</v>
      </c>
      <c r="C1540" s="32" t="s">
        <v>183</v>
      </c>
      <c r="D1540" s="32" t="s">
        <v>9112</v>
      </c>
      <c r="E1540" s="44" t="s">
        <v>9113</v>
      </c>
      <c r="F1540" s="44" t="s">
        <v>9114</v>
      </c>
      <c r="G1540" s="44" t="s">
        <v>1919</v>
      </c>
      <c r="H1540" s="29">
        <v>3</v>
      </c>
      <c r="I1540" s="32" t="s">
        <v>605</v>
      </c>
      <c r="J1540" s="32" t="s">
        <v>2787</v>
      </c>
      <c r="K1540" s="32" t="s">
        <v>2488</v>
      </c>
      <c r="L1540" s="167">
        <f t="shared" si="54"/>
        <v>892.85714285714278</v>
      </c>
      <c r="M1540" s="167">
        <f t="shared" si="55"/>
        <v>107.14285714285712</v>
      </c>
      <c r="N1540" s="118">
        <v>1000</v>
      </c>
      <c r="O1540" s="235" t="s">
        <v>9115</v>
      </c>
      <c r="P1540" s="32" t="s">
        <v>1482</v>
      </c>
      <c r="Q1540" s="32" t="s">
        <v>225</v>
      </c>
      <c r="R1540" s="32" t="s">
        <v>6554</v>
      </c>
    </row>
    <row r="1541" spans="1:18" x14ac:dyDescent="0.3">
      <c r="A1541" s="59">
        <v>45590</v>
      </c>
      <c r="B1541" s="32" t="s">
        <v>9116</v>
      </c>
      <c r="C1541" s="32" t="s">
        <v>9117</v>
      </c>
      <c r="D1541" s="32" t="s">
        <v>9118</v>
      </c>
      <c r="E1541" s="44" t="s">
        <v>9119</v>
      </c>
      <c r="F1541" s="44" t="s">
        <v>9120</v>
      </c>
      <c r="G1541" s="44" t="s">
        <v>1919</v>
      </c>
      <c r="H1541" s="29">
        <v>3</v>
      </c>
      <c r="I1541" s="32" t="s">
        <v>605</v>
      </c>
      <c r="J1541" s="32" t="s">
        <v>9121</v>
      </c>
      <c r="K1541" s="32" t="s">
        <v>9122</v>
      </c>
      <c r="L1541" s="167">
        <f t="shared" si="54"/>
        <v>937.49999999999989</v>
      </c>
      <c r="M1541" s="167">
        <f t="shared" si="55"/>
        <v>112.49999999999999</v>
      </c>
      <c r="N1541" s="118">
        <v>1050</v>
      </c>
      <c r="O1541" s="235" t="s">
        <v>9123</v>
      </c>
      <c r="P1541" s="32" t="s">
        <v>371</v>
      </c>
      <c r="Q1541" s="32" t="s">
        <v>2832</v>
      </c>
      <c r="R1541" s="32" t="s">
        <v>6554</v>
      </c>
    </row>
    <row r="1542" spans="1:18" x14ac:dyDescent="0.3">
      <c r="A1542" s="59">
        <v>45590</v>
      </c>
      <c r="B1542" s="32" t="s">
        <v>9124</v>
      </c>
      <c r="C1542" s="32" t="s">
        <v>9125</v>
      </c>
      <c r="D1542" s="32" t="s">
        <v>9126</v>
      </c>
      <c r="E1542" s="44" t="s">
        <v>9127</v>
      </c>
      <c r="F1542" s="44" t="s">
        <v>9128</v>
      </c>
      <c r="G1542" s="44" t="s">
        <v>1919</v>
      </c>
      <c r="H1542" s="29">
        <v>3</v>
      </c>
      <c r="I1542" s="32" t="s">
        <v>3003</v>
      </c>
      <c r="J1542" s="32" t="s">
        <v>9129</v>
      </c>
      <c r="K1542" s="32" t="s">
        <v>1586</v>
      </c>
      <c r="L1542" s="167">
        <f t="shared" si="54"/>
        <v>624.99999999999989</v>
      </c>
      <c r="M1542" s="167">
        <f t="shared" si="55"/>
        <v>74.999999999999986</v>
      </c>
      <c r="N1542" s="118">
        <v>700</v>
      </c>
      <c r="O1542" s="235" t="s">
        <v>9130</v>
      </c>
      <c r="P1542" s="32" t="s">
        <v>2865</v>
      </c>
      <c r="Q1542" s="32" t="s">
        <v>340</v>
      </c>
      <c r="R1542" s="32" t="s">
        <v>7652</v>
      </c>
    </row>
    <row r="1543" spans="1:18" x14ac:dyDescent="0.3">
      <c r="A1543" s="59">
        <v>45590</v>
      </c>
      <c r="B1543" s="32" t="s">
        <v>9131</v>
      </c>
      <c r="C1543" s="32" t="s">
        <v>9132</v>
      </c>
      <c r="D1543" s="32" t="s">
        <v>9133</v>
      </c>
      <c r="E1543" s="44" t="s">
        <v>9134</v>
      </c>
      <c r="F1543" s="44" t="s">
        <v>9135</v>
      </c>
      <c r="G1543" s="44" t="s">
        <v>1919</v>
      </c>
      <c r="H1543" s="29">
        <v>3</v>
      </c>
      <c r="I1543" s="241" t="s">
        <v>605</v>
      </c>
      <c r="J1543" s="54" t="s">
        <v>8909</v>
      </c>
      <c r="K1543" s="54" t="s">
        <v>8909</v>
      </c>
      <c r="L1543" s="167">
        <f t="shared" si="54"/>
        <v>803.57142857142844</v>
      </c>
      <c r="M1543" s="167">
        <f t="shared" si="55"/>
        <v>96.428571428571416</v>
      </c>
      <c r="N1543" s="118">
        <v>900</v>
      </c>
      <c r="O1543" s="235" t="s">
        <v>9136</v>
      </c>
      <c r="P1543" s="32" t="s">
        <v>2804</v>
      </c>
      <c r="Q1543" s="32" t="s">
        <v>65</v>
      </c>
      <c r="R1543" s="32" t="s">
        <v>9137</v>
      </c>
    </row>
    <row r="1544" spans="1:18" x14ac:dyDescent="0.3">
      <c r="A1544" s="59">
        <v>45590</v>
      </c>
      <c r="B1544" s="32" t="s">
        <v>9138</v>
      </c>
      <c r="C1544" s="32" t="s">
        <v>9139</v>
      </c>
      <c r="D1544" s="32" t="s">
        <v>9140</v>
      </c>
      <c r="E1544" s="44" t="s">
        <v>9141</v>
      </c>
      <c r="F1544" s="44" t="s">
        <v>9142</v>
      </c>
      <c r="G1544" s="44" t="s">
        <v>1919</v>
      </c>
      <c r="H1544" s="29">
        <v>2</v>
      </c>
      <c r="I1544" s="32" t="s">
        <v>605</v>
      </c>
      <c r="J1544" s="32" t="s">
        <v>8909</v>
      </c>
      <c r="K1544" s="32" t="s">
        <v>8909</v>
      </c>
      <c r="L1544" s="167">
        <f t="shared" si="54"/>
        <v>624.99999999999989</v>
      </c>
      <c r="M1544" s="167">
        <f t="shared" si="55"/>
        <v>74.999999999999986</v>
      </c>
      <c r="N1544" s="118">
        <v>700</v>
      </c>
      <c r="O1544" s="235" t="s">
        <v>9143</v>
      </c>
      <c r="P1544" s="32" t="s">
        <v>2865</v>
      </c>
      <c r="Q1544" s="32" t="s">
        <v>8653</v>
      </c>
      <c r="R1544" s="32" t="s">
        <v>6554</v>
      </c>
    </row>
    <row r="1545" spans="1:18" x14ac:dyDescent="0.3">
      <c r="A1545" s="59">
        <v>45591</v>
      </c>
      <c r="B1545" s="32" t="s">
        <v>9144</v>
      </c>
      <c r="C1545" s="32" t="s">
        <v>9145</v>
      </c>
      <c r="D1545" s="32" t="s">
        <v>9146</v>
      </c>
      <c r="E1545" s="44" t="s">
        <v>9147</v>
      </c>
      <c r="F1545" s="44" t="s">
        <v>9148</v>
      </c>
      <c r="G1545" s="44" t="s">
        <v>1826</v>
      </c>
      <c r="H1545" s="29">
        <v>5</v>
      </c>
      <c r="I1545" s="32" t="s">
        <v>605</v>
      </c>
      <c r="J1545" s="32" t="s">
        <v>8861</v>
      </c>
      <c r="K1545" s="32" t="s">
        <v>8861</v>
      </c>
      <c r="L1545" s="167">
        <f t="shared" si="54"/>
        <v>1785.7142857142856</v>
      </c>
      <c r="M1545" s="167">
        <f t="shared" si="55"/>
        <v>214.28571428571425</v>
      </c>
      <c r="N1545" s="118">
        <v>2000</v>
      </c>
      <c r="O1545" s="235" t="s">
        <v>9149</v>
      </c>
      <c r="P1545" s="32" t="s">
        <v>6428</v>
      </c>
      <c r="Q1545" s="32" t="s">
        <v>3026</v>
      </c>
      <c r="R1545" s="32" t="s">
        <v>6554</v>
      </c>
    </row>
    <row r="1546" spans="1:18" x14ac:dyDescent="0.3">
      <c r="A1546" s="59">
        <v>45591</v>
      </c>
      <c r="B1546" s="32" t="s">
        <v>9150</v>
      </c>
      <c r="C1546" s="32" t="s">
        <v>9151</v>
      </c>
      <c r="D1546" s="32" t="s">
        <v>9152</v>
      </c>
      <c r="E1546" s="44" t="s">
        <v>9153</v>
      </c>
      <c r="F1546" s="44" t="s">
        <v>9154</v>
      </c>
      <c r="G1546" s="44" t="s">
        <v>1840</v>
      </c>
      <c r="H1546" s="29">
        <v>4</v>
      </c>
      <c r="I1546" s="32" t="s">
        <v>605</v>
      </c>
      <c r="J1546" s="32" t="s">
        <v>8861</v>
      </c>
      <c r="K1546" s="32" t="s">
        <v>8861</v>
      </c>
      <c r="L1546" s="167">
        <f t="shared" si="54"/>
        <v>1776.7857142857142</v>
      </c>
      <c r="M1546" s="167">
        <f t="shared" si="55"/>
        <v>213.21428571428569</v>
      </c>
      <c r="N1546" s="118">
        <v>1990</v>
      </c>
      <c r="O1546" s="235" t="s">
        <v>9155</v>
      </c>
      <c r="P1546" s="32" t="s">
        <v>2832</v>
      </c>
      <c r="Q1546" s="32" t="s">
        <v>65</v>
      </c>
      <c r="R1546" s="32" t="s">
        <v>6554</v>
      </c>
    </row>
    <row r="1547" spans="1:18" x14ac:dyDescent="0.3">
      <c r="A1547" s="59">
        <v>45591</v>
      </c>
      <c r="B1547" s="32" t="s">
        <v>9156</v>
      </c>
      <c r="C1547" s="74" t="s">
        <v>9157</v>
      </c>
      <c r="D1547" s="74" t="s">
        <v>9158</v>
      </c>
      <c r="E1547" s="51" t="s">
        <v>9159</v>
      </c>
      <c r="F1547" s="51" t="s">
        <v>9160</v>
      </c>
      <c r="G1547" s="51" t="s">
        <v>1840</v>
      </c>
      <c r="H1547" s="52">
        <v>5</v>
      </c>
      <c r="I1547" s="74" t="s">
        <v>605</v>
      </c>
      <c r="J1547" s="74" t="s">
        <v>2787</v>
      </c>
      <c r="K1547" s="74" t="s">
        <v>1975</v>
      </c>
      <c r="L1547" s="167">
        <f t="shared" si="54"/>
        <v>1785.7142857142856</v>
      </c>
      <c r="M1547" s="167">
        <f t="shared" si="55"/>
        <v>214.28571428571425</v>
      </c>
      <c r="N1547" s="118">
        <v>2000</v>
      </c>
      <c r="O1547" s="292" t="s">
        <v>9161</v>
      </c>
      <c r="P1547" s="74" t="s">
        <v>2832</v>
      </c>
      <c r="Q1547" s="74" t="s">
        <v>225</v>
      </c>
      <c r="R1547" s="74" t="s">
        <v>6554</v>
      </c>
    </row>
    <row r="1548" spans="1:18" x14ac:dyDescent="0.3">
      <c r="A1548" s="59">
        <v>45593</v>
      </c>
      <c r="B1548" s="32" t="s">
        <v>9162</v>
      </c>
      <c r="C1548" s="74" t="s">
        <v>9163</v>
      </c>
      <c r="D1548" s="74" t="s">
        <v>9164</v>
      </c>
      <c r="E1548" s="51" t="s">
        <v>9165</v>
      </c>
      <c r="F1548" s="51" t="s">
        <v>9166</v>
      </c>
      <c r="G1548" s="51" t="s">
        <v>1919</v>
      </c>
      <c r="H1548" s="52">
        <v>2</v>
      </c>
      <c r="I1548" s="74" t="s">
        <v>605</v>
      </c>
      <c r="J1548" s="74" t="s">
        <v>2787</v>
      </c>
      <c r="K1548" s="74" t="s">
        <v>2488</v>
      </c>
      <c r="L1548" s="167">
        <f t="shared" si="54"/>
        <v>624.99999999999989</v>
      </c>
      <c r="M1548" s="167">
        <f t="shared" si="55"/>
        <v>74.999999999999986</v>
      </c>
      <c r="N1548" s="118">
        <v>700</v>
      </c>
      <c r="O1548" s="292" t="s">
        <v>9167</v>
      </c>
      <c r="P1548" s="74" t="s">
        <v>371</v>
      </c>
      <c r="Q1548" s="74" t="s">
        <v>225</v>
      </c>
      <c r="R1548" s="74"/>
    </row>
    <row r="1549" spans="1:18" x14ac:dyDescent="0.3">
      <c r="A1549" s="59">
        <v>45593</v>
      </c>
      <c r="B1549" s="32" t="s">
        <v>9168</v>
      </c>
      <c r="C1549" s="32" t="s">
        <v>9169</v>
      </c>
      <c r="D1549" s="32" t="s">
        <v>9170</v>
      </c>
      <c r="E1549" s="44" t="s">
        <v>9171</v>
      </c>
      <c r="F1549" s="44" t="s">
        <v>9172</v>
      </c>
      <c r="G1549" s="44" t="s">
        <v>1962</v>
      </c>
      <c r="H1549" s="29">
        <v>10</v>
      </c>
      <c r="I1549" s="32" t="s">
        <v>617</v>
      </c>
      <c r="J1549" s="32" t="s">
        <v>8861</v>
      </c>
      <c r="K1549" s="32" t="s">
        <v>8861</v>
      </c>
      <c r="L1549" s="167">
        <f t="shared" si="54"/>
        <v>2669.6428571428569</v>
      </c>
      <c r="M1549" s="167">
        <f t="shared" si="55"/>
        <v>320.35714285714283</v>
      </c>
      <c r="N1549" s="118">
        <v>2990</v>
      </c>
      <c r="O1549" s="235" t="s">
        <v>9173</v>
      </c>
      <c r="P1549" s="32" t="s">
        <v>6428</v>
      </c>
      <c r="Q1549" s="32" t="s">
        <v>340</v>
      </c>
      <c r="R1549" s="32" t="s">
        <v>7652</v>
      </c>
    </row>
    <row r="1550" spans="1:18" x14ac:dyDescent="0.3">
      <c r="A1550" s="59">
        <v>45593</v>
      </c>
      <c r="B1550" s="32" t="s">
        <v>9174</v>
      </c>
      <c r="C1550" s="32" t="s">
        <v>9175</v>
      </c>
      <c r="D1550" s="32" t="s">
        <v>9176</v>
      </c>
      <c r="E1550" s="44" t="s">
        <v>9177</v>
      </c>
      <c r="F1550" s="44" t="s">
        <v>9178</v>
      </c>
      <c r="G1550" s="44" t="s">
        <v>1919</v>
      </c>
      <c r="H1550" s="29">
        <v>5</v>
      </c>
      <c r="I1550" s="32" t="s">
        <v>617</v>
      </c>
      <c r="J1550" s="32" t="s">
        <v>3868</v>
      </c>
      <c r="K1550" s="32" t="s">
        <v>3868</v>
      </c>
      <c r="L1550" s="167">
        <f t="shared" ref="L1550:L1613" si="56">+N1550/1.12</f>
        <v>0</v>
      </c>
      <c r="M1550" s="167">
        <f t="shared" ref="M1550:M1613" si="57">+L1550*12%</f>
        <v>0</v>
      </c>
      <c r="N1550" s="118">
        <v>0</v>
      </c>
      <c r="O1550" s="235" t="s">
        <v>9179</v>
      </c>
      <c r="P1550" s="32" t="s">
        <v>569</v>
      </c>
      <c r="Q1550" s="32" t="s">
        <v>65</v>
      </c>
      <c r="R1550" s="32" t="s">
        <v>7982</v>
      </c>
    </row>
    <row r="1551" spans="1:18" x14ac:dyDescent="0.3">
      <c r="A1551" s="59">
        <v>45593</v>
      </c>
      <c r="B1551" s="32" t="s">
        <v>9180</v>
      </c>
      <c r="C1551" s="32" t="s">
        <v>9181</v>
      </c>
      <c r="D1551" s="32" t="s">
        <v>9182</v>
      </c>
      <c r="E1551" s="44" t="s">
        <v>9183</v>
      </c>
      <c r="F1551" s="44" t="s">
        <v>9184</v>
      </c>
      <c r="G1551" s="44" t="s">
        <v>1840</v>
      </c>
      <c r="H1551" s="29">
        <v>4</v>
      </c>
      <c r="I1551" s="32" t="s">
        <v>617</v>
      </c>
      <c r="J1551" s="32" t="s">
        <v>8861</v>
      </c>
      <c r="K1551" s="32" t="s">
        <v>8861</v>
      </c>
      <c r="L1551" s="167">
        <f t="shared" si="56"/>
        <v>982.142857142857</v>
      </c>
      <c r="M1551" s="167">
        <f t="shared" si="57"/>
        <v>117.85714285714283</v>
      </c>
      <c r="N1551" s="118">
        <v>1100</v>
      </c>
      <c r="O1551" s="235" t="s">
        <v>9185</v>
      </c>
      <c r="P1551" s="32" t="s">
        <v>2865</v>
      </c>
      <c r="Q1551" s="32" t="s">
        <v>65</v>
      </c>
      <c r="R1551" s="32" t="s">
        <v>6554</v>
      </c>
    </row>
    <row r="1552" spans="1:18" x14ac:dyDescent="0.3">
      <c r="A1552" s="59">
        <v>45595</v>
      </c>
      <c r="B1552" s="32" t="s">
        <v>9186</v>
      </c>
      <c r="C1552" s="32" t="s">
        <v>9187</v>
      </c>
      <c r="D1552" s="32" t="s">
        <v>9188</v>
      </c>
      <c r="E1552" s="44" t="s">
        <v>9189</v>
      </c>
      <c r="F1552" s="44" t="s">
        <v>9190</v>
      </c>
      <c r="G1552" s="44" t="s">
        <v>1962</v>
      </c>
      <c r="H1552" s="29">
        <v>10</v>
      </c>
      <c r="I1552" s="32" t="s">
        <v>605</v>
      </c>
      <c r="J1552" s="32" t="s">
        <v>3868</v>
      </c>
      <c r="K1552" s="32" t="s">
        <v>3868</v>
      </c>
      <c r="L1552" s="167">
        <f t="shared" si="56"/>
        <v>2669.6428571428569</v>
      </c>
      <c r="M1552" s="167">
        <f t="shared" si="57"/>
        <v>320.35714285714283</v>
      </c>
      <c r="N1552" s="118">
        <v>2990</v>
      </c>
      <c r="O1552" s="235" t="s">
        <v>9191</v>
      </c>
      <c r="P1552" s="32" t="s">
        <v>6059</v>
      </c>
      <c r="Q1552" s="32" t="s">
        <v>225</v>
      </c>
      <c r="R1552" s="32" t="s">
        <v>6655</v>
      </c>
    </row>
    <row r="1553" spans="1:18" x14ac:dyDescent="0.3">
      <c r="A1553" s="59">
        <v>45595</v>
      </c>
      <c r="B1553" s="32" t="s">
        <v>9192</v>
      </c>
      <c r="C1553" s="32" t="s">
        <v>9193</v>
      </c>
      <c r="D1553" s="32" t="s">
        <v>9194</v>
      </c>
      <c r="E1553" s="44" t="s">
        <v>9195</v>
      </c>
      <c r="F1553" s="44" t="s">
        <v>9196</v>
      </c>
      <c r="G1553" s="44" t="s">
        <v>1840</v>
      </c>
      <c r="H1553" s="29">
        <v>3</v>
      </c>
      <c r="I1553" s="32" t="s">
        <v>605</v>
      </c>
      <c r="J1553" s="32" t="s">
        <v>9197</v>
      </c>
      <c r="K1553" s="32" t="s">
        <v>9197</v>
      </c>
      <c r="L1553" s="167">
        <f t="shared" si="56"/>
        <v>892.85714285714278</v>
      </c>
      <c r="M1553" s="167">
        <f t="shared" si="57"/>
        <v>107.14285714285712</v>
      </c>
      <c r="N1553" s="118">
        <v>1000</v>
      </c>
      <c r="O1553" s="235" t="s">
        <v>9198</v>
      </c>
      <c r="P1553" s="32" t="s">
        <v>2865</v>
      </c>
      <c r="Q1553" s="32" t="s">
        <v>3026</v>
      </c>
      <c r="R1553" s="32">
        <v>8000</v>
      </c>
    </row>
    <row r="1554" spans="1:18" x14ac:dyDescent="0.3">
      <c r="A1554" s="59">
        <v>45595</v>
      </c>
      <c r="B1554" s="32" t="s">
        <v>9199</v>
      </c>
      <c r="C1554" s="32" t="s">
        <v>9200</v>
      </c>
      <c r="D1554" s="32" t="s">
        <v>9201</v>
      </c>
      <c r="E1554" s="44" t="s">
        <v>9202</v>
      </c>
      <c r="F1554" s="44" t="s">
        <v>9203</v>
      </c>
      <c r="G1554" s="44" t="s">
        <v>1840</v>
      </c>
      <c r="H1554" s="29">
        <v>3</v>
      </c>
      <c r="I1554" s="32" t="s">
        <v>605</v>
      </c>
      <c r="J1554" s="32" t="s">
        <v>2787</v>
      </c>
      <c r="K1554" s="32" t="s">
        <v>1586</v>
      </c>
      <c r="L1554" s="167">
        <f t="shared" si="56"/>
        <v>892.85714285714278</v>
      </c>
      <c r="M1554" s="167">
        <f t="shared" si="57"/>
        <v>107.14285714285712</v>
      </c>
      <c r="N1554" s="118">
        <v>1000</v>
      </c>
      <c r="O1554" s="235" t="s">
        <v>9204</v>
      </c>
      <c r="P1554" s="32" t="s">
        <v>6428</v>
      </c>
      <c r="Q1554" s="32" t="s">
        <v>3026</v>
      </c>
      <c r="R1554" s="32" t="s">
        <v>7982</v>
      </c>
    </row>
    <row r="1555" spans="1:18" x14ac:dyDescent="0.3">
      <c r="A1555" s="59">
        <v>45596</v>
      </c>
      <c r="B1555" s="32" t="s">
        <v>9205</v>
      </c>
      <c r="C1555" s="32" t="s">
        <v>3524</v>
      </c>
      <c r="D1555" s="32" t="s">
        <v>9206</v>
      </c>
      <c r="E1555" s="44" t="s">
        <v>9207</v>
      </c>
      <c r="F1555" s="44" t="s">
        <v>9208</v>
      </c>
      <c r="G1555" s="44" t="s">
        <v>1840</v>
      </c>
      <c r="H1555" s="29">
        <v>4</v>
      </c>
      <c r="I1555" s="32" t="s">
        <v>605</v>
      </c>
      <c r="J1555" s="32" t="s">
        <v>8909</v>
      </c>
      <c r="K1555" s="32" t="s">
        <v>8909</v>
      </c>
      <c r="L1555" s="167">
        <f t="shared" si="56"/>
        <v>1517.8571428571427</v>
      </c>
      <c r="M1555" s="167">
        <f t="shared" si="57"/>
        <v>182.14285714285711</v>
      </c>
      <c r="N1555" s="118">
        <v>1700</v>
      </c>
      <c r="O1555" s="235" t="s">
        <v>9209</v>
      </c>
      <c r="P1555" s="32" t="s">
        <v>2832</v>
      </c>
      <c r="Q1555" s="32" t="s">
        <v>65</v>
      </c>
      <c r="R1555" s="32" t="s">
        <v>6554</v>
      </c>
    </row>
    <row r="1556" spans="1:18" x14ac:dyDescent="0.3">
      <c r="A1556" s="59">
        <v>45596</v>
      </c>
      <c r="B1556" s="32" t="s">
        <v>9210</v>
      </c>
      <c r="C1556" s="74" t="s">
        <v>9211</v>
      </c>
      <c r="D1556" s="74" t="s">
        <v>9212</v>
      </c>
      <c r="E1556" s="51" t="s">
        <v>9213</v>
      </c>
      <c r="F1556" s="51" t="s">
        <v>9214</v>
      </c>
      <c r="G1556" s="51" t="s">
        <v>1833</v>
      </c>
      <c r="H1556" s="52">
        <v>5</v>
      </c>
      <c r="I1556" s="74" t="s">
        <v>611</v>
      </c>
      <c r="J1556" s="32" t="s">
        <v>8861</v>
      </c>
      <c r="K1556" s="32" t="s">
        <v>8861</v>
      </c>
      <c r="L1556" s="167">
        <f t="shared" si="56"/>
        <v>1339.2857142857142</v>
      </c>
      <c r="M1556" s="167">
        <f t="shared" si="57"/>
        <v>160.71428571428569</v>
      </c>
      <c r="N1556" s="118">
        <v>1500</v>
      </c>
      <c r="O1556" s="292" t="s">
        <v>9215</v>
      </c>
      <c r="P1556" s="74" t="s">
        <v>6428</v>
      </c>
      <c r="Q1556" s="74" t="s">
        <v>340</v>
      </c>
      <c r="R1556" s="74">
        <v>8000</v>
      </c>
    </row>
    <row r="1557" spans="1:18" x14ac:dyDescent="0.3">
      <c r="A1557" s="59">
        <v>45596</v>
      </c>
      <c r="B1557" s="32" t="s">
        <v>9216</v>
      </c>
      <c r="C1557" s="32" t="s">
        <v>9217</v>
      </c>
      <c r="D1557" s="32" t="s">
        <v>9218</v>
      </c>
      <c r="E1557" s="44" t="s">
        <v>9219</v>
      </c>
      <c r="F1557" s="44" t="s">
        <v>9220</v>
      </c>
      <c r="G1557" s="44" t="s">
        <v>1962</v>
      </c>
      <c r="H1557" s="29">
        <v>5</v>
      </c>
      <c r="I1557" s="32" t="s">
        <v>605</v>
      </c>
      <c r="J1557" s="32" t="s">
        <v>8861</v>
      </c>
      <c r="K1557" s="32" t="s">
        <v>8861</v>
      </c>
      <c r="L1557" s="167">
        <f t="shared" si="56"/>
        <v>1785.7142857142856</v>
      </c>
      <c r="M1557" s="167">
        <f t="shared" si="57"/>
        <v>214.28571428571425</v>
      </c>
      <c r="N1557" s="118">
        <v>2000</v>
      </c>
      <c r="O1557" s="235" t="s">
        <v>9221</v>
      </c>
      <c r="P1557" s="32" t="s">
        <v>6428</v>
      </c>
      <c r="Q1557" s="32" t="s">
        <v>3026</v>
      </c>
      <c r="R1557" s="32" t="s">
        <v>7982</v>
      </c>
    </row>
    <row r="1558" spans="1:18" x14ac:dyDescent="0.3">
      <c r="A1558" s="59">
        <v>45603</v>
      </c>
      <c r="B1558" s="32" t="s">
        <v>9222</v>
      </c>
      <c r="C1558" s="32" t="s">
        <v>9223</v>
      </c>
      <c r="D1558" s="32" t="s">
        <v>9224</v>
      </c>
      <c r="E1558" s="44" t="s">
        <v>9225</v>
      </c>
      <c r="F1558" s="44" t="s">
        <v>9226</v>
      </c>
      <c r="G1558" s="44" t="s">
        <v>1833</v>
      </c>
      <c r="H1558" s="29">
        <v>3</v>
      </c>
      <c r="I1558" s="32" t="s">
        <v>617</v>
      </c>
      <c r="J1558" s="32" t="s">
        <v>2824</v>
      </c>
      <c r="K1558" s="32" t="s">
        <v>2824</v>
      </c>
      <c r="L1558" s="167">
        <f t="shared" si="56"/>
        <v>937.49999999999989</v>
      </c>
      <c r="M1558" s="167">
        <f t="shared" si="57"/>
        <v>112.49999999999999</v>
      </c>
      <c r="N1558" s="118">
        <v>1050</v>
      </c>
      <c r="O1558" s="235" t="s">
        <v>9227</v>
      </c>
      <c r="P1558" s="32" t="s">
        <v>3805</v>
      </c>
      <c r="Q1558" s="32" t="s">
        <v>225</v>
      </c>
      <c r="R1558" s="32" t="s">
        <v>6554</v>
      </c>
    </row>
    <row r="1559" spans="1:18" x14ac:dyDescent="0.3">
      <c r="A1559" s="59">
        <v>45602</v>
      </c>
      <c r="B1559" s="32" t="s">
        <v>9228</v>
      </c>
      <c r="C1559" s="32" t="s">
        <v>9229</v>
      </c>
      <c r="D1559" s="32" t="s">
        <v>9230</v>
      </c>
      <c r="E1559" s="44" t="s">
        <v>9231</v>
      </c>
      <c r="F1559" s="44" t="s">
        <v>9232</v>
      </c>
      <c r="G1559" s="44" t="s">
        <v>1826</v>
      </c>
      <c r="H1559" s="29">
        <v>6</v>
      </c>
      <c r="I1559" s="32" t="s">
        <v>605</v>
      </c>
      <c r="J1559" s="32" t="s">
        <v>8861</v>
      </c>
      <c r="K1559" s="32" t="s">
        <v>8861</v>
      </c>
      <c r="L1559" s="167">
        <f t="shared" si="56"/>
        <v>1785.7142857142856</v>
      </c>
      <c r="M1559" s="167">
        <f t="shared" si="57"/>
        <v>214.28571428571425</v>
      </c>
      <c r="N1559" s="118">
        <v>2000</v>
      </c>
      <c r="O1559" s="235" t="s">
        <v>9233</v>
      </c>
      <c r="P1559" s="32" t="s">
        <v>5743</v>
      </c>
      <c r="Q1559" s="32" t="s">
        <v>782</v>
      </c>
      <c r="R1559" s="32" t="s">
        <v>6554</v>
      </c>
    </row>
    <row r="1560" spans="1:18" x14ac:dyDescent="0.3">
      <c r="A1560" s="59">
        <v>45605</v>
      </c>
      <c r="B1560" s="32" t="s">
        <v>9234</v>
      </c>
      <c r="C1560" s="25" t="s">
        <v>9235</v>
      </c>
      <c r="D1560" s="25" t="s">
        <v>9236</v>
      </c>
      <c r="E1560" s="44" t="s">
        <v>9237</v>
      </c>
      <c r="F1560" s="44" t="s">
        <v>9238</v>
      </c>
      <c r="G1560" s="44" t="s">
        <v>1919</v>
      </c>
      <c r="H1560" s="29">
        <v>3</v>
      </c>
      <c r="I1560" s="25" t="s">
        <v>605</v>
      </c>
      <c r="J1560" s="25" t="s">
        <v>8909</v>
      </c>
      <c r="K1560" s="25" t="s">
        <v>8909</v>
      </c>
      <c r="L1560" s="167">
        <f t="shared" si="56"/>
        <v>758.92857142857133</v>
      </c>
      <c r="M1560" s="167">
        <f t="shared" si="57"/>
        <v>91.071428571428555</v>
      </c>
      <c r="N1560" s="118">
        <v>850</v>
      </c>
      <c r="O1560" s="27" t="s">
        <v>9239</v>
      </c>
      <c r="P1560" s="25" t="s">
        <v>5743</v>
      </c>
      <c r="Q1560" s="25" t="s">
        <v>340</v>
      </c>
      <c r="R1560" s="29" t="s">
        <v>6554</v>
      </c>
    </row>
    <row r="1561" spans="1:18" x14ac:dyDescent="0.3">
      <c r="A1561" s="59">
        <v>45605</v>
      </c>
      <c r="B1561" s="32" t="s">
        <v>9240</v>
      </c>
      <c r="C1561" s="43" t="s">
        <v>9241</v>
      </c>
      <c r="D1561" s="43" t="s">
        <v>9242</v>
      </c>
      <c r="E1561" s="51" t="s">
        <v>9243</v>
      </c>
      <c r="F1561" s="51" t="s">
        <v>9244</v>
      </c>
      <c r="G1561" s="51" t="s">
        <v>1833</v>
      </c>
      <c r="H1561" s="52">
        <v>3</v>
      </c>
      <c r="I1561" s="43" t="s">
        <v>617</v>
      </c>
      <c r="J1561" s="25" t="s">
        <v>8909</v>
      </c>
      <c r="K1561" s="25" t="s">
        <v>8909</v>
      </c>
      <c r="L1561" s="167">
        <f t="shared" si="56"/>
        <v>1160.7142857142856</v>
      </c>
      <c r="M1561" s="167">
        <f t="shared" si="57"/>
        <v>139.28571428571425</v>
      </c>
      <c r="N1561" s="118">
        <v>1300</v>
      </c>
      <c r="O1561" s="53" t="s">
        <v>9245</v>
      </c>
      <c r="P1561" s="43" t="s">
        <v>2865</v>
      </c>
      <c r="Q1561" s="43" t="s">
        <v>9246</v>
      </c>
      <c r="R1561" s="52" t="s">
        <v>6655</v>
      </c>
    </row>
    <row r="1562" spans="1:18" x14ac:dyDescent="0.3">
      <c r="A1562" s="59">
        <v>45605</v>
      </c>
      <c r="B1562" s="32" t="s">
        <v>9247</v>
      </c>
      <c r="C1562" s="25" t="s">
        <v>9248</v>
      </c>
      <c r="D1562" s="25" t="s">
        <v>9249</v>
      </c>
      <c r="E1562" s="44" t="s">
        <v>9250</v>
      </c>
      <c r="F1562" s="44" t="s">
        <v>9251</v>
      </c>
      <c r="G1562" s="44" t="s">
        <v>1919</v>
      </c>
      <c r="H1562" s="29">
        <v>3</v>
      </c>
      <c r="I1562" s="25" t="s">
        <v>617</v>
      </c>
      <c r="J1562" s="25" t="s">
        <v>9129</v>
      </c>
      <c r="K1562" s="25" t="s">
        <v>2488</v>
      </c>
      <c r="L1562" s="167">
        <f t="shared" si="56"/>
        <v>937.49999999999989</v>
      </c>
      <c r="M1562" s="167">
        <f t="shared" si="57"/>
        <v>112.49999999999999</v>
      </c>
      <c r="N1562" s="118">
        <v>1050</v>
      </c>
      <c r="O1562" s="27" t="s">
        <v>9252</v>
      </c>
      <c r="P1562" s="25" t="s">
        <v>371</v>
      </c>
      <c r="Q1562" s="25" t="s">
        <v>8653</v>
      </c>
      <c r="R1562" s="29" t="s">
        <v>7652</v>
      </c>
    </row>
    <row r="1563" spans="1:18" x14ac:dyDescent="0.3">
      <c r="A1563" s="59">
        <v>45605</v>
      </c>
      <c r="B1563" s="32" t="s">
        <v>9253</v>
      </c>
      <c r="C1563" s="25" t="s">
        <v>9254</v>
      </c>
      <c r="D1563" s="25" t="s">
        <v>9255</v>
      </c>
      <c r="E1563" s="44" t="s">
        <v>9256</v>
      </c>
      <c r="F1563" s="44" t="s">
        <v>9257</v>
      </c>
      <c r="G1563" s="44" t="s">
        <v>1840</v>
      </c>
      <c r="H1563" s="29">
        <v>4</v>
      </c>
      <c r="I1563" s="25" t="s">
        <v>605</v>
      </c>
      <c r="J1563" s="25" t="s">
        <v>2787</v>
      </c>
      <c r="K1563" s="25" t="s">
        <v>7731</v>
      </c>
      <c r="L1563" s="167">
        <f t="shared" si="56"/>
        <v>937.49999999999989</v>
      </c>
      <c r="M1563" s="167">
        <f t="shared" si="57"/>
        <v>112.49999999999999</v>
      </c>
      <c r="N1563" s="118">
        <v>1050</v>
      </c>
      <c r="O1563" s="27" t="s">
        <v>9258</v>
      </c>
      <c r="P1563" s="25" t="s">
        <v>6428</v>
      </c>
      <c r="Q1563" s="25" t="s">
        <v>782</v>
      </c>
      <c r="R1563" s="29" t="s">
        <v>6655</v>
      </c>
    </row>
    <row r="1564" spans="1:18" x14ac:dyDescent="0.3">
      <c r="A1564" s="59">
        <v>45605</v>
      </c>
      <c r="B1564" s="32" t="s">
        <v>9259</v>
      </c>
      <c r="C1564" s="25" t="s">
        <v>9260</v>
      </c>
      <c r="D1564" s="25" t="s">
        <v>9261</v>
      </c>
      <c r="E1564" s="44" t="s">
        <v>9262</v>
      </c>
      <c r="F1564" s="44" t="s">
        <v>9263</v>
      </c>
      <c r="G1564" s="44" t="s">
        <v>1833</v>
      </c>
      <c r="H1564" s="29">
        <v>4</v>
      </c>
      <c r="I1564" s="25" t="s">
        <v>605</v>
      </c>
      <c r="J1564" s="25" t="s">
        <v>8909</v>
      </c>
      <c r="K1564" s="25" t="s">
        <v>8909</v>
      </c>
      <c r="L1564" s="167">
        <f t="shared" si="56"/>
        <v>892.85714285714278</v>
      </c>
      <c r="M1564" s="167">
        <f t="shared" si="57"/>
        <v>107.14285714285712</v>
      </c>
      <c r="N1564" s="118">
        <v>1000</v>
      </c>
      <c r="O1564" s="27" t="s">
        <v>9264</v>
      </c>
      <c r="P1564" s="25" t="s">
        <v>6059</v>
      </c>
      <c r="Q1564" s="25" t="s">
        <v>3026</v>
      </c>
      <c r="R1564" s="29" t="s">
        <v>6655</v>
      </c>
    </row>
    <row r="1565" spans="1:18" x14ac:dyDescent="0.3">
      <c r="A1565" s="20">
        <v>45608</v>
      </c>
      <c r="B1565" s="32" t="s">
        <v>9265</v>
      </c>
      <c r="C1565" s="25" t="s">
        <v>9266</v>
      </c>
      <c r="D1565" s="25" t="s">
        <v>9267</v>
      </c>
      <c r="E1565" s="44" t="s">
        <v>9268</v>
      </c>
      <c r="F1565" s="44" t="s">
        <v>9269</v>
      </c>
      <c r="G1565" s="44" t="s">
        <v>1840</v>
      </c>
      <c r="H1565" s="29">
        <v>2</v>
      </c>
      <c r="I1565" s="25" t="s">
        <v>605</v>
      </c>
      <c r="J1565" s="25" t="s">
        <v>8909</v>
      </c>
      <c r="K1565" s="25" t="s">
        <v>8909</v>
      </c>
      <c r="L1565" s="167">
        <f t="shared" si="56"/>
        <v>1071.4285714285713</v>
      </c>
      <c r="M1565" s="167">
        <f t="shared" si="57"/>
        <v>128.57142857142856</v>
      </c>
      <c r="N1565" s="118">
        <v>1200</v>
      </c>
      <c r="O1565" s="27" t="s">
        <v>9270</v>
      </c>
      <c r="P1565" s="25" t="s">
        <v>65</v>
      </c>
      <c r="Q1565" s="25" t="s">
        <v>8653</v>
      </c>
      <c r="R1565" s="29" t="s">
        <v>6655</v>
      </c>
    </row>
    <row r="1566" spans="1:18" x14ac:dyDescent="0.3">
      <c r="A1566" s="20">
        <v>45608</v>
      </c>
      <c r="B1566" s="32" t="s">
        <v>9271</v>
      </c>
      <c r="C1566" s="25" t="s">
        <v>9272</v>
      </c>
      <c r="D1566" s="25" t="s">
        <v>9273</v>
      </c>
      <c r="E1566" s="44" t="s">
        <v>9274</v>
      </c>
      <c r="F1566" s="44" t="s">
        <v>9275</v>
      </c>
      <c r="G1566" s="44" t="s">
        <v>2153</v>
      </c>
      <c r="H1566" s="29">
        <v>12</v>
      </c>
      <c r="I1566" s="25" t="s">
        <v>3003</v>
      </c>
      <c r="J1566" s="25" t="s">
        <v>9121</v>
      </c>
      <c r="K1566" s="25" t="s">
        <v>8909</v>
      </c>
      <c r="L1566" s="167">
        <f t="shared" si="56"/>
        <v>5357.1428571428569</v>
      </c>
      <c r="M1566" s="167">
        <f t="shared" si="57"/>
        <v>642.85714285714278</v>
      </c>
      <c r="N1566" s="118">
        <v>6000</v>
      </c>
      <c r="O1566" s="27" t="s">
        <v>9276</v>
      </c>
      <c r="P1566" s="25" t="s">
        <v>2832</v>
      </c>
      <c r="Q1566" s="25" t="s">
        <v>782</v>
      </c>
      <c r="R1566" s="29" t="s">
        <v>6554</v>
      </c>
    </row>
    <row r="1567" spans="1:18" x14ac:dyDescent="0.3">
      <c r="A1567" s="20">
        <v>45609</v>
      </c>
      <c r="B1567" s="32" t="s">
        <v>9277</v>
      </c>
      <c r="C1567" s="25" t="s">
        <v>9278</v>
      </c>
      <c r="D1567" s="25" t="s">
        <v>9279</v>
      </c>
      <c r="E1567" s="44" t="s">
        <v>9280</v>
      </c>
      <c r="F1567" s="44" t="s">
        <v>9281</v>
      </c>
      <c r="G1567" s="44" t="s">
        <v>1919</v>
      </c>
      <c r="H1567" s="29">
        <v>3</v>
      </c>
      <c r="I1567" s="25" t="s">
        <v>605</v>
      </c>
      <c r="J1567" s="25" t="s">
        <v>3143</v>
      </c>
      <c r="K1567" s="25" t="s">
        <v>200</v>
      </c>
      <c r="L1567" s="167">
        <f t="shared" si="56"/>
        <v>892.85714285714278</v>
      </c>
      <c r="M1567" s="167">
        <f t="shared" si="57"/>
        <v>107.14285714285712</v>
      </c>
      <c r="N1567" s="118">
        <v>1000</v>
      </c>
      <c r="O1567" s="27" t="s">
        <v>9282</v>
      </c>
      <c r="P1567" s="25" t="s">
        <v>5743</v>
      </c>
      <c r="Q1567" s="25" t="s">
        <v>65</v>
      </c>
      <c r="R1567" s="29" t="s">
        <v>6554</v>
      </c>
    </row>
    <row r="1568" spans="1:18" x14ac:dyDescent="0.3">
      <c r="A1568" s="20">
        <v>45610</v>
      </c>
      <c r="B1568" s="32" t="s">
        <v>9283</v>
      </c>
      <c r="C1568" s="32" t="s">
        <v>9284</v>
      </c>
      <c r="D1568" s="32" t="s">
        <v>9285</v>
      </c>
      <c r="E1568" s="44" t="s">
        <v>9286</v>
      </c>
      <c r="F1568" s="44" t="s">
        <v>9287</v>
      </c>
      <c r="G1568" s="44" t="s">
        <v>1840</v>
      </c>
      <c r="H1568" s="29">
        <v>10</v>
      </c>
      <c r="I1568" s="32" t="s">
        <v>605</v>
      </c>
      <c r="J1568" s="32"/>
      <c r="K1568" s="32"/>
      <c r="L1568" s="167">
        <f t="shared" si="56"/>
        <v>0</v>
      </c>
      <c r="M1568" s="167">
        <f t="shared" si="57"/>
        <v>0</v>
      </c>
      <c r="N1568" s="118">
        <v>0</v>
      </c>
      <c r="O1568" s="235" t="s">
        <v>9288</v>
      </c>
      <c r="P1568" s="32" t="s">
        <v>2832</v>
      </c>
      <c r="Q1568" s="32" t="s">
        <v>65</v>
      </c>
      <c r="R1568" s="32"/>
    </row>
    <row r="1569" spans="1:18" x14ac:dyDescent="0.3">
      <c r="A1569" s="20">
        <v>45612</v>
      </c>
      <c r="B1569" s="32" t="s">
        <v>9289</v>
      </c>
      <c r="C1569" s="32" t="s">
        <v>9290</v>
      </c>
      <c r="D1569" s="32" t="s">
        <v>9291</v>
      </c>
      <c r="E1569" s="44" t="s">
        <v>9292</v>
      </c>
      <c r="F1569" s="44" t="s">
        <v>9293</v>
      </c>
      <c r="G1569" s="44" t="s">
        <v>1926</v>
      </c>
      <c r="H1569" s="29">
        <v>2</v>
      </c>
      <c r="I1569" s="32" t="s">
        <v>605</v>
      </c>
      <c r="J1569" s="32" t="s">
        <v>3143</v>
      </c>
      <c r="K1569" s="32" t="s">
        <v>200</v>
      </c>
      <c r="L1569" s="167">
        <f t="shared" si="56"/>
        <v>624.99999999999989</v>
      </c>
      <c r="M1569" s="167">
        <f t="shared" si="57"/>
        <v>74.999999999999986</v>
      </c>
      <c r="N1569" s="118">
        <v>700</v>
      </c>
      <c r="O1569" s="235" t="s">
        <v>9294</v>
      </c>
      <c r="P1569" s="32" t="s">
        <v>2804</v>
      </c>
      <c r="Q1569" s="32" t="s">
        <v>2832</v>
      </c>
      <c r="R1569" s="32" t="s">
        <v>6554</v>
      </c>
    </row>
    <row r="1570" spans="1:18" x14ac:dyDescent="0.3">
      <c r="A1570" s="20">
        <v>45612</v>
      </c>
      <c r="B1570" s="32" t="s">
        <v>9295</v>
      </c>
      <c r="C1570" s="32" t="s">
        <v>9296</v>
      </c>
      <c r="D1570" s="32" t="s">
        <v>9297</v>
      </c>
      <c r="E1570" s="44" t="s">
        <v>9298</v>
      </c>
      <c r="F1570" s="44" t="s">
        <v>9299</v>
      </c>
      <c r="G1570" s="44" t="s">
        <v>1840</v>
      </c>
      <c r="H1570" s="29">
        <v>6</v>
      </c>
      <c r="I1570" s="32" t="s">
        <v>611</v>
      </c>
      <c r="J1570" s="32" t="s">
        <v>3143</v>
      </c>
      <c r="K1570" s="32" t="s">
        <v>200</v>
      </c>
      <c r="L1570" s="167">
        <f t="shared" si="56"/>
        <v>1428.5714285714284</v>
      </c>
      <c r="M1570" s="167">
        <f t="shared" si="57"/>
        <v>171.42857142857142</v>
      </c>
      <c r="N1570" s="118">
        <v>1600</v>
      </c>
      <c r="O1570" s="235" t="s">
        <v>9300</v>
      </c>
      <c r="P1570" s="32" t="s">
        <v>3805</v>
      </c>
      <c r="Q1570" s="32" t="s">
        <v>782</v>
      </c>
      <c r="R1570" s="32" t="s">
        <v>6554</v>
      </c>
    </row>
    <row r="1571" spans="1:18" x14ac:dyDescent="0.3">
      <c r="A1571" s="234">
        <v>45615</v>
      </c>
      <c r="B1571" s="32" t="s">
        <v>9301</v>
      </c>
      <c r="C1571" s="32" t="s">
        <v>9302</v>
      </c>
      <c r="D1571" s="32" t="s">
        <v>9303</v>
      </c>
      <c r="E1571" s="44" t="s">
        <v>9304</v>
      </c>
      <c r="F1571" s="44" t="s">
        <v>9305</v>
      </c>
      <c r="G1571" s="44" t="s">
        <v>1833</v>
      </c>
      <c r="H1571" s="29">
        <v>2</v>
      </c>
      <c r="I1571" s="32" t="s">
        <v>605</v>
      </c>
      <c r="J1571" s="32" t="s">
        <v>3143</v>
      </c>
      <c r="K1571" s="32" t="s">
        <v>200</v>
      </c>
      <c r="L1571" s="167">
        <f t="shared" si="56"/>
        <v>714.28571428571422</v>
      </c>
      <c r="M1571" s="167">
        <f t="shared" si="57"/>
        <v>85.714285714285708</v>
      </c>
      <c r="N1571" s="118">
        <v>800</v>
      </c>
      <c r="O1571" s="235" t="s">
        <v>9306</v>
      </c>
      <c r="P1571" s="32" t="s">
        <v>2832</v>
      </c>
      <c r="Q1571" s="32" t="s">
        <v>782</v>
      </c>
      <c r="R1571" s="32">
        <v>700</v>
      </c>
    </row>
    <row r="1572" spans="1:18" x14ac:dyDescent="0.3">
      <c r="A1572" s="234">
        <v>45615</v>
      </c>
      <c r="B1572" s="32" t="s">
        <v>9307</v>
      </c>
      <c r="C1572" s="32" t="s">
        <v>1181</v>
      </c>
      <c r="D1572" s="32" t="s">
        <v>9308</v>
      </c>
      <c r="E1572" s="44" t="s">
        <v>9309</v>
      </c>
      <c r="F1572" s="44" t="s">
        <v>9310</v>
      </c>
      <c r="G1572" s="44" t="s">
        <v>1919</v>
      </c>
      <c r="H1572" s="29">
        <v>3</v>
      </c>
      <c r="I1572" s="32" t="s">
        <v>605</v>
      </c>
      <c r="J1572" s="32" t="s">
        <v>9311</v>
      </c>
      <c r="K1572" s="32" t="s">
        <v>2824</v>
      </c>
      <c r="L1572" s="167">
        <f t="shared" si="56"/>
        <v>1160.7142857142856</v>
      </c>
      <c r="M1572" s="167">
        <f t="shared" si="57"/>
        <v>139.28571428571425</v>
      </c>
      <c r="N1572" s="118">
        <v>1300</v>
      </c>
      <c r="O1572" s="235" t="s">
        <v>9312</v>
      </c>
      <c r="P1572" s="32" t="s">
        <v>335</v>
      </c>
      <c r="Q1572" s="32" t="s">
        <v>225</v>
      </c>
      <c r="R1572" s="32" t="s">
        <v>6554</v>
      </c>
    </row>
    <row r="1573" spans="1:18" x14ac:dyDescent="0.3">
      <c r="A1573" s="234">
        <v>45615</v>
      </c>
      <c r="B1573" s="32" t="s">
        <v>9313</v>
      </c>
      <c r="C1573" s="32" t="s">
        <v>9314</v>
      </c>
      <c r="D1573" s="32" t="s">
        <v>9315</v>
      </c>
      <c r="E1573" s="44" t="s">
        <v>9316</v>
      </c>
      <c r="F1573" s="44" t="s">
        <v>9317</v>
      </c>
      <c r="G1573" s="44" t="s">
        <v>1833</v>
      </c>
      <c r="H1573" s="29">
        <v>2</v>
      </c>
      <c r="I1573" s="32" t="s">
        <v>605</v>
      </c>
      <c r="J1573" s="32" t="s">
        <v>3143</v>
      </c>
      <c r="K1573" s="32" t="s">
        <v>199</v>
      </c>
      <c r="L1573" s="167">
        <f t="shared" si="56"/>
        <v>624.99999999999989</v>
      </c>
      <c r="M1573" s="167">
        <f t="shared" si="57"/>
        <v>74.999999999999986</v>
      </c>
      <c r="N1573" s="118">
        <v>700</v>
      </c>
      <c r="O1573" s="235" t="s">
        <v>9318</v>
      </c>
      <c r="P1573" s="32" t="s">
        <v>335</v>
      </c>
      <c r="Q1573" s="32" t="s">
        <v>3026</v>
      </c>
      <c r="R1573" s="32">
        <v>700</v>
      </c>
    </row>
    <row r="1574" spans="1:18" x14ac:dyDescent="0.3">
      <c r="A1574" s="234">
        <v>45616</v>
      </c>
      <c r="B1574" s="32" t="s">
        <v>9319</v>
      </c>
      <c r="C1574" s="32" t="s">
        <v>9320</v>
      </c>
      <c r="D1574" s="32" t="s">
        <v>9321</v>
      </c>
      <c r="E1574" s="44" t="s">
        <v>9322</v>
      </c>
      <c r="F1574" s="44" t="s">
        <v>9323</v>
      </c>
      <c r="G1574" s="44" t="s">
        <v>1919</v>
      </c>
      <c r="H1574" s="29">
        <v>3</v>
      </c>
      <c r="I1574" s="32" t="s">
        <v>605</v>
      </c>
      <c r="J1574" s="32" t="s">
        <v>3143</v>
      </c>
      <c r="K1574" s="32" t="s">
        <v>200</v>
      </c>
      <c r="L1574" s="167">
        <f t="shared" si="56"/>
        <v>892.85714285714278</v>
      </c>
      <c r="M1574" s="167">
        <f t="shared" si="57"/>
        <v>107.14285714285712</v>
      </c>
      <c r="N1574" s="118">
        <v>1000</v>
      </c>
      <c r="O1574" s="235" t="s">
        <v>9324</v>
      </c>
      <c r="P1574" s="32" t="s">
        <v>65</v>
      </c>
      <c r="Q1574" s="32" t="s">
        <v>65</v>
      </c>
      <c r="R1574" s="32">
        <v>8000</v>
      </c>
    </row>
    <row r="1575" spans="1:18" x14ac:dyDescent="0.3">
      <c r="A1575" s="234">
        <v>45616</v>
      </c>
      <c r="B1575" s="32" t="s">
        <v>9325</v>
      </c>
      <c r="C1575" s="32" t="s">
        <v>9326</v>
      </c>
      <c r="D1575" s="32" t="s">
        <v>9327</v>
      </c>
      <c r="E1575" s="44" t="s">
        <v>9328</v>
      </c>
      <c r="F1575" s="44" t="s">
        <v>9329</v>
      </c>
      <c r="G1575" s="44" t="s">
        <v>1826</v>
      </c>
      <c r="H1575" s="29">
        <v>5</v>
      </c>
      <c r="I1575" s="32" t="s">
        <v>605</v>
      </c>
      <c r="J1575" s="32" t="s">
        <v>2787</v>
      </c>
      <c r="K1575" s="32" t="s">
        <v>1586</v>
      </c>
      <c r="L1575" s="167">
        <f t="shared" si="56"/>
        <v>892.85714285714278</v>
      </c>
      <c r="M1575" s="167">
        <f t="shared" si="57"/>
        <v>107.14285714285712</v>
      </c>
      <c r="N1575" s="118">
        <v>1000</v>
      </c>
      <c r="O1575" s="235" t="s">
        <v>9330</v>
      </c>
      <c r="P1575" s="32" t="s">
        <v>335</v>
      </c>
      <c r="Q1575" s="32" t="s">
        <v>3026</v>
      </c>
      <c r="R1575" s="32" t="s">
        <v>7652</v>
      </c>
    </row>
    <row r="1576" spans="1:18" x14ac:dyDescent="0.3">
      <c r="A1576" s="234">
        <v>45616</v>
      </c>
      <c r="B1576" s="32" t="s">
        <v>9331</v>
      </c>
      <c r="C1576" s="32" t="s">
        <v>9332</v>
      </c>
      <c r="D1576" s="32" t="s">
        <v>9333</v>
      </c>
      <c r="E1576" s="44" t="s">
        <v>9334</v>
      </c>
      <c r="F1576" s="44" t="s">
        <v>9335</v>
      </c>
      <c r="G1576" s="44" t="s">
        <v>1833</v>
      </c>
      <c r="H1576" s="29">
        <v>3</v>
      </c>
      <c r="I1576" s="32" t="s">
        <v>605</v>
      </c>
      <c r="J1576" s="32" t="s">
        <v>2787</v>
      </c>
      <c r="K1576" s="32" t="s">
        <v>1586</v>
      </c>
      <c r="L1576" s="167">
        <f t="shared" si="56"/>
        <v>892.85714285714278</v>
      </c>
      <c r="M1576" s="167">
        <f t="shared" si="57"/>
        <v>107.14285714285712</v>
      </c>
      <c r="N1576" s="118">
        <v>1000</v>
      </c>
      <c r="O1576" s="302" t="s">
        <v>9336</v>
      </c>
      <c r="P1576" s="32" t="s">
        <v>2832</v>
      </c>
      <c r="Q1576" s="32" t="s">
        <v>225</v>
      </c>
      <c r="R1576" s="32" t="s">
        <v>7652</v>
      </c>
    </row>
    <row r="1577" spans="1:18" x14ac:dyDescent="0.3">
      <c r="A1577" s="234">
        <v>45616</v>
      </c>
      <c r="B1577" s="32" t="s">
        <v>9337</v>
      </c>
      <c r="C1577" s="32" t="s">
        <v>9338</v>
      </c>
      <c r="D1577" s="32" t="s">
        <v>9339</v>
      </c>
      <c r="E1577" s="44" t="s">
        <v>9340</v>
      </c>
      <c r="F1577" s="44" t="s">
        <v>9341</v>
      </c>
      <c r="G1577" s="44" t="s">
        <v>1833</v>
      </c>
      <c r="H1577" s="29">
        <v>4</v>
      </c>
      <c r="I1577" s="32" t="s">
        <v>617</v>
      </c>
      <c r="J1577" s="32" t="s">
        <v>3143</v>
      </c>
      <c r="K1577" s="32" t="s">
        <v>200</v>
      </c>
      <c r="L1577" s="167">
        <f t="shared" si="56"/>
        <v>1116.0714285714284</v>
      </c>
      <c r="M1577" s="167">
        <f t="shared" si="57"/>
        <v>133.92857142857142</v>
      </c>
      <c r="N1577" s="118">
        <v>1250</v>
      </c>
      <c r="O1577" s="235" t="s">
        <v>9342</v>
      </c>
      <c r="P1577" s="32" t="s">
        <v>2832</v>
      </c>
      <c r="Q1577" s="32" t="s">
        <v>9343</v>
      </c>
      <c r="R1577" s="32" t="s">
        <v>7652</v>
      </c>
    </row>
    <row r="1578" spans="1:18" x14ac:dyDescent="0.3">
      <c r="A1578" s="234">
        <v>45617</v>
      </c>
      <c r="B1578" s="32" t="s">
        <v>9344</v>
      </c>
      <c r="C1578" s="32" t="s">
        <v>9345</v>
      </c>
      <c r="D1578" s="32" t="s">
        <v>9346</v>
      </c>
      <c r="E1578" s="44" t="s">
        <v>9347</v>
      </c>
      <c r="F1578" s="44" t="s">
        <v>9348</v>
      </c>
      <c r="G1578" s="44" t="s">
        <v>1833</v>
      </c>
      <c r="H1578" s="29">
        <v>2</v>
      </c>
      <c r="I1578" s="241" t="s">
        <v>605</v>
      </c>
      <c r="J1578" s="242" t="s">
        <v>9349</v>
      </c>
      <c r="K1578" s="242" t="s">
        <v>9349</v>
      </c>
      <c r="L1578" s="167">
        <f t="shared" si="56"/>
        <v>624.99999999999989</v>
      </c>
      <c r="M1578" s="167">
        <f t="shared" si="57"/>
        <v>74.999999999999986</v>
      </c>
      <c r="N1578" s="118">
        <v>700</v>
      </c>
      <c r="O1578" s="235" t="s">
        <v>9350</v>
      </c>
      <c r="P1578" s="32" t="s">
        <v>335</v>
      </c>
      <c r="Q1578" s="32" t="s">
        <v>782</v>
      </c>
      <c r="R1578" s="32" t="s">
        <v>9351</v>
      </c>
    </row>
    <row r="1579" spans="1:18" x14ac:dyDescent="0.3">
      <c r="A1579" s="234">
        <v>45617</v>
      </c>
      <c r="B1579" s="32" t="s">
        <v>9352</v>
      </c>
      <c r="C1579" s="32" t="s">
        <v>9353</v>
      </c>
      <c r="D1579" s="32" t="s">
        <v>9354</v>
      </c>
      <c r="E1579" s="44" t="s">
        <v>9355</v>
      </c>
      <c r="F1579" s="44" t="s">
        <v>9356</v>
      </c>
      <c r="G1579" s="44" t="s">
        <v>1833</v>
      </c>
      <c r="H1579" s="29">
        <v>2</v>
      </c>
      <c r="I1579" s="32" t="s">
        <v>3003</v>
      </c>
      <c r="J1579" s="32" t="s">
        <v>3143</v>
      </c>
      <c r="K1579" s="32" t="s">
        <v>332</v>
      </c>
      <c r="L1579" s="167">
        <f t="shared" si="56"/>
        <v>732.14285714285711</v>
      </c>
      <c r="M1579" s="167">
        <f t="shared" si="57"/>
        <v>87.857142857142847</v>
      </c>
      <c r="N1579" s="118">
        <v>820</v>
      </c>
      <c r="O1579" s="235" t="s">
        <v>9357</v>
      </c>
      <c r="P1579" s="32" t="s">
        <v>3805</v>
      </c>
      <c r="Q1579" s="32" t="s">
        <v>3026</v>
      </c>
      <c r="R1579" s="32" t="s">
        <v>7397</v>
      </c>
    </row>
    <row r="1580" spans="1:18" x14ac:dyDescent="0.3">
      <c r="A1580" s="234">
        <v>45617</v>
      </c>
      <c r="B1580" s="32" t="s">
        <v>9358</v>
      </c>
      <c r="C1580" s="32" t="s">
        <v>9359</v>
      </c>
      <c r="D1580" s="32" t="s">
        <v>9360</v>
      </c>
      <c r="E1580" s="44" t="s">
        <v>9361</v>
      </c>
      <c r="F1580" s="44" t="s">
        <v>9362</v>
      </c>
      <c r="G1580" s="44" t="s">
        <v>1840</v>
      </c>
      <c r="H1580" s="29">
        <v>4</v>
      </c>
      <c r="I1580" s="32" t="s">
        <v>611</v>
      </c>
      <c r="J1580" s="32" t="s">
        <v>2817</v>
      </c>
      <c r="K1580" s="32" t="s">
        <v>2817</v>
      </c>
      <c r="L1580" s="167">
        <f t="shared" si="56"/>
        <v>1339.2857142857142</v>
      </c>
      <c r="M1580" s="167">
        <f t="shared" si="57"/>
        <v>160.71428571428569</v>
      </c>
      <c r="N1580" s="118">
        <v>1500</v>
      </c>
      <c r="O1580" s="235" t="s">
        <v>9363</v>
      </c>
      <c r="P1580" s="32" t="s">
        <v>2865</v>
      </c>
      <c r="Q1580" s="32" t="s">
        <v>358</v>
      </c>
      <c r="R1580" s="32" t="s">
        <v>6554</v>
      </c>
    </row>
    <row r="1581" spans="1:18" x14ac:dyDescent="0.3">
      <c r="A1581" s="234">
        <v>45617</v>
      </c>
      <c r="B1581" s="32" t="s">
        <v>9364</v>
      </c>
      <c r="C1581" s="32" t="s">
        <v>9365</v>
      </c>
      <c r="D1581" s="32" t="s">
        <v>9366</v>
      </c>
      <c r="E1581" s="44" t="s">
        <v>9367</v>
      </c>
      <c r="F1581" s="44" t="s">
        <v>9368</v>
      </c>
      <c r="G1581" s="44" t="s">
        <v>1826</v>
      </c>
      <c r="H1581" s="29">
        <v>8</v>
      </c>
      <c r="I1581" s="32" t="s">
        <v>617</v>
      </c>
      <c r="J1581" s="32" t="s">
        <v>3143</v>
      </c>
      <c r="K1581" s="32" t="s">
        <v>3143</v>
      </c>
      <c r="L1581" s="167">
        <f t="shared" si="56"/>
        <v>1696.4285714285713</v>
      </c>
      <c r="M1581" s="167">
        <f t="shared" si="57"/>
        <v>203.57142857142856</v>
      </c>
      <c r="N1581" s="118">
        <v>1900</v>
      </c>
      <c r="O1581" s="235" t="s">
        <v>9369</v>
      </c>
      <c r="P1581" s="32" t="s">
        <v>2832</v>
      </c>
      <c r="Q1581" s="32" t="s">
        <v>225</v>
      </c>
      <c r="R1581" s="32" t="s">
        <v>6655</v>
      </c>
    </row>
    <row r="1582" spans="1:18" x14ac:dyDescent="0.3">
      <c r="A1582" s="234">
        <v>45618</v>
      </c>
      <c r="B1582" s="32" t="s">
        <v>9370</v>
      </c>
      <c r="C1582" s="32" t="s">
        <v>9371</v>
      </c>
      <c r="D1582" s="32" t="s">
        <v>9372</v>
      </c>
      <c r="E1582" s="44" t="s">
        <v>9373</v>
      </c>
      <c r="F1582" s="44" t="s">
        <v>9374</v>
      </c>
      <c r="G1582" s="44" t="s">
        <v>1926</v>
      </c>
      <c r="H1582" s="29">
        <v>3</v>
      </c>
      <c r="I1582" s="32" t="s">
        <v>605</v>
      </c>
      <c r="J1582" s="32" t="s">
        <v>2787</v>
      </c>
      <c r="K1582" s="32" t="s">
        <v>2488</v>
      </c>
      <c r="L1582" s="167">
        <f t="shared" si="56"/>
        <v>624.99999999999989</v>
      </c>
      <c r="M1582" s="167">
        <f t="shared" si="57"/>
        <v>74.999999999999986</v>
      </c>
      <c r="N1582" s="118">
        <v>700</v>
      </c>
      <c r="O1582" s="235" t="s">
        <v>9375</v>
      </c>
      <c r="P1582" s="32" t="s">
        <v>2832</v>
      </c>
      <c r="Q1582" s="32" t="s">
        <v>340</v>
      </c>
      <c r="R1582" s="32" t="s">
        <v>6554</v>
      </c>
    </row>
    <row r="1583" spans="1:18" x14ac:dyDescent="0.3">
      <c r="A1583" s="234">
        <v>45618</v>
      </c>
      <c r="B1583" s="32" t="s">
        <v>9376</v>
      </c>
      <c r="C1583" s="32" t="s">
        <v>9377</v>
      </c>
      <c r="D1583" s="32" t="s">
        <v>9378</v>
      </c>
      <c r="E1583" s="304">
        <v>1802469732001</v>
      </c>
      <c r="F1583" s="44" t="s">
        <v>9379</v>
      </c>
      <c r="G1583" s="29">
        <v>6</v>
      </c>
      <c r="H1583" s="29">
        <v>3</v>
      </c>
      <c r="I1583" s="32" t="s">
        <v>605</v>
      </c>
      <c r="J1583" s="32" t="s">
        <v>3143</v>
      </c>
      <c r="K1583" s="32" t="s">
        <v>200</v>
      </c>
      <c r="L1583" s="167">
        <f t="shared" si="56"/>
        <v>1071.4285714285713</v>
      </c>
      <c r="M1583" s="167">
        <f t="shared" si="57"/>
        <v>128.57142857142856</v>
      </c>
      <c r="N1583" s="118">
        <v>1200</v>
      </c>
      <c r="O1583" s="235" t="s">
        <v>9380</v>
      </c>
      <c r="P1583" s="32" t="s">
        <v>335</v>
      </c>
      <c r="Q1583" s="32" t="s">
        <v>225</v>
      </c>
      <c r="R1583" s="32" t="s">
        <v>6554</v>
      </c>
    </row>
    <row r="1584" spans="1:18" x14ac:dyDescent="0.3">
      <c r="A1584" s="234">
        <v>45618</v>
      </c>
      <c r="B1584" s="32" t="s">
        <v>9381</v>
      </c>
      <c r="C1584" s="32" t="s">
        <v>9382</v>
      </c>
      <c r="D1584" s="32" t="s">
        <v>9383</v>
      </c>
      <c r="E1584" s="44" t="s">
        <v>9384</v>
      </c>
      <c r="F1584" s="44" t="s">
        <v>9385</v>
      </c>
      <c r="G1584" s="44" t="s">
        <v>1826</v>
      </c>
      <c r="H1584" s="29">
        <v>8</v>
      </c>
      <c r="I1584" s="32" t="s">
        <v>605</v>
      </c>
      <c r="J1584" s="32" t="s">
        <v>2787</v>
      </c>
      <c r="K1584" s="32" t="s">
        <v>1586</v>
      </c>
      <c r="L1584" s="167">
        <f t="shared" si="56"/>
        <v>1830.3571428571427</v>
      </c>
      <c r="M1584" s="167">
        <f t="shared" si="57"/>
        <v>219.64285714285711</v>
      </c>
      <c r="N1584" s="118">
        <v>2050</v>
      </c>
      <c r="O1584" s="235" t="s">
        <v>9386</v>
      </c>
      <c r="P1584" s="32" t="s">
        <v>3805</v>
      </c>
      <c r="Q1584" s="32" t="s">
        <v>782</v>
      </c>
      <c r="R1584" s="32" t="s">
        <v>7652</v>
      </c>
    </row>
    <row r="1585" spans="1:18" x14ac:dyDescent="0.3">
      <c r="A1585" s="234">
        <v>45619</v>
      </c>
      <c r="B1585" s="32" t="s">
        <v>9387</v>
      </c>
      <c r="C1585" s="32" t="s">
        <v>9388</v>
      </c>
      <c r="D1585" s="32" t="s">
        <v>9389</v>
      </c>
      <c r="E1585" s="44" t="s">
        <v>9390</v>
      </c>
      <c r="F1585" s="44" t="s">
        <v>9391</v>
      </c>
      <c r="G1585" s="44" t="s">
        <v>1962</v>
      </c>
      <c r="H1585" s="29">
        <v>10</v>
      </c>
      <c r="I1585" s="32" t="s">
        <v>605</v>
      </c>
      <c r="J1585" s="32"/>
      <c r="K1585" s="32"/>
      <c r="L1585" s="167">
        <f t="shared" si="56"/>
        <v>0</v>
      </c>
      <c r="M1585" s="167">
        <f t="shared" si="57"/>
        <v>0</v>
      </c>
      <c r="N1585" s="118">
        <v>0</v>
      </c>
      <c r="O1585" s="235" t="s">
        <v>9392</v>
      </c>
      <c r="P1585" s="32" t="s">
        <v>2865</v>
      </c>
      <c r="Q1585" s="32" t="s">
        <v>358</v>
      </c>
      <c r="R1585" s="32" t="s">
        <v>7982</v>
      </c>
    </row>
    <row r="1586" spans="1:18" x14ac:dyDescent="0.3">
      <c r="A1586" s="234">
        <v>45619</v>
      </c>
      <c r="B1586" s="32" t="s">
        <v>9393</v>
      </c>
      <c r="C1586" s="32" t="s">
        <v>9394</v>
      </c>
      <c r="D1586" s="32" t="s">
        <v>9395</v>
      </c>
      <c r="E1586" s="44" t="s">
        <v>9396</v>
      </c>
      <c r="F1586" s="44" t="s">
        <v>9397</v>
      </c>
      <c r="G1586" s="44" t="s">
        <v>1919</v>
      </c>
      <c r="H1586" s="29">
        <v>2</v>
      </c>
      <c r="I1586" s="32" t="s">
        <v>605</v>
      </c>
      <c r="J1586" s="32" t="s">
        <v>2787</v>
      </c>
      <c r="K1586" s="32" t="s">
        <v>1518</v>
      </c>
      <c r="L1586" s="167">
        <f t="shared" si="56"/>
        <v>624.99999999999989</v>
      </c>
      <c r="M1586" s="167">
        <f t="shared" si="57"/>
        <v>74.999999999999986</v>
      </c>
      <c r="N1586" s="118">
        <v>700</v>
      </c>
      <c r="O1586" s="235" t="s">
        <v>9398</v>
      </c>
      <c r="P1586" s="32" t="s">
        <v>6059</v>
      </c>
      <c r="Q1586" s="32" t="s">
        <v>3026</v>
      </c>
      <c r="R1586" s="32" t="s">
        <v>6554</v>
      </c>
    </row>
    <row r="1587" spans="1:18" x14ac:dyDescent="0.3">
      <c r="A1587" s="234">
        <v>45619</v>
      </c>
      <c r="B1587" s="32" t="s">
        <v>9399</v>
      </c>
      <c r="C1587" s="32" t="s">
        <v>9400</v>
      </c>
      <c r="D1587" s="32" t="s">
        <v>9401</v>
      </c>
      <c r="E1587" s="44" t="s">
        <v>9402</v>
      </c>
      <c r="F1587" s="44" t="s">
        <v>9403</v>
      </c>
      <c r="G1587" s="44" t="s">
        <v>1919</v>
      </c>
      <c r="H1587" s="29">
        <v>2</v>
      </c>
      <c r="I1587" s="32" t="s">
        <v>605</v>
      </c>
      <c r="J1587" s="32" t="s">
        <v>9404</v>
      </c>
      <c r="K1587" s="32" t="s">
        <v>9404</v>
      </c>
      <c r="L1587" s="167">
        <f t="shared" si="56"/>
        <v>357.14285714285711</v>
      </c>
      <c r="M1587" s="167">
        <f t="shared" si="57"/>
        <v>42.857142857142854</v>
      </c>
      <c r="N1587" s="118">
        <v>400</v>
      </c>
      <c r="O1587" s="235" t="s">
        <v>9405</v>
      </c>
      <c r="P1587" s="32" t="s">
        <v>6059</v>
      </c>
      <c r="Q1587" s="32" t="s">
        <v>340</v>
      </c>
      <c r="R1587" s="32"/>
    </row>
    <row r="1588" spans="1:18" x14ac:dyDescent="0.3">
      <c r="A1588" s="59">
        <v>45622</v>
      </c>
      <c r="B1588" s="32" t="s">
        <v>9406</v>
      </c>
      <c r="C1588" s="32" t="s">
        <v>9407</v>
      </c>
      <c r="D1588" s="32" t="s">
        <v>9408</v>
      </c>
      <c r="E1588" s="44" t="s">
        <v>9409</v>
      </c>
      <c r="F1588" s="305" t="s">
        <v>9410</v>
      </c>
      <c r="G1588" s="44" t="s">
        <v>1919</v>
      </c>
      <c r="H1588" s="29">
        <v>3</v>
      </c>
      <c r="I1588" s="32" t="s">
        <v>605</v>
      </c>
      <c r="J1588" s="32" t="s">
        <v>3143</v>
      </c>
      <c r="K1588" s="32" t="s">
        <v>332</v>
      </c>
      <c r="L1588" s="167">
        <f t="shared" si="56"/>
        <v>892.85714285714278</v>
      </c>
      <c r="M1588" s="167">
        <f t="shared" si="57"/>
        <v>107.14285714285712</v>
      </c>
      <c r="N1588" s="118">
        <v>1000</v>
      </c>
      <c r="O1588" s="235" t="s">
        <v>9411</v>
      </c>
      <c r="P1588" s="32" t="s">
        <v>2865</v>
      </c>
      <c r="Q1588" s="32" t="s">
        <v>3026</v>
      </c>
      <c r="R1588" s="32" t="s">
        <v>6554</v>
      </c>
    </row>
    <row r="1589" spans="1:18" x14ac:dyDescent="0.3">
      <c r="A1589" s="59">
        <v>45622</v>
      </c>
      <c r="B1589" s="32" t="s">
        <v>9412</v>
      </c>
      <c r="C1589" s="32" t="s">
        <v>9413</v>
      </c>
      <c r="D1589" s="32" t="s">
        <v>9414</v>
      </c>
      <c r="E1589" s="44" t="s">
        <v>9415</v>
      </c>
      <c r="F1589" s="44" t="s">
        <v>9416</v>
      </c>
      <c r="G1589" s="44" t="s">
        <v>1840</v>
      </c>
      <c r="H1589" s="29">
        <v>5</v>
      </c>
      <c r="I1589" s="32" t="s">
        <v>617</v>
      </c>
      <c r="J1589" s="32" t="s">
        <v>9417</v>
      </c>
      <c r="K1589" s="32" t="s">
        <v>1586</v>
      </c>
      <c r="L1589" s="167">
        <f t="shared" si="56"/>
        <v>1607.1428571428569</v>
      </c>
      <c r="M1589" s="167">
        <f t="shared" si="57"/>
        <v>192.85714285714283</v>
      </c>
      <c r="N1589" s="118">
        <v>1800</v>
      </c>
      <c r="O1589" s="235" t="s">
        <v>9418</v>
      </c>
      <c r="P1589" s="32" t="s">
        <v>2832</v>
      </c>
      <c r="Q1589" s="32" t="s">
        <v>225</v>
      </c>
      <c r="R1589" s="32" t="s">
        <v>6554</v>
      </c>
    </row>
    <row r="1590" spans="1:18" x14ac:dyDescent="0.3">
      <c r="A1590" s="59">
        <v>45622</v>
      </c>
      <c r="B1590" s="32" t="s">
        <v>9419</v>
      </c>
      <c r="C1590" s="32" t="s">
        <v>9420</v>
      </c>
      <c r="D1590" s="32" t="s">
        <v>9421</v>
      </c>
      <c r="E1590" s="44" t="s">
        <v>9422</v>
      </c>
      <c r="F1590" s="44" t="s">
        <v>9423</v>
      </c>
      <c r="G1590" s="44" t="s">
        <v>1919</v>
      </c>
      <c r="H1590" s="29">
        <v>3</v>
      </c>
      <c r="I1590" s="32" t="s">
        <v>605</v>
      </c>
      <c r="J1590" s="32" t="s">
        <v>2795</v>
      </c>
      <c r="K1590" s="32" t="s">
        <v>2795</v>
      </c>
      <c r="L1590" s="167">
        <f t="shared" si="56"/>
        <v>892.85714285714278</v>
      </c>
      <c r="M1590" s="167">
        <f t="shared" si="57"/>
        <v>107.14285714285712</v>
      </c>
      <c r="N1590" s="118">
        <v>1000</v>
      </c>
      <c r="O1590" s="235" t="s">
        <v>9424</v>
      </c>
      <c r="P1590" s="32" t="s">
        <v>3805</v>
      </c>
      <c r="Q1590" s="32" t="s">
        <v>340</v>
      </c>
      <c r="R1590" s="32" t="s">
        <v>7982</v>
      </c>
    </row>
    <row r="1591" spans="1:18" x14ac:dyDescent="0.3">
      <c r="A1591" s="59">
        <v>45622</v>
      </c>
      <c r="B1591" s="32" t="s">
        <v>9425</v>
      </c>
      <c r="C1591" s="32" t="s">
        <v>9426</v>
      </c>
      <c r="D1591" s="32" t="s">
        <v>9427</v>
      </c>
      <c r="E1591" s="44" t="s">
        <v>9428</v>
      </c>
      <c r="F1591" s="44" t="s">
        <v>9429</v>
      </c>
      <c r="G1591" s="44" t="s">
        <v>1833</v>
      </c>
      <c r="H1591" s="29">
        <v>4</v>
      </c>
      <c r="I1591" s="32" t="s">
        <v>605</v>
      </c>
      <c r="J1591" s="32" t="s">
        <v>2787</v>
      </c>
      <c r="K1591" s="32" t="s">
        <v>1518</v>
      </c>
      <c r="L1591" s="167">
        <f t="shared" si="56"/>
        <v>892.85714285714278</v>
      </c>
      <c r="M1591" s="167">
        <f t="shared" si="57"/>
        <v>107.14285714285712</v>
      </c>
      <c r="N1591" s="118">
        <v>1000</v>
      </c>
      <c r="O1591" s="235" t="s">
        <v>9430</v>
      </c>
      <c r="P1591" s="32" t="s">
        <v>1482</v>
      </c>
      <c r="Q1591" s="32" t="s">
        <v>782</v>
      </c>
      <c r="R1591" s="32" t="s">
        <v>6554</v>
      </c>
    </row>
    <row r="1592" spans="1:18" x14ac:dyDescent="0.3">
      <c r="A1592" s="59">
        <v>45623</v>
      </c>
      <c r="B1592" s="32" t="s">
        <v>9431</v>
      </c>
      <c r="C1592" s="32" t="s">
        <v>9432</v>
      </c>
      <c r="D1592" s="32" t="s">
        <v>9433</v>
      </c>
      <c r="E1592" s="44" t="s">
        <v>9434</v>
      </c>
      <c r="F1592" s="44" t="s">
        <v>9435</v>
      </c>
      <c r="G1592" s="44" t="s">
        <v>1833</v>
      </c>
      <c r="H1592" s="29">
        <v>7</v>
      </c>
      <c r="I1592" s="32" t="s">
        <v>605</v>
      </c>
      <c r="J1592" s="32" t="s">
        <v>9417</v>
      </c>
      <c r="K1592" s="32" t="s">
        <v>7731</v>
      </c>
      <c r="L1592" s="167">
        <f t="shared" si="56"/>
        <v>1785.7142857142856</v>
      </c>
      <c r="M1592" s="167">
        <f t="shared" si="57"/>
        <v>214.28571428571425</v>
      </c>
      <c r="N1592" s="118">
        <v>2000</v>
      </c>
      <c r="O1592" s="235" t="s">
        <v>9436</v>
      </c>
      <c r="P1592" s="32" t="s">
        <v>2832</v>
      </c>
      <c r="Q1592" s="32" t="s">
        <v>782</v>
      </c>
      <c r="R1592" s="32" t="s">
        <v>7397</v>
      </c>
    </row>
    <row r="1593" spans="1:18" x14ac:dyDescent="0.3">
      <c r="A1593" s="59">
        <v>45623</v>
      </c>
      <c r="B1593" s="32" t="s">
        <v>9437</v>
      </c>
      <c r="C1593" s="32" t="s">
        <v>9438</v>
      </c>
      <c r="D1593" s="32" t="s">
        <v>9439</v>
      </c>
      <c r="E1593" s="44" t="s">
        <v>9440</v>
      </c>
      <c r="F1593" s="44" t="s">
        <v>9441</v>
      </c>
      <c r="G1593" s="44" t="s">
        <v>1919</v>
      </c>
      <c r="H1593" s="47">
        <v>5</v>
      </c>
      <c r="I1593" s="303" t="s">
        <v>605</v>
      </c>
      <c r="J1593" s="287" t="s">
        <v>2795</v>
      </c>
      <c r="K1593" s="287" t="s">
        <v>2795</v>
      </c>
      <c r="L1593" s="167">
        <f t="shared" si="56"/>
        <v>1776.7857142857142</v>
      </c>
      <c r="M1593" s="167">
        <f t="shared" si="57"/>
        <v>213.21428571428569</v>
      </c>
      <c r="N1593" s="118">
        <v>1990</v>
      </c>
      <c r="O1593" s="235" t="s">
        <v>9442</v>
      </c>
      <c r="P1593" s="32" t="s">
        <v>2865</v>
      </c>
      <c r="Q1593" s="32" t="s">
        <v>65</v>
      </c>
      <c r="R1593" s="32"/>
    </row>
    <row r="1594" spans="1:18" x14ac:dyDescent="0.3">
      <c r="A1594" s="59">
        <v>45623</v>
      </c>
      <c r="B1594" s="32" t="s">
        <v>9443</v>
      </c>
      <c r="C1594" s="32" t="s">
        <v>9444</v>
      </c>
      <c r="D1594" s="32" t="s">
        <v>9445</v>
      </c>
      <c r="E1594" s="44" t="s">
        <v>9446</v>
      </c>
      <c r="F1594" s="44" t="s">
        <v>9447</v>
      </c>
      <c r="G1594" s="44" t="s">
        <v>1919</v>
      </c>
      <c r="H1594" s="29">
        <v>3</v>
      </c>
      <c r="I1594" s="32" t="s">
        <v>605</v>
      </c>
      <c r="J1594" s="287"/>
      <c r="K1594" s="287"/>
      <c r="L1594" s="167">
        <f t="shared" si="56"/>
        <v>0</v>
      </c>
      <c r="M1594" s="167">
        <f t="shared" si="57"/>
        <v>0</v>
      </c>
      <c r="N1594" s="118">
        <v>0</v>
      </c>
      <c r="O1594" s="235" t="s">
        <v>9448</v>
      </c>
      <c r="P1594" s="32" t="s">
        <v>6059</v>
      </c>
      <c r="Q1594" s="32" t="s">
        <v>3026</v>
      </c>
      <c r="R1594" s="32" t="s">
        <v>7982</v>
      </c>
    </row>
    <row r="1595" spans="1:18" x14ac:dyDescent="0.3">
      <c r="A1595" s="59">
        <v>45623</v>
      </c>
      <c r="B1595" s="32" t="s">
        <v>9449</v>
      </c>
      <c r="C1595" s="32" t="s">
        <v>9450</v>
      </c>
      <c r="D1595" s="32" t="s">
        <v>9451</v>
      </c>
      <c r="E1595" s="44" t="s">
        <v>9452</v>
      </c>
      <c r="F1595" s="44" t="s">
        <v>9453</v>
      </c>
      <c r="G1595" s="44" t="s">
        <v>1833</v>
      </c>
      <c r="H1595" s="29">
        <v>4</v>
      </c>
      <c r="I1595" s="32" t="s">
        <v>617</v>
      </c>
      <c r="J1595" s="287" t="s">
        <v>2787</v>
      </c>
      <c r="K1595" s="287" t="s">
        <v>1518</v>
      </c>
      <c r="L1595" s="167">
        <f t="shared" si="56"/>
        <v>1071.4285714285713</v>
      </c>
      <c r="M1595" s="167">
        <f t="shared" si="57"/>
        <v>128.57142857142856</v>
      </c>
      <c r="N1595" s="118">
        <v>1200</v>
      </c>
      <c r="O1595" s="235" t="s">
        <v>9454</v>
      </c>
      <c r="P1595" s="32" t="s">
        <v>2804</v>
      </c>
      <c r="Q1595" s="32" t="s">
        <v>340</v>
      </c>
      <c r="R1595" s="32" t="s">
        <v>6554</v>
      </c>
    </row>
    <row r="1596" spans="1:18" x14ac:dyDescent="0.3">
      <c r="A1596" s="59">
        <v>45624</v>
      </c>
      <c r="B1596" s="32" t="s">
        <v>9455</v>
      </c>
      <c r="C1596" s="25" t="s">
        <v>9456</v>
      </c>
      <c r="D1596" s="25" t="s">
        <v>9457</v>
      </c>
      <c r="E1596" s="135" t="s">
        <v>9458</v>
      </c>
      <c r="F1596" s="135" t="s">
        <v>9459</v>
      </c>
      <c r="G1596" s="26">
        <v>6</v>
      </c>
      <c r="H1596" s="26">
        <v>3</v>
      </c>
      <c r="I1596" s="25" t="s">
        <v>617</v>
      </c>
      <c r="J1596" s="25" t="s">
        <v>2787</v>
      </c>
      <c r="K1596" s="25" t="s">
        <v>2488</v>
      </c>
      <c r="L1596" s="306">
        <f t="shared" si="56"/>
        <v>937.49999999999989</v>
      </c>
      <c r="M1596" s="306">
        <f t="shared" si="57"/>
        <v>112.49999999999999</v>
      </c>
      <c r="N1596" s="306">
        <v>1050</v>
      </c>
      <c r="O1596" s="295" t="s">
        <v>9460</v>
      </c>
      <c r="P1596" s="25" t="s">
        <v>592</v>
      </c>
      <c r="Q1596" s="25" t="s">
        <v>225</v>
      </c>
      <c r="R1596" s="25" t="s">
        <v>6655</v>
      </c>
    </row>
    <row r="1597" spans="1:18" x14ac:dyDescent="0.3">
      <c r="A1597" s="59">
        <v>45624</v>
      </c>
      <c r="B1597" s="32" t="s">
        <v>9461</v>
      </c>
      <c r="C1597" s="32" t="s">
        <v>9462</v>
      </c>
      <c r="D1597" s="32" t="s">
        <v>9463</v>
      </c>
      <c r="E1597" s="44" t="s">
        <v>9464</v>
      </c>
      <c r="F1597" s="44" t="s">
        <v>9465</v>
      </c>
      <c r="G1597" s="44" t="s">
        <v>1840</v>
      </c>
      <c r="H1597" s="29">
        <v>6</v>
      </c>
      <c r="I1597" s="32" t="s">
        <v>605</v>
      </c>
      <c r="J1597" s="287" t="s">
        <v>3143</v>
      </c>
      <c r="K1597" s="287" t="s">
        <v>332</v>
      </c>
      <c r="L1597" s="167">
        <f>+N1597/1.12</f>
        <v>1776.7857142857142</v>
      </c>
      <c r="M1597" s="167">
        <f>+L1597*12%</f>
        <v>213.21428571428569</v>
      </c>
      <c r="N1597" s="118">
        <v>1990</v>
      </c>
      <c r="O1597" s="235" t="s">
        <v>9466</v>
      </c>
      <c r="P1597" s="32" t="s">
        <v>2804</v>
      </c>
      <c r="Q1597" s="32" t="s">
        <v>782</v>
      </c>
      <c r="R1597" s="32" t="s">
        <v>6554</v>
      </c>
    </row>
    <row r="1598" spans="1:18" x14ac:dyDescent="0.3">
      <c r="A1598" s="59">
        <v>45624</v>
      </c>
      <c r="B1598" s="32" t="s">
        <v>9467</v>
      </c>
      <c r="C1598" s="32" t="s">
        <v>9468</v>
      </c>
      <c r="D1598" s="32" t="s">
        <v>9469</v>
      </c>
      <c r="E1598" s="44" t="s">
        <v>9470</v>
      </c>
      <c r="F1598" s="44" t="s">
        <v>9471</v>
      </c>
      <c r="G1598" s="44" t="s">
        <v>2153</v>
      </c>
      <c r="H1598" s="29">
        <v>10</v>
      </c>
      <c r="I1598" s="32" t="s">
        <v>617</v>
      </c>
      <c r="J1598" s="287" t="s">
        <v>2787</v>
      </c>
      <c r="K1598" s="287" t="s">
        <v>2488</v>
      </c>
      <c r="L1598" s="167">
        <f>+N1598/1.12</f>
        <v>3562.4999999999995</v>
      </c>
      <c r="M1598" s="167">
        <f>+L1598*12%</f>
        <v>427.49999999999994</v>
      </c>
      <c r="N1598" s="118">
        <v>3990</v>
      </c>
      <c r="O1598" s="235" t="s">
        <v>9472</v>
      </c>
      <c r="P1598" s="32" t="s">
        <v>2865</v>
      </c>
      <c r="Q1598" s="32" t="s">
        <v>65</v>
      </c>
      <c r="R1598" s="32" t="s">
        <v>6655</v>
      </c>
    </row>
    <row r="1599" spans="1:18" x14ac:dyDescent="0.3">
      <c r="A1599" s="59">
        <v>45626</v>
      </c>
      <c r="B1599" s="32" t="s">
        <v>9473</v>
      </c>
      <c r="C1599" s="32" t="s">
        <v>189</v>
      </c>
      <c r="D1599" s="32" t="s">
        <v>9474</v>
      </c>
      <c r="E1599" s="44" t="s">
        <v>9475</v>
      </c>
      <c r="F1599" s="44" t="s">
        <v>9476</v>
      </c>
      <c r="G1599" s="44" t="s">
        <v>1833</v>
      </c>
      <c r="H1599" s="29">
        <v>4</v>
      </c>
      <c r="I1599" s="32" t="s">
        <v>605</v>
      </c>
      <c r="J1599" s="74" t="s">
        <v>2787</v>
      </c>
      <c r="K1599" s="74" t="s">
        <v>1586</v>
      </c>
      <c r="L1599" s="167">
        <f t="shared" si="56"/>
        <v>714.28571428571422</v>
      </c>
      <c r="M1599" s="167">
        <f t="shared" si="57"/>
        <v>85.714285714285708</v>
      </c>
      <c r="N1599" s="118">
        <v>800</v>
      </c>
      <c r="O1599" s="235" t="s">
        <v>9477</v>
      </c>
      <c r="P1599" s="32" t="s">
        <v>1482</v>
      </c>
      <c r="Q1599" s="32" t="s">
        <v>65</v>
      </c>
      <c r="R1599" s="32" t="s">
        <v>6554</v>
      </c>
    </row>
    <row r="1600" spans="1:18" x14ac:dyDescent="0.3">
      <c r="A1600" s="59">
        <v>45626</v>
      </c>
      <c r="B1600" s="32" t="s">
        <v>9478</v>
      </c>
      <c r="C1600" s="32" t="s">
        <v>437</v>
      </c>
      <c r="D1600" s="32" t="s">
        <v>9479</v>
      </c>
      <c r="E1600" s="44" t="s">
        <v>9480</v>
      </c>
      <c r="F1600" s="44" t="s">
        <v>9481</v>
      </c>
      <c r="G1600" s="44" t="s">
        <v>1962</v>
      </c>
      <c r="H1600" s="29">
        <v>10</v>
      </c>
      <c r="I1600" s="32" t="s">
        <v>3003</v>
      </c>
      <c r="J1600" s="32" t="s">
        <v>9482</v>
      </c>
      <c r="K1600" s="32" t="s">
        <v>9482</v>
      </c>
      <c r="L1600" s="167">
        <f t="shared" si="56"/>
        <v>5348.2142857142853</v>
      </c>
      <c r="M1600" s="167">
        <f t="shared" si="57"/>
        <v>641.78571428571422</v>
      </c>
      <c r="N1600" s="118">
        <v>5990</v>
      </c>
      <c r="O1600" s="302" t="s">
        <v>9483</v>
      </c>
      <c r="P1600" s="32" t="s">
        <v>2865</v>
      </c>
      <c r="Q1600" s="32" t="s">
        <v>3026</v>
      </c>
      <c r="R1600" s="32">
        <v>555</v>
      </c>
    </row>
    <row r="1601" spans="1:18" x14ac:dyDescent="0.3">
      <c r="A1601" s="59">
        <v>45626</v>
      </c>
      <c r="B1601" s="32" t="s">
        <v>9484</v>
      </c>
      <c r="C1601" s="32" t="s">
        <v>9485</v>
      </c>
      <c r="D1601" s="32" t="s">
        <v>9486</v>
      </c>
      <c r="E1601" s="44" t="s">
        <v>9487</v>
      </c>
      <c r="F1601" s="44" t="s">
        <v>9488</v>
      </c>
      <c r="G1601" s="44" t="s">
        <v>1962</v>
      </c>
      <c r="H1601" s="29">
        <v>12</v>
      </c>
      <c r="I1601" s="32" t="s">
        <v>3003</v>
      </c>
      <c r="J1601" s="74" t="s">
        <v>3143</v>
      </c>
      <c r="K1601" s="74" t="s">
        <v>200</v>
      </c>
      <c r="L1601" s="167">
        <f t="shared" si="56"/>
        <v>0</v>
      </c>
      <c r="M1601" s="167">
        <f t="shared" si="57"/>
        <v>0</v>
      </c>
      <c r="N1601" s="118">
        <v>0</v>
      </c>
      <c r="O1601" s="235" t="s">
        <v>9489</v>
      </c>
      <c r="P1601" s="32" t="s">
        <v>371</v>
      </c>
      <c r="Q1601" s="32" t="s">
        <v>2832</v>
      </c>
      <c r="R1601" s="32" t="s">
        <v>6655</v>
      </c>
    </row>
    <row r="1602" spans="1:18" x14ac:dyDescent="0.3">
      <c r="A1602" s="20">
        <v>45629</v>
      </c>
      <c r="B1602" s="32" t="s">
        <v>9490</v>
      </c>
      <c r="C1602" s="43" t="s">
        <v>9491</v>
      </c>
      <c r="D1602" s="43" t="s">
        <v>9492</v>
      </c>
      <c r="E1602" s="51" t="s">
        <v>9493</v>
      </c>
      <c r="F1602" s="51" t="s">
        <v>9494</v>
      </c>
      <c r="G1602" s="51" t="s">
        <v>1833</v>
      </c>
      <c r="H1602" s="52">
        <v>3</v>
      </c>
      <c r="I1602" s="43" t="s">
        <v>605</v>
      </c>
      <c r="J1602" s="267" t="s">
        <v>9495</v>
      </c>
      <c r="K1602" s="268"/>
      <c r="L1602" s="167">
        <f t="shared" si="56"/>
        <v>982.142857142857</v>
      </c>
      <c r="M1602" s="167">
        <f t="shared" si="57"/>
        <v>117.85714285714283</v>
      </c>
      <c r="N1602" s="118">
        <v>1100</v>
      </c>
      <c r="O1602" s="53" t="s">
        <v>9496</v>
      </c>
      <c r="P1602" s="43" t="s">
        <v>2804</v>
      </c>
      <c r="Q1602" s="43" t="s">
        <v>3026</v>
      </c>
      <c r="R1602" s="52"/>
    </row>
    <row r="1603" spans="1:18" x14ac:dyDescent="0.3">
      <c r="A1603" s="20">
        <v>45629</v>
      </c>
      <c r="B1603" s="32" t="s">
        <v>9497</v>
      </c>
      <c r="C1603" s="32" t="s">
        <v>9498</v>
      </c>
      <c r="D1603" s="32" t="s">
        <v>9499</v>
      </c>
      <c r="E1603" s="44" t="s">
        <v>9500</v>
      </c>
      <c r="F1603" s="44" t="s">
        <v>9501</v>
      </c>
      <c r="G1603" s="44" t="s">
        <v>1833</v>
      </c>
      <c r="H1603" s="29">
        <v>3</v>
      </c>
      <c r="I1603" s="32" t="s">
        <v>617</v>
      </c>
      <c r="J1603" s="267" t="s">
        <v>9495</v>
      </c>
      <c r="K1603" s="268"/>
      <c r="L1603" s="167">
        <f t="shared" si="56"/>
        <v>937.49999999999989</v>
      </c>
      <c r="M1603" s="167">
        <f t="shared" si="57"/>
        <v>112.49999999999999</v>
      </c>
      <c r="N1603" s="118">
        <v>1050</v>
      </c>
      <c r="O1603" s="235" t="s">
        <v>9502</v>
      </c>
      <c r="P1603" s="32" t="s">
        <v>371</v>
      </c>
      <c r="Q1603" s="32" t="s">
        <v>225</v>
      </c>
      <c r="R1603" s="32"/>
    </row>
    <row r="1604" spans="1:18" x14ac:dyDescent="0.3">
      <c r="A1604" s="59">
        <v>45630</v>
      </c>
      <c r="B1604" s="32" t="s">
        <v>9503</v>
      </c>
      <c r="C1604" s="32" t="s">
        <v>9504</v>
      </c>
      <c r="D1604" s="32" t="s">
        <v>9505</v>
      </c>
      <c r="E1604" s="44" t="s">
        <v>9506</v>
      </c>
      <c r="F1604" s="44" t="s">
        <v>9507</v>
      </c>
      <c r="G1604" s="44" t="s">
        <v>1995</v>
      </c>
      <c r="H1604" s="29">
        <v>6</v>
      </c>
      <c r="I1604" s="32" t="s">
        <v>605</v>
      </c>
      <c r="J1604" s="32" t="s">
        <v>8724</v>
      </c>
      <c r="K1604" s="32" t="s">
        <v>199</v>
      </c>
      <c r="L1604" s="167">
        <f t="shared" si="56"/>
        <v>1776.7857142857142</v>
      </c>
      <c r="M1604" s="167">
        <f t="shared" si="57"/>
        <v>213.21428571428569</v>
      </c>
      <c r="N1604" s="118">
        <v>1990</v>
      </c>
      <c r="O1604" s="235" t="s">
        <v>9508</v>
      </c>
      <c r="P1604" s="32" t="s">
        <v>2804</v>
      </c>
      <c r="Q1604" s="32" t="s">
        <v>782</v>
      </c>
      <c r="R1604" s="32"/>
    </row>
    <row r="1605" spans="1:18" x14ac:dyDescent="0.3">
      <c r="A1605" s="59">
        <v>45630</v>
      </c>
      <c r="B1605" s="32" t="s">
        <v>9509</v>
      </c>
      <c r="C1605" s="32" t="s">
        <v>9510</v>
      </c>
      <c r="D1605" s="32" t="s">
        <v>9511</v>
      </c>
      <c r="E1605" s="44" t="s">
        <v>9512</v>
      </c>
      <c r="F1605" s="44" t="s">
        <v>9513</v>
      </c>
      <c r="G1605" s="44" t="s">
        <v>1926</v>
      </c>
      <c r="H1605" s="29">
        <v>4</v>
      </c>
      <c r="I1605" s="32" t="s">
        <v>605</v>
      </c>
      <c r="J1605" s="250" t="s">
        <v>2795</v>
      </c>
      <c r="K1605" s="251"/>
      <c r="L1605" s="167">
        <f t="shared" si="56"/>
        <v>892.85714285714278</v>
      </c>
      <c r="M1605" s="167">
        <f t="shared" si="57"/>
        <v>107.14285714285712</v>
      </c>
      <c r="N1605" s="118">
        <v>1000</v>
      </c>
      <c r="O1605" s="235" t="s">
        <v>9514</v>
      </c>
      <c r="P1605" s="32" t="s">
        <v>9515</v>
      </c>
      <c r="Q1605" s="32" t="s">
        <v>9516</v>
      </c>
      <c r="R1605" s="32"/>
    </row>
    <row r="1606" spans="1:18" x14ac:dyDescent="0.3">
      <c r="A1606" s="59">
        <v>45630</v>
      </c>
      <c r="B1606" s="32" t="s">
        <v>9517</v>
      </c>
      <c r="C1606" s="25" t="s">
        <v>9518</v>
      </c>
      <c r="D1606" s="25" t="s">
        <v>9519</v>
      </c>
      <c r="E1606" s="44" t="s">
        <v>9520</v>
      </c>
      <c r="F1606" s="44" t="s">
        <v>9521</v>
      </c>
      <c r="G1606" s="44" t="s">
        <v>1833</v>
      </c>
      <c r="H1606" s="29">
        <v>3</v>
      </c>
      <c r="I1606" s="25" t="s">
        <v>605</v>
      </c>
      <c r="J1606" s="252" t="s">
        <v>9522</v>
      </c>
      <c r="K1606" s="253"/>
      <c r="L1606" s="167">
        <f t="shared" si="56"/>
        <v>937.49999999999989</v>
      </c>
      <c r="M1606" s="167">
        <f t="shared" si="57"/>
        <v>112.49999999999999</v>
      </c>
      <c r="N1606" s="118">
        <v>1050</v>
      </c>
      <c r="O1606" s="27" t="s">
        <v>9523</v>
      </c>
      <c r="P1606" s="25" t="s">
        <v>340</v>
      </c>
      <c r="Q1606" s="25" t="s">
        <v>225</v>
      </c>
      <c r="R1606" s="29"/>
    </row>
    <row r="1607" spans="1:18" x14ac:dyDescent="0.3">
      <c r="A1607" s="59">
        <v>45631</v>
      </c>
      <c r="B1607" s="32" t="s">
        <v>9524</v>
      </c>
      <c r="C1607" s="25" t="s">
        <v>9525</v>
      </c>
      <c r="D1607" s="25" t="s">
        <v>9526</v>
      </c>
      <c r="E1607" s="44" t="s">
        <v>9527</v>
      </c>
      <c r="F1607" s="44" t="s">
        <v>9528</v>
      </c>
      <c r="G1607" s="44" t="s">
        <v>1833</v>
      </c>
      <c r="H1607" s="29">
        <v>3</v>
      </c>
      <c r="I1607" s="25" t="s">
        <v>605</v>
      </c>
      <c r="J1607" s="252" t="s">
        <v>2824</v>
      </c>
      <c r="K1607" s="253"/>
      <c r="L1607" s="167">
        <f t="shared" si="56"/>
        <v>267.85714285714283</v>
      </c>
      <c r="M1607" s="167">
        <f t="shared" si="57"/>
        <v>32.142857142857139</v>
      </c>
      <c r="N1607" s="118">
        <v>300</v>
      </c>
      <c r="O1607" s="27" t="s">
        <v>9529</v>
      </c>
      <c r="P1607" s="25" t="s">
        <v>2832</v>
      </c>
      <c r="Q1607" s="25" t="s">
        <v>340</v>
      </c>
      <c r="R1607" s="29"/>
    </row>
    <row r="1608" spans="1:18" x14ac:dyDescent="0.3">
      <c r="A1608" s="59">
        <v>45631</v>
      </c>
      <c r="B1608" s="32" t="s">
        <v>9530</v>
      </c>
      <c r="C1608" s="25" t="s">
        <v>9531</v>
      </c>
      <c r="D1608" s="25" t="s">
        <v>9532</v>
      </c>
      <c r="E1608" s="44" t="s">
        <v>9533</v>
      </c>
      <c r="F1608" s="44" t="s">
        <v>9534</v>
      </c>
      <c r="G1608" s="44" t="s">
        <v>1826</v>
      </c>
      <c r="H1608" s="29">
        <v>7</v>
      </c>
      <c r="I1608" s="25" t="s">
        <v>617</v>
      </c>
      <c r="J1608" s="252" t="s">
        <v>8724</v>
      </c>
      <c r="K1608" s="253"/>
      <c r="L1608" s="167">
        <f t="shared" si="56"/>
        <v>2758.9285714285711</v>
      </c>
      <c r="M1608" s="167">
        <f t="shared" si="57"/>
        <v>331.0714285714285</v>
      </c>
      <c r="N1608" s="118">
        <v>3090</v>
      </c>
      <c r="O1608" s="27" t="s">
        <v>9535</v>
      </c>
      <c r="P1608" s="25" t="s">
        <v>2804</v>
      </c>
      <c r="Q1608" s="25" t="s">
        <v>225</v>
      </c>
      <c r="R1608" s="29"/>
    </row>
    <row r="1609" spans="1:18" x14ac:dyDescent="0.3">
      <c r="A1609" s="59">
        <v>45631</v>
      </c>
      <c r="B1609" s="32" t="s">
        <v>9536</v>
      </c>
      <c r="C1609" s="25" t="s">
        <v>9537</v>
      </c>
      <c r="D1609" s="25" t="s">
        <v>9538</v>
      </c>
      <c r="E1609" s="44" t="s">
        <v>9539</v>
      </c>
      <c r="F1609" s="44" t="s">
        <v>9540</v>
      </c>
      <c r="G1609" s="44" t="s">
        <v>1919</v>
      </c>
      <c r="H1609" s="29">
        <v>2</v>
      </c>
      <c r="I1609" s="25"/>
      <c r="J1609" s="25"/>
      <c r="K1609" s="25"/>
      <c r="L1609" s="167">
        <f t="shared" si="56"/>
        <v>0</v>
      </c>
      <c r="M1609" s="167">
        <f t="shared" si="57"/>
        <v>0</v>
      </c>
      <c r="N1609" s="118">
        <v>0</v>
      </c>
      <c r="O1609" s="27" t="s">
        <v>9541</v>
      </c>
      <c r="P1609" s="25" t="s">
        <v>3026</v>
      </c>
      <c r="Q1609" s="25" t="s">
        <v>65</v>
      </c>
      <c r="R1609" s="29"/>
    </row>
    <row r="1610" spans="1:18" x14ac:dyDescent="0.3">
      <c r="A1610" s="59">
        <v>45631</v>
      </c>
      <c r="B1610" s="32" t="s">
        <v>9542</v>
      </c>
      <c r="C1610" s="25" t="s">
        <v>9543</v>
      </c>
      <c r="D1610" s="25" t="s">
        <v>9544</v>
      </c>
      <c r="E1610" s="44" t="s">
        <v>9545</v>
      </c>
      <c r="F1610" s="44" t="s">
        <v>9546</v>
      </c>
      <c r="G1610" s="44" t="s">
        <v>1833</v>
      </c>
      <c r="H1610" s="29">
        <v>5</v>
      </c>
      <c r="I1610" s="25" t="s">
        <v>605</v>
      </c>
      <c r="J1610" s="25" t="s">
        <v>2787</v>
      </c>
      <c r="K1610" s="25" t="s">
        <v>2488</v>
      </c>
      <c r="L1610" s="167">
        <f t="shared" si="56"/>
        <v>937.49999999999989</v>
      </c>
      <c r="M1610" s="167">
        <f t="shared" si="57"/>
        <v>112.49999999999999</v>
      </c>
      <c r="N1610" s="118">
        <v>1050</v>
      </c>
      <c r="O1610" s="27" t="s">
        <v>9547</v>
      </c>
      <c r="P1610" s="25" t="s">
        <v>371</v>
      </c>
      <c r="Q1610" s="25" t="s">
        <v>782</v>
      </c>
      <c r="R1610" s="29"/>
    </row>
    <row r="1611" spans="1:18" x14ac:dyDescent="0.3">
      <c r="A1611" s="59">
        <v>45632</v>
      </c>
      <c r="B1611" s="32" t="s">
        <v>9548</v>
      </c>
      <c r="C1611" s="25" t="s">
        <v>9549</v>
      </c>
      <c r="D1611" s="25" t="s">
        <v>9550</v>
      </c>
      <c r="E1611" s="44" t="s">
        <v>9551</v>
      </c>
      <c r="F1611" s="44" t="s">
        <v>9552</v>
      </c>
      <c r="G1611" s="44" t="s">
        <v>1840</v>
      </c>
      <c r="H1611" s="29">
        <v>6</v>
      </c>
      <c r="I1611" s="25" t="s">
        <v>605</v>
      </c>
      <c r="J1611" s="25" t="s">
        <v>2787</v>
      </c>
      <c r="K1611" s="25" t="s">
        <v>1586</v>
      </c>
      <c r="L1611" s="167">
        <f t="shared" si="56"/>
        <v>1776.7857142857142</v>
      </c>
      <c r="M1611" s="167">
        <f t="shared" si="57"/>
        <v>213.21428571428569</v>
      </c>
      <c r="N1611" s="118">
        <v>1990</v>
      </c>
      <c r="O1611" s="27" t="s">
        <v>9553</v>
      </c>
      <c r="P1611" s="25" t="s">
        <v>2832</v>
      </c>
      <c r="Q1611" s="25" t="s">
        <v>3026</v>
      </c>
      <c r="R1611" s="29"/>
    </row>
    <row r="1612" spans="1:18" x14ac:dyDescent="0.3">
      <c r="A1612" s="59">
        <v>45632</v>
      </c>
      <c r="B1612" s="32" t="s">
        <v>9554</v>
      </c>
      <c r="C1612" s="32" t="s">
        <v>9555</v>
      </c>
      <c r="D1612" s="32" t="s">
        <v>9556</v>
      </c>
      <c r="E1612" s="44" t="s">
        <v>9557</v>
      </c>
      <c r="F1612" s="44" t="s">
        <v>9558</v>
      </c>
      <c r="G1612" s="44" t="s">
        <v>1833</v>
      </c>
      <c r="H1612" s="29">
        <v>4</v>
      </c>
      <c r="I1612" s="32" t="s">
        <v>605</v>
      </c>
      <c r="J1612" s="250" t="s">
        <v>8909</v>
      </c>
      <c r="K1612" s="251"/>
      <c r="L1612" s="167">
        <f t="shared" si="56"/>
        <v>714.28571428571422</v>
      </c>
      <c r="M1612" s="167">
        <f t="shared" si="57"/>
        <v>85.714285714285708</v>
      </c>
      <c r="N1612" s="118">
        <v>800</v>
      </c>
      <c r="O1612" s="235" t="s">
        <v>9559</v>
      </c>
      <c r="P1612" s="32" t="s">
        <v>6428</v>
      </c>
      <c r="Q1612" s="32" t="s">
        <v>782</v>
      </c>
      <c r="R1612" s="32"/>
    </row>
    <row r="1613" spans="1:18" x14ac:dyDescent="0.3">
      <c r="A1613" s="59">
        <v>45632</v>
      </c>
      <c r="B1613" s="32" t="s">
        <v>9560</v>
      </c>
      <c r="C1613" s="32" t="s">
        <v>9561</v>
      </c>
      <c r="D1613" s="32" t="s">
        <v>9562</v>
      </c>
      <c r="E1613" s="44" t="s">
        <v>9563</v>
      </c>
      <c r="F1613" s="44" t="s">
        <v>9564</v>
      </c>
      <c r="G1613" s="44" t="s">
        <v>1919</v>
      </c>
      <c r="H1613" s="29">
        <v>4</v>
      </c>
      <c r="I1613" s="32" t="s">
        <v>605</v>
      </c>
      <c r="J1613" s="32" t="s">
        <v>9565</v>
      </c>
      <c r="K1613" s="32"/>
      <c r="L1613" s="167">
        <f t="shared" si="56"/>
        <v>1428.5714285714284</v>
      </c>
      <c r="M1613" s="167">
        <f t="shared" si="57"/>
        <v>171.42857142857142</v>
      </c>
      <c r="N1613" s="118">
        <v>1600</v>
      </c>
      <c r="O1613" s="235" t="s">
        <v>9566</v>
      </c>
      <c r="P1613" s="32" t="s">
        <v>1482</v>
      </c>
      <c r="Q1613" s="32" t="s">
        <v>65</v>
      </c>
      <c r="R1613" s="32"/>
    </row>
    <row r="1614" spans="1:18" x14ac:dyDescent="0.3">
      <c r="A1614" s="59">
        <v>45632</v>
      </c>
      <c r="B1614" s="32" t="s">
        <v>9567</v>
      </c>
      <c r="C1614" s="32" t="s">
        <v>9568</v>
      </c>
      <c r="D1614" s="32" t="s">
        <v>9569</v>
      </c>
      <c r="E1614" s="44" t="s">
        <v>9570</v>
      </c>
      <c r="F1614" s="44" t="s">
        <v>9571</v>
      </c>
      <c r="G1614" s="44" t="s">
        <v>1840</v>
      </c>
      <c r="H1614" s="29">
        <v>3</v>
      </c>
      <c r="I1614" s="32" t="s">
        <v>605</v>
      </c>
      <c r="J1614" s="32" t="s">
        <v>9572</v>
      </c>
      <c r="K1614" s="32"/>
      <c r="L1614" s="167">
        <f t="shared" ref="L1614:L1642" si="58">+N1614/1.12</f>
        <v>1071.4285714285713</v>
      </c>
      <c r="M1614" s="167">
        <f t="shared" ref="M1614:M1642" si="59">+L1614*12%</f>
        <v>128.57142857142856</v>
      </c>
      <c r="N1614" s="118">
        <v>1200</v>
      </c>
      <c r="O1614" s="235" t="s">
        <v>9573</v>
      </c>
      <c r="P1614" s="32" t="s">
        <v>9515</v>
      </c>
      <c r="Q1614" s="32" t="s">
        <v>65</v>
      </c>
      <c r="R1614" s="32"/>
    </row>
    <row r="1615" spans="1:18" x14ac:dyDescent="0.3">
      <c r="A1615" s="59">
        <v>45633</v>
      </c>
      <c r="B1615" s="32" t="s">
        <v>9574</v>
      </c>
      <c r="C1615" s="32" t="s">
        <v>9575</v>
      </c>
      <c r="D1615" s="32" t="s">
        <v>9576</v>
      </c>
      <c r="E1615" s="44" t="s">
        <v>9577</v>
      </c>
      <c r="F1615" s="44" t="s">
        <v>9578</v>
      </c>
      <c r="G1615" s="44" t="s">
        <v>1833</v>
      </c>
      <c r="H1615" s="29">
        <v>3</v>
      </c>
      <c r="I1615" s="32" t="s">
        <v>617</v>
      </c>
      <c r="J1615" s="32" t="s">
        <v>2787</v>
      </c>
      <c r="K1615" s="32" t="s">
        <v>1975</v>
      </c>
      <c r="L1615" s="167">
        <f t="shared" si="58"/>
        <v>937.49999999999989</v>
      </c>
      <c r="M1615" s="167">
        <f t="shared" si="59"/>
        <v>112.49999999999999</v>
      </c>
      <c r="N1615" s="118">
        <v>1050</v>
      </c>
      <c r="O1615" s="235" t="s">
        <v>9579</v>
      </c>
      <c r="P1615" s="32" t="s">
        <v>6428</v>
      </c>
      <c r="Q1615" s="32" t="s">
        <v>225</v>
      </c>
      <c r="R1615" s="32"/>
    </row>
    <row r="1616" spans="1:18" x14ac:dyDescent="0.3">
      <c r="A1616" s="59">
        <v>45633</v>
      </c>
      <c r="B1616" s="32" t="s">
        <v>9580</v>
      </c>
      <c r="C1616" s="32" t="s">
        <v>9581</v>
      </c>
      <c r="D1616" s="32" t="s">
        <v>9582</v>
      </c>
      <c r="E1616" s="44" t="s">
        <v>9583</v>
      </c>
      <c r="F1616" s="44" t="s">
        <v>9584</v>
      </c>
      <c r="G1616" s="44" t="s">
        <v>1833</v>
      </c>
      <c r="H1616" s="29">
        <v>3</v>
      </c>
      <c r="I1616" s="32" t="s">
        <v>605</v>
      </c>
      <c r="J1616" s="32" t="s">
        <v>8909</v>
      </c>
      <c r="K1616" s="32"/>
      <c r="L1616" s="167">
        <f t="shared" si="58"/>
        <v>892.85714285714278</v>
      </c>
      <c r="M1616" s="167">
        <f t="shared" si="59"/>
        <v>107.14285714285712</v>
      </c>
      <c r="N1616" s="118">
        <v>1000</v>
      </c>
      <c r="O1616" s="235" t="s">
        <v>9585</v>
      </c>
      <c r="P1616" s="32" t="s">
        <v>2832</v>
      </c>
      <c r="Q1616" s="32" t="s">
        <v>340</v>
      </c>
      <c r="R1616" s="32"/>
    </row>
    <row r="1617" spans="1:18" x14ac:dyDescent="0.3">
      <c r="A1617" s="234">
        <v>45636</v>
      </c>
      <c r="B1617" s="32" t="s">
        <v>9586</v>
      </c>
      <c r="C1617" s="32" t="s">
        <v>7783</v>
      </c>
      <c r="D1617" s="32" t="s">
        <v>9587</v>
      </c>
      <c r="E1617" s="44" t="s">
        <v>9588</v>
      </c>
      <c r="F1617" s="44" t="s">
        <v>9589</v>
      </c>
      <c r="G1617" s="44" t="s">
        <v>1962</v>
      </c>
      <c r="H1617" s="29">
        <v>8</v>
      </c>
      <c r="I1617" s="32" t="s">
        <v>605</v>
      </c>
      <c r="J1617" s="32" t="s">
        <v>2787</v>
      </c>
      <c r="K1617" s="32" t="s">
        <v>1518</v>
      </c>
      <c r="L1617" s="167">
        <f t="shared" si="58"/>
        <v>1785.7142857142856</v>
      </c>
      <c r="M1617" s="167">
        <f t="shared" si="59"/>
        <v>214.28571428571425</v>
      </c>
      <c r="N1617" s="118">
        <v>2000</v>
      </c>
      <c r="O1617" s="235" t="s">
        <v>9590</v>
      </c>
      <c r="P1617" s="32" t="s">
        <v>2804</v>
      </c>
      <c r="Q1617" s="32" t="s">
        <v>65</v>
      </c>
      <c r="R1617" s="32"/>
    </row>
    <row r="1618" spans="1:18" x14ac:dyDescent="0.3">
      <c r="A1618" s="234">
        <v>45636</v>
      </c>
      <c r="B1618" s="32" t="s">
        <v>9591</v>
      </c>
      <c r="C1618" s="32" t="s">
        <v>9592</v>
      </c>
      <c r="D1618" s="32" t="s">
        <v>9593</v>
      </c>
      <c r="E1618" s="44" t="s">
        <v>9594</v>
      </c>
      <c r="F1618" s="44" t="s">
        <v>9595</v>
      </c>
      <c r="G1618" s="44" t="s">
        <v>1919</v>
      </c>
      <c r="H1618" s="29">
        <v>3</v>
      </c>
      <c r="I1618" s="32" t="s">
        <v>617</v>
      </c>
      <c r="J1618" s="32" t="s">
        <v>8909</v>
      </c>
      <c r="K1618" s="32"/>
      <c r="L1618" s="167">
        <f t="shared" si="58"/>
        <v>937.49999999999989</v>
      </c>
      <c r="M1618" s="167">
        <f t="shared" si="59"/>
        <v>112.49999999999999</v>
      </c>
      <c r="N1618" s="118">
        <v>1050</v>
      </c>
      <c r="O1618" s="235" t="s">
        <v>9596</v>
      </c>
      <c r="P1618" s="32" t="s">
        <v>2865</v>
      </c>
      <c r="Q1618" s="32" t="s">
        <v>65</v>
      </c>
      <c r="R1618" s="32"/>
    </row>
    <row r="1619" spans="1:18" x14ac:dyDescent="0.3">
      <c r="A1619" s="234">
        <v>45637</v>
      </c>
      <c r="B1619" s="32" t="s">
        <v>9597</v>
      </c>
      <c r="C1619" s="32" t="s">
        <v>9598</v>
      </c>
      <c r="D1619" s="32" t="s">
        <v>9599</v>
      </c>
      <c r="E1619" s="44" t="s">
        <v>9600</v>
      </c>
      <c r="F1619" s="44" t="s">
        <v>9601</v>
      </c>
      <c r="G1619" s="44" t="s">
        <v>1833</v>
      </c>
      <c r="H1619" s="29">
        <v>6</v>
      </c>
      <c r="I1619" s="32" t="s">
        <v>617</v>
      </c>
      <c r="J1619" s="32" t="s">
        <v>8909</v>
      </c>
      <c r="K1619" s="32"/>
      <c r="L1619" s="167">
        <f t="shared" si="58"/>
        <v>937.49999999999989</v>
      </c>
      <c r="M1619" s="167">
        <f t="shared" si="59"/>
        <v>112.49999999999999</v>
      </c>
      <c r="N1619" s="118">
        <v>1050</v>
      </c>
      <c r="O1619" s="235" t="s">
        <v>9602</v>
      </c>
      <c r="P1619" s="32" t="s">
        <v>2832</v>
      </c>
      <c r="Q1619" s="32" t="s">
        <v>2832</v>
      </c>
      <c r="R1619" s="32"/>
    </row>
    <row r="1620" spans="1:18" x14ac:dyDescent="0.3">
      <c r="A1620" s="234">
        <v>45637</v>
      </c>
      <c r="B1620" s="32" t="s">
        <v>9603</v>
      </c>
      <c r="C1620" s="32" t="s">
        <v>9604</v>
      </c>
      <c r="D1620" s="32" t="s">
        <v>9605</v>
      </c>
      <c r="E1620" s="44" t="s">
        <v>9606</v>
      </c>
      <c r="F1620" s="44" t="s">
        <v>9607</v>
      </c>
      <c r="G1620" s="44" t="s">
        <v>1840</v>
      </c>
      <c r="H1620" s="29">
        <v>5</v>
      </c>
      <c r="I1620" s="32" t="s">
        <v>3003</v>
      </c>
      <c r="J1620" s="32" t="s">
        <v>8909</v>
      </c>
      <c r="K1620" s="32"/>
      <c r="L1620" s="167">
        <f t="shared" si="58"/>
        <v>1607.1428571428569</v>
      </c>
      <c r="M1620" s="167">
        <f t="shared" si="59"/>
        <v>192.85714285714283</v>
      </c>
      <c r="N1620" s="118">
        <v>1800</v>
      </c>
      <c r="O1620" s="302" t="s">
        <v>9608</v>
      </c>
      <c r="P1620" s="32" t="s">
        <v>6428</v>
      </c>
      <c r="Q1620" s="32" t="s">
        <v>3026</v>
      </c>
      <c r="R1620" s="32"/>
    </row>
    <row r="1621" spans="1:18" x14ac:dyDescent="0.3">
      <c r="A1621" s="234">
        <v>45637</v>
      </c>
      <c r="B1621" s="32" t="s">
        <v>9609</v>
      </c>
      <c r="C1621" s="32" t="s">
        <v>5812</v>
      </c>
      <c r="D1621" s="32" t="s">
        <v>9610</v>
      </c>
      <c r="E1621" s="44" t="s">
        <v>9611</v>
      </c>
      <c r="F1621" s="44" t="s">
        <v>9612</v>
      </c>
      <c r="G1621" s="44" t="s">
        <v>1919</v>
      </c>
      <c r="H1621" s="29">
        <v>5</v>
      </c>
      <c r="I1621" s="32" t="s">
        <v>605</v>
      </c>
      <c r="J1621" s="32" t="s">
        <v>8909</v>
      </c>
      <c r="K1621" s="32"/>
      <c r="L1621" s="167">
        <f t="shared" si="58"/>
        <v>892.85714285714278</v>
      </c>
      <c r="M1621" s="167">
        <f t="shared" si="59"/>
        <v>107.14285714285712</v>
      </c>
      <c r="N1621" s="118">
        <v>1000</v>
      </c>
      <c r="O1621" s="235" t="s">
        <v>9613</v>
      </c>
      <c r="P1621" s="32" t="s">
        <v>65</v>
      </c>
      <c r="Q1621" s="32" t="s">
        <v>65</v>
      </c>
      <c r="R1621" s="32"/>
    </row>
    <row r="1622" spans="1:18" x14ac:dyDescent="0.3">
      <c r="A1622" s="59">
        <v>45638</v>
      </c>
      <c r="B1622" s="32" t="s">
        <v>9614</v>
      </c>
      <c r="C1622" s="32" t="s">
        <v>9615</v>
      </c>
      <c r="D1622" s="32" t="s">
        <v>9616</v>
      </c>
      <c r="E1622" s="44" t="s">
        <v>9617</v>
      </c>
      <c r="F1622" s="44" t="s">
        <v>9618</v>
      </c>
      <c r="G1622" s="44" t="s">
        <v>1919</v>
      </c>
      <c r="H1622" s="29">
        <v>3</v>
      </c>
      <c r="I1622" s="241" t="s">
        <v>605</v>
      </c>
      <c r="J1622" s="307" t="s">
        <v>8909</v>
      </c>
      <c r="K1622" s="308"/>
      <c r="L1622" s="167">
        <f t="shared" si="58"/>
        <v>892.85714285714278</v>
      </c>
      <c r="M1622" s="167">
        <f t="shared" si="59"/>
        <v>107.14285714285712</v>
      </c>
      <c r="N1622" s="118">
        <v>1000</v>
      </c>
      <c r="O1622" s="235" t="s">
        <v>9619</v>
      </c>
      <c r="P1622" s="32" t="s">
        <v>348</v>
      </c>
      <c r="Q1622" s="32" t="s">
        <v>225</v>
      </c>
      <c r="R1622" s="32"/>
    </row>
    <row r="1623" spans="1:18" x14ac:dyDescent="0.3">
      <c r="A1623" s="59">
        <v>45638</v>
      </c>
      <c r="B1623" s="32" t="s">
        <v>9620</v>
      </c>
      <c r="C1623" s="32" t="s">
        <v>9621</v>
      </c>
      <c r="D1623" s="32" t="s">
        <v>9622</v>
      </c>
      <c r="E1623" s="44" t="s">
        <v>9623</v>
      </c>
      <c r="F1623" s="44" t="s">
        <v>9624</v>
      </c>
      <c r="G1623" s="44" t="s">
        <v>1919</v>
      </c>
      <c r="H1623" s="29">
        <v>3</v>
      </c>
      <c r="I1623" s="32" t="s">
        <v>605</v>
      </c>
      <c r="J1623" s="32" t="s">
        <v>9625</v>
      </c>
      <c r="K1623" s="32"/>
      <c r="L1623" s="167">
        <f t="shared" si="58"/>
        <v>535.71428571428567</v>
      </c>
      <c r="M1623" s="167">
        <f t="shared" si="59"/>
        <v>64.285714285714278</v>
      </c>
      <c r="N1623" s="118">
        <v>600</v>
      </c>
      <c r="O1623" s="235" t="s">
        <v>9626</v>
      </c>
      <c r="P1623" s="32" t="s">
        <v>2804</v>
      </c>
      <c r="Q1623" s="32" t="s">
        <v>225</v>
      </c>
      <c r="R1623" s="32"/>
    </row>
    <row r="1624" spans="1:18" x14ac:dyDescent="0.3">
      <c r="A1624" s="59">
        <v>45639</v>
      </c>
      <c r="B1624" s="32" t="s">
        <v>9627</v>
      </c>
      <c r="C1624" s="32" t="s">
        <v>9628</v>
      </c>
      <c r="D1624" s="32" t="s">
        <v>9629</v>
      </c>
      <c r="E1624" s="44" t="s">
        <v>9630</v>
      </c>
      <c r="F1624" s="44" t="s">
        <v>9631</v>
      </c>
      <c r="G1624" s="44" t="s">
        <v>1833</v>
      </c>
      <c r="H1624" s="29">
        <v>3</v>
      </c>
      <c r="I1624" s="32" t="s">
        <v>605</v>
      </c>
      <c r="J1624" s="32" t="s">
        <v>8909</v>
      </c>
      <c r="K1624" s="32"/>
      <c r="L1624" s="167">
        <f t="shared" si="58"/>
        <v>1071.4285714285713</v>
      </c>
      <c r="M1624" s="167">
        <f t="shared" si="59"/>
        <v>128.57142857142856</v>
      </c>
      <c r="N1624" s="118">
        <v>1200</v>
      </c>
      <c r="O1624" s="235" t="s">
        <v>9632</v>
      </c>
      <c r="P1624" s="32" t="s">
        <v>2832</v>
      </c>
      <c r="Q1624" s="32" t="s">
        <v>3026</v>
      </c>
      <c r="R1624" s="32"/>
    </row>
    <row r="1625" spans="1:18" x14ac:dyDescent="0.3">
      <c r="A1625" s="59">
        <v>45639</v>
      </c>
      <c r="B1625" s="32" t="s">
        <v>9633</v>
      </c>
      <c r="C1625" s="32" t="s">
        <v>1595</v>
      </c>
      <c r="D1625" s="32" t="s">
        <v>9634</v>
      </c>
      <c r="E1625" s="44" t="s">
        <v>9635</v>
      </c>
      <c r="F1625" s="44" t="s">
        <v>9636</v>
      </c>
      <c r="G1625" s="44" t="s">
        <v>1833</v>
      </c>
      <c r="H1625" s="29">
        <v>3</v>
      </c>
      <c r="I1625" s="32" t="s">
        <v>605</v>
      </c>
      <c r="J1625" s="32" t="s">
        <v>9637</v>
      </c>
      <c r="K1625" s="32"/>
      <c r="L1625" s="167">
        <f t="shared" si="58"/>
        <v>892.85714285714278</v>
      </c>
      <c r="M1625" s="167">
        <f t="shared" si="59"/>
        <v>107.14285714285712</v>
      </c>
      <c r="N1625" s="118">
        <v>1000</v>
      </c>
      <c r="O1625" s="235" t="s">
        <v>9638</v>
      </c>
      <c r="P1625" s="32" t="s">
        <v>2804</v>
      </c>
      <c r="Q1625" s="32" t="s">
        <v>340</v>
      </c>
      <c r="R1625" s="32"/>
    </row>
    <row r="1626" spans="1:18" x14ac:dyDescent="0.3">
      <c r="A1626" s="59">
        <v>45639</v>
      </c>
      <c r="B1626" s="32" t="s">
        <v>9639</v>
      </c>
      <c r="C1626" s="32" t="s">
        <v>9640</v>
      </c>
      <c r="D1626" s="32" t="s">
        <v>9641</v>
      </c>
      <c r="E1626" s="44" t="s">
        <v>9642</v>
      </c>
      <c r="F1626" s="44" t="s">
        <v>9643</v>
      </c>
      <c r="G1626" s="44" t="s">
        <v>1833</v>
      </c>
      <c r="H1626" s="29">
        <v>4</v>
      </c>
      <c r="I1626" s="32" t="s">
        <v>871</v>
      </c>
      <c r="J1626" s="250" t="s">
        <v>8724</v>
      </c>
      <c r="K1626" s="251"/>
      <c r="L1626" s="167">
        <f t="shared" si="58"/>
        <v>937.49999999999989</v>
      </c>
      <c r="M1626" s="167">
        <f t="shared" si="59"/>
        <v>112.49999999999999</v>
      </c>
      <c r="N1626" s="118">
        <v>1050</v>
      </c>
      <c r="O1626" s="235" t="s">
        <v>9644</v>
      </c>
      <c r="P1626" s="32" t="s">
        <v>2865</v>
      </c>
      <c r="Q1626" s="32" t="s">
        <v>782</v>
      </c>
      <c r="R1626" s="32"/>
    </row>
    <row r="1627" spans="1:18" x14ac:dyDescent="0.3">
      <c r="A1627" s="59">
        <v>45640</v>
      </c>
      <c r="B1627" s="32" t="s">
        <v>9645</v>
      </c>
      <c r="C1627" s="32" t="s">
        <v>9646</v>
      </c>
      <c r="D1627" s="32" t="s">
        <v>9647</v>
      </c>
      <c r="E1627" s="29">
        <v>501532980</v>
      </c>
      <c r="F1627" s="44" t="s">
        <v>9648</v>
      </c>
      <c r="G1627" s="29">
        <v>6</v>
      </c>
      <c r="H1627" s="29">
        <v>4</v>
      </c>
      <c r="I1627" s="32" t="s">
        <v>605</v>
      </c>
      <c r="J1627" s="250" t="s">
        <v>8724</v>
      </c>
      <c r="K1627" s="251"/>
      <c r="L1627" s="167">
        <f t="shared" si="58"/>
        <v>1324.9999999999998</v>
      </c>
      <c r="M1627" s="167">
        <f t="shared" si="59"/>
        <v>158.99999999999997</v>
      </c>
      <c r="N1627" s="118">
        <v>1484</v>
      </c>
      <c r="O1627" s="235" t="s">
        <v>9649</v>
      </c>
      <c r="P1627" s="32" t="s">
        <v>2865</v>
      </c>
      <c r="Q1627" s="32" t="s">
        <v>225</v>
      </c>
      <c r="R1627" s="32"/>
    </row>
    <row r="1628" spans="1:18" x14ac:dyDescent="0.3">
      <c r="A1628" s="59">
        <v>45640</v>
      </c>
      <c r="B1628" s="32" t="s">
        <v>9650</v>
      </c>
      <c r="C1628" s="32" t="s">
        <v>9651</v>
      </c>
      <c r="D1628" s="32" t="s">
        <v>9652</v>
      </c>
      <c r="E1628" s="44" t="s">
        <v>9653</v>
      </c>
      <c r="F1628" s="44" t="s">
        <v>9654</v>
      </c>
      <c r="G1628" s="44" t="s">
        <v>1919</v>
      </c>
      <c r="H1628" s="29">
        <v>2</v>
      </c>
      <c r="I1628" s="29" t="s">
        <v>605</v>
      </c>
      <c r="J1628" s="250" t="s">
        <v>8724</v>
      </c>
      <c r="K1628" s="251"/>
      <c r="L1628" s="167">
        <f t="shared" si="58"/>
        <v>624.99999999999989</v>
      </c>
      <c r="M1628" s="167">
        <f t="shared" si="59"/>
        <v>74.999999999999986</v>
      </c>
      <c r="N1628" s="118">
        <v>700</v>
      </c>
      <c r="O1628" s="61" t="s">
        <v>9655</v>
      </c>
      <c r="P1628" s="32" t="s">
        <v>2832</v>
      </c>
      <c r="Q1628" s="32" t="s">
        <v>2832</v>
      </c>
      <c r="R1628" s="29"/>
    </row>
    <row r="1629" spans="1:18" x14ac:dyDescent="0.3">
      <c r="A1629" s="59">
        <v>45640</v>
      </c>
      <c r="B1629" s="32" t="s">
        <v>9656</v>
      </c>
      <c r="C1629" s="32" t="s">
        <v>9657</v>
      </c>
      <c r="D1629" s="32" t="s">
        <v>9658</v>
      </c>
      <c r="E1629" s="44" t="s">
        <v>9659</v>
      </c>
      <c r="F1629" s="44" t="s">
        <v>9660</v>
      </c>
      <c r="G1629" s="44" t="s">
        <v>1840</v>
      </c>
      <c r="H1629" s="29">
        <v>7</v>
      </c>
      <c r="I1629" s="29" t="s">
        <v>605</v>
      </c>
      <c r="J1629" s="29" t="s">
        <v>2787</v>
      </c>
      <c r="K1629" s="29" t="s">
        <v>1586</v>
      </c>
      <c r="L1629" s="167">
        <f t="shared" si="58"/>
        <v>1776.7857142857142</v>
      </c>
      <c r="M1629" s="167">
        <f t="shared" si="59"/>
        <v>213.21428571428569</v>
      </c>
      <c r="N1629" s="118">
        <v>1990</v>
      </c>
      <c r="O1629" s="61" t="s">
        <v>9661</v>
      </c>
      <c r="P1629" s="32" t="s">
        <v>2804</v>
      </c>
      <c r="Q1629" s="32" t="s">
        <v>782</v>
      </c>
      <c r="R1629" s="29"/>
    </row>
    <row r="1630" spans="1:18" x14ac:dyDescent="0.3">
      <c r="A1630" s="59">
        <v>45640</v>
      </c>
      <c r="B1630" s="32" t="s">
        <v>9662</v>
      </c>
      <c r="C1630" s="32" t="s">
        <v>9663</v>
      </c>
      <c r="D1630" s="32" t="s">
        <v>9664</v>
      </c>
      <c r="E1630" s="44" t="s">
        <v>9665</v>
      </c>
      <c r="F1630" s="44" t="s">
        <v>9666</v>
      </c>
      <c r="G1630" s="44" t="s">
        <v>1919</v>
      </c>
      <c r="H1630" s="29">
        <v>3</v>
      </c>
      <c r="I1630" s="29" t="s">
        <v>605</v>
      </c>
      <c r="J1630" s="29" t="s">
        <v>9667</v>
      </c>
      <c r="K1630" s="29" t="s">
        <v>9668</v>
      </c>
      <c r="L1630" s="167">
        <f t="shared" si="58"/>
        <v>624.99999999999989</v>
      </c>
      <c r="M1630" s="167">
        <f t="shared" si="59"/>
        <v>74.999999999999986</v>
      </c>
      <c r="N1630" s="118">
        <v>700</v>
      </c>
      <c r="O1630" s="61" t="s">
        <v>9669</v>
      </c>
      <c r="P1630" s="32" t="s">
        <v>6428</v>
      </c>
      <c r="Q1630" s="32" t="s">
        <v>65</v>
      </c>
      <c r="R1630" s="29"/>
    </row>
    <row r="1631" spans="1:18" x14ac:dyDescent="0.3">
      <c r="A1631" s="59">
        <v>45643</v>
      </c>
      <c r="B1631" s="32" t="s">
        <v>9670</v>
      </c>
      <c r="C1631" s="32" t="s">
        <v>9671</v>
      </c>
      <c r="D1631" s="32" t="s">
        <v>9672</v>
      </c>
      <c r="E1631" s="44" t="s">
        <v>9673</v>
      </c>
      <c r="F1631" s="44" t="s">
        <v>9674</v>
      </c>
      <c r="G1631" s="44" t="s">
        <v>1833</v>
      </c>
      <c r="H1631" s="29">
        <v>3</v>
      </c>
      <c r="I1631" s="29" t="s">
        <v>605</v>
      </c>
      <c r="J1631" s="29" t="s">
        <v>2787</v>
      </c>
      <c r="K1631" s="29" t="s">
        <v>2488</v>
      </c>
      <c r="L1631" s="167">
        <f t="shared" si="58"/>
        <v>937.49999999999989</v>
      </c>
      <c r="M1631" s="167">
        <f t="shared" si="59"/>
        <v>112.49999999999999</v>
      </c>
      <c r="N1631" s="118">
        <v>1050</v>
      </c>
      <c r="O1631" s="61" t="s">
        <v>9675</v>
      </c>
      <c r="P1631" s="29" t="s">
        <v>2804</v>
      </c>
      <c r="Q1631" s="29" t="s">
        <v>65</v>
      </c>
      <c r="R1631" s="29"/>
    </row>
    <row r="1632" spans="1:18" x14ac:dyDescent="0.3">
      <c r="A1632" s="59">
        <v>45644</v>
      </c>
      <c r="B1632" s="32" t="s">
        <v>9676</v>
      </c>
      <c r="C1632" s="32" t="s">
        <v>6889</v>
      </c>
      <c r="D1632" s="32" t="s">
        <v>9677</v>
      </c>
      <c r="E1632" s="44" t="s">
        <v>9678</v>
      </c>
      <c r="F1632" s="305" t="s">
        <v>9679</v>
      </c>
      <c r="G1632" s="44" t="s">
        <v>1826</v>
      </c>
      <c r="H1632" s="29">
        <v>10</v>
      </c>
      <c r="I1632" s="29" t="s">
        <v>617</v>
      </c>
      <c r="J1632" s="29" t="s">
        <v>9680</v>
      </c>
      <c r="K1632" s="29" t="s">
        <v>9680</v>
      </c>
      <c r="L1632" s="167">
        <f t="shared" si="58"/>
        <v>2678.5714285714284</v>
      </c>
      <c r="M1632" s="167">
        <f t="shared" si="59"/>
        <v>321.42857142857139</v>
      </c>
      <c r="N1632" s="118">
        <v>3000</v>
      </c>
      <c r="O1632" s="61" t="s">
        <v>9681</v>
      </c>
      <c r="P1632" s="29" t="s">
        <v>2832</v>
      </c>
      <c r="Q1632" s="29" t="s">
        <v>225</v>
      </c>
      <c r="R1632" s="29"/>
    </row>
    <row r="1633" spans="1:18" x14ac:dyDescent="0.3">
      <c r="A1633" s="59">
        <v>45645</v>
      </c>
      <c r="B1633" s="32" t="s">
        <v>9682</v>
      </c>
      <c r="C1633" s="32" t="s">
        <v>9683</v>
      </c>
      <c r="D1633" s="32" t="s">
        <v>9684</v>
      </c>
      <c r="E1633" s="44" t="s">
        <v>9685</v>
      </c>
      <c r="F1633" s="44" t="s">
        <v>9686</v>
      </c>
      <c r="G1633" s="44" t="s">
        <v>1962</v>
      </c>
      <c r="H1633" s="29">
        <v>10</v>
      </c>
      <c r="I1633" s="29" t="s">
        <v>617</v>
      </c>
      <c r="J1633" s="29" t="s">
        <v>9687</v>
      </c>
      <c r="K1633" s="29" t="s">
        <v>9687</v>
      </c>
      <c r="L1633" s="167">
        <f t="shared" si="58"/>
        <v>3571.4285714285711</v>
      </c>
      <c r="M1633" s="167">
        <f t="shared" si="59"/>
        <v>428.5714285714285</v>
      </c>
      <c r="N1633" s="118">
        <v>4000</v>
      </c>
      <c r="O1633" s="61" t="s">
        <v>9688</v>
      </c>
      <c r="P1633" s="29" t="s">
        <v>782</v>
      </c>
      <c r="Q1633" s="29" t="s">
        <v>225</v>
      </c>
      <c r="R1633" s="29"/>
    </row>
    <row r="1634" spans="1:18" x14ac:dyDescent="0.3">
      <c r="A1634" s="59">
        <v>45646</v>
      </c>
      <c r="B1634" s="32" t="s">
        <v>9689</v>
      </c>
      <c r="C1634" s="32" t="s">
        <v>9690</v>
      </c>
      <c r="D1634" s="32" t="s">
        <v>9691</v>
      </c>
      <c r="E1634" s="44" t="s">
        <v>9692</v>
      </c>
      <c r="F1634" s="44" t="s">
        <v>9693</v>
      </c>
      <c r="G1634" s="44" t="s">
        <v>1919</v>
      </c>
      <c r="H1634" s="29">
        <v>3</v>
      </c>
      <c r="I1634" s="29" t="s">
        <v>605</v>
      </c>
      <c r="J1634" s="250" t="s">
        <v>9694</v>
      </c>
      <c r="K1634" s="251"/>
      <c r="L1634" s="167">
        <v>1071.4285714285713</v>
      </c>
      <c r="M1634" s="167">
        <v>128.57142857142856</v>
      </c>
      <c r="N1634" s="118">
        <v>1200</v>
      </c>
      <c r="O1634" s="61" t="s">
        <v>9695</v>
      </c>
      <c r="P1634" s="29" t="s">
        <v>2804</v>
      </c>
      <c r="Q1634" s="29" t="s">
        <v>65</v>
      </c>
      <c r="R1634" s="29"/>
    </row>
    <row r="1635" spans="1:18" x14ac:dyDescent="0.3">
      <c r="A1635" s="59">
        <v>45646</v>
      </c>
      <c r="B1635" s="32" t="s">
        <v>9696</v>
      </c>
      <c r="C1635" s="32" t="s">
        <v>9697</v>
      </c>
      <c r="D1635" s="32" t="s">
        <v>9698</v>
      </c>
      <c r="E1635" s="44" t="s">
        <v>9699</v>
      </c>
      <c r="F1635" s="44" t="s">
        <v>9700</v>
      </c>
      <c r="G1635" s="44" t="s">
        <v>1826</v>
      </c>
      <c r="H1635" s="29">
        <v>5</v>
      </c>
      <c r="I1635" s="29" t="s">
        <v>617</v>
      </c>
      <c r="J1635" s="250" t="s">
        <v>9701</v>
      </c>
      <c r="K1635" s="251"/>
      <c r="L1635" s="167">
        <v>1785.7142857142856</v>
      </c>
      <c r="M1635" s="167">
        <v>214.28571428571425</v>
      </c>
      <c r="N1635" s="118">
        <v>2000</v>
      </c>
      <c r="O1635" s="61"/>
      <c r="P1635" s="29" t="s">
        <v>1482</v>
      </c>
      <c r="Q1635" s="29" t="s">
        <v>225</v>
      </c>
      <c r="R1635" s="29"/>
    </row>
    <row r="1636" spans="1:18" x14ac:dyDescent="0.3">
      <c r="A1636" s="59">
        <v>45646</v>
      </c>
      <c r="B1636" s="32" t="s">
        <v>9702</v>
      </c>
      <c r="C1636" s="32" t="s">
        <v>6689</v>
      </c>
      <c r="D1636" s="32" t="s">
        <v>9703</v>
      </c>
      <c r="E1636" s="44" t="s">
        <v>9704</v>
      </c>
      <c r="F1636" s="44" t="s">
        <v>9705</v>
      </c>
      <c r="G1636" s="44" t="s">
        <v>1833</v>
      </c>
      <c r="H1636" s="29">
        <v>6</v>
      </c>
      <c r="I1636" s="29" t="s">
        <v>605</v>
      </c>
      <c r="J1636" s="250" t="s">
        <v>9706</v>
      </c>
      <c r="K1636" s="251"/>
      <c r="L1636" s="167">
        <v>1776.7857142857142</v>
      </c>
      <c r="M1636" s="167">
        <v>213.21428571428569</v>
      </c>
      <c r="N1636" s="118">
        <v>1990</v>
      </c>
      <c r="O1636" s="61" t="s">
        <v>9707</v>
      </c>
      <c r="P1636" s="29" t="s">
        <v>2832</v>
      </c>
      <c r="Q1636" s="29" t="s">
        <v>782</v>
      </c>
      <c r="R1636" s="29"/>
    </row>
    <row r="1637" spans="1:18" x14ac:dyDescent="0.3">
      <c r="A1637" s="59">
        <v>45647</v>
      </c>
      <c r="B1637" s="32" t="s">
        <v>9708</v>
      </c>
      <c r="C1637" s="32" t="s">
        <v>2458</v>
      </c>
      <c r="D1637" s="32" t="s">
        <v>9709</v>
      </c>
      <c r="E1637" s="44" t="s">
        <v>9710</v>
      </c>
      <c r="F1637" s="44" t="s">
        <v>9711</v>
      </c>
      <c r="G1637" s="44" t="s">
        <v>1833</v>
      </c>
      <c r="H1637" s="29">
        <v>3</v>
      </c>
      <c r="I1637" s="29" t="s">
        <v>605</v>
      </c>
      <c r="J1637" s="309" t="s">
        <v>9694</v>
      </c>
      <c r="K1637" s="310"/>
      <c r="L1637" s="167">
        <v>892.85714285714278</v>
      </c>
      <c r="M1637" s="167">
        <v>107.14285714285712</v>
      </c>
      <c r="N1637" s="118">
        <v>1000</v>
      </c>
      <c r="O1637" s="61" t="s">
        <v>9712</v>
      </c>
      <c r="P1637" s="29" t="s">
        <v>2832</v>
      </c>
      <c r="Q1637" s="29" t="s">
        <v>2832</v>
      </c>
      <c r="R1637" s="274"/>
    </row>
    <row r="1638" spans="1:18" x14ac:dyDescent="0.3">
      <c r="A1638" s="59">
        <v>45647</v>
      </c>
      <c r="B1638" s="32" t="s">
        <v>9713</v>
      </c>
      <c r="C1638" s="32" t="s">
        <v>9714</v>
      </c>
      <c r="D1638" s="32" t="s">
        <v>9715</v>
      </c>
      <c r="E1638" s="44" t="s">
        <v>9716</v>
      </c>
      <c r="F1638" s="44" t="s">
        <v>9717</v>
      </c>
      <c r="G1638" s="44" t="s">
        <v>2223</v>
      </c>
      <c r="H1638" s="29">
        <v>10</v>
      </c>
      <c r="I1638" s="29" t="s">
        <v>617</v>
      </c>
      <c r="J1638" s="309" t="s">
        <v>9718</v>
      </c>
      <c r="K1638" s="310"/>
      <c r="L1638" s="167">
        <v>3562.4999999999995</v>
      </c>
      <c r="M1638" s="167">
        <v>427.49999999999994</v>
      </c>
      <c r="N1638" s="118">
        <v>3990</v>
      </c>
      <c r="O1638" s="61" t="s">
        <v>9719</v>
      </c>
      <c r="P1638" s="29" t="s">
        <v>2832</v>
      </c>
      <c r="Q1638" s="29" t="s">
        <v>65</v>
      </c>
      <c r="R1638" s="29"/>
    </row>
    <row r="1639" spans="1:18" x14ac:dyDescent="0.3">
      <c r="A1639" s="59">
        <v>45653</v>
      </c>
      <c r="B1639" s="32" t="s">
        <v>9720</v>
      </c>
      <c r="C1639" s="32" t="s">
        <v>2860</v>
      </c>
      <c r="D1639" s="32" t="s">
        <v>9721</v>
      </c>
      <c r="E1639" s="44" t="s">
        <v>9722</v>
      </c>
      <c r="F1639" s="44" t="s">
        <v>9723</v>
      </c>
      <c r="G1639" s="44" t="s">
        <v>1833</v>
      </c>
      <c r="H1639" s="29">
        <v>5</v>
      </c>
      <c r="I1639" s="29" t="s">
        <v>617</v>
      </c>
      <c r="J1639" s="67" t="s">
        <v>2787</v>
      </c>
      <c r="K1639" s="67" t="s">
        <v>2488</v>
      </c>
      <c r="L1639" s="167">
        <f t="shared" si="58"/>
        <v>1339.2857142857142</v>
      </c>
      <c r="M1639" s="167">
        <f t="shared" si="59"/>
        <v>160.71428571428569</v>
      </c>
      <c r="N1639" s="118">
        <v>1500</v>
      </c>
      <c r="O1639" s="61" t="s">
        <v>9724</v>
      </c>
      <c r="P1639" s="29" t="s">
        <v>3861</v>
      </c>
      <c r="Q1639" s="29" t="s">
        <v>592</v>
      </c>
      <c r="R1639" s="29"/>
    </row>
    <row r="1640" spans="1:18" x14ac:dyDescent="0.3">
      <c r="A1640" s="59">
        <v>45653</v>
      </c>
      <c r="B1640" s="32" t="s">
        <v>9725</v>
      </c>
      <c r="C1640" s="32" t="s">
        <v>9726</v>
      </c>
      <c r="D1640" s="32" t="s">
        <v>9727</v>
      </c>
      <c r="E1640" s="44" t="s">
        <v>9728</v>
      </c>
      <c r="F1640" s="44" t="s">
        <v>9729</v>
      </c>
      <c r="G1640" s="44" t="s">
        <v>1833</v>
      </c>
      <c r="H1640" s="29">
        <v>4</v>
      </c>
      <c r="I1640" s="29" t="s">
        <v>605</v>
      </c>
      <c r="J1640" s="67" t="s">
        <v>2787</v>
      </c>
      <c r="K1640" s="67" t="s">
        <v>3396</v>
      </c>
      <c r="L1640" s="167">
        <f t="shared" si="58"/>
        <v>892.85714285714278</v>
      </c>
      <c r="M1640" s="167">
        <f t="shared" si="59"/>
        <v>107.14285714285712</v>
      </c>
      <c r="N1640" s="118">
        <v>1000</v>
      </c>
      <c r="O1640" s="61" t="s">
        <v>9730</v>
      </c>
      <c r="P1640" s="29" t="s">
        <v>2832</v>
      </c>
      <c r="Q1640" s="29" t="s">
        <v>340</v>
      </c>
      <c r="R1640" s="29"/>
    </row>
    <row r="1641" spans="1:18" x14ac:dyDescent="0.3">
      <c r="A1641" s="59">
        <v>45653</v>
      </c>
      <c r="B1641" s="32" t="s">
        <v>9731</v>
      </c>
      <c r="C1641" s="32" t="s">
        <v>2135</v>
      </c>
      <c r="D1641" s="32" t="s">
        <v>9732</v>
      </c>
      <c r="E1641" s="44" t="s">
        <v>9733</v>
      </c>
      <c r="F1641" s="44" t="s">
        <v>9734</v>
      </c>
      <c r="G1641" s="44" t="s">
        <v>1826</v>
      </c>
      <c r="H1641" s="29">
        <v>10</v>
      </c>
      <c r="I1641" s="29" t="s">
        <v>617</v>
      </c>
      <c r="J1641" s="67" t="s">
        <v>2787</v>
      </c>
      <c r="K1641" s="67" t="s">
        <v>1162</v>
      </c>
      <c r="L1641" s="167">
        <f t="shared" si="58"/>
        <v>1071.4285714285713</v>
      </c>
      <c r="M1641" s="167">
        <f t="shared" si="59"/>
        <v>128.57142857142856</v>
      </c>
      <c r="N1641" s="118">
        <v>1200</v>
      </c>
      <c r="O1641" s="61" t="s">
        <v>9735</v>
      </c>
      <c r="P1641" s="29" t="s">
        <v>2865</v>
      </c>
      <c r="Q1641" s="29" t="s">
        <v>65</v>
      </c>
      <c r="R1641" s="29"/>
    </row>
    <row r="1642" spans="1:18" x14ac:dyDescent="0.3">
      <c r="A1642" s="59">
        <v>45655</v>
      </c>
      <c r="B1642" s="32" t="s">
        <v>9736</v>
      </c>
      <c r="C1642" s="32" t="s">
        <v>9737</v>
      </c>
      <c r="D1642" s="32" t="s">
        <v>9738</v>
      </c>
      <c r="E1642" s="44" t="s">
        <v>9739</v>
      </c>
      <c r="F1642" s="44" t="s">
        <v>9740</v>
      </c>
      <c r="G1642" s="44" t="s">
        <v>2153</v>
      </c>
      <c r="H1642" s="29">
        <v>12</v>
      </c>
      <c r="I1642" s="29" t="s">
        <v>617</v>
      </c>
      <c r="J1642" s="309" t="s">
        <v>9741</v>
      </c>
      <c r="K1642" s="310"/>
      <c r="L1642" s="167">
        <f t="shared" si="58"/>
        <v>2678.5714285714284</v>
      </c>
      <c r="M1642" s="167">
        <f t="shared" si="59"/>
        <v>321.42857142857139</v>
      </c>
      <c r="N1642" s="118">
        <v>3000</v>
      </c>
      <c r="O1642" s="61" t="s">
        <v>9742</v>
      </c>
      <c r="P1642" s="29" t="s">
        <v>3861</v>
      </c>
      <c r="Q1642" s="29" t="s">
        <v>337</v>
      </c>
      <c r="R1642" s="29"/>
    </row>
  </sheetData>
  <mergeCells count="68">
    <mergeCell ref="J1637:K1637"/>
    <mergeCell ref="J1638:K1638"/>
    <mergeCell ref="J1642:K1642"/>
    <mergeCell ref="J1627:K1627"/>
    <mergeCell ref="J1628:K1628"/>
    <mergeCell ref="J1634:K1634"/>
    <mergeCell ref="J1635:K1635"/>
    <mergeCell ref="J1636:K1636"/>
    <mergeCell ref="J1607:K1607"/>
    <mergeCell ref="J1608:K1608"/>
    <mergeCell ref="J1612:K1612"/>
    <mergeCell ref="J1622:K1622"/>
    <mergeCell ref="J1626:K1626"/>
    <mergeCell ref="O1495:R1495"/>
    <mergeCell ref="J1602:K1602"/>
    <mergeCell ref="J1603:K1603"/>
    <mergeCell ref="J1605:K1605"/>
    <mergeCell ref="J1606:K1606"/>
    <mergeCell ref="J920:K920"/>
    <mergeCell ref="G947:K947"/>
    <mergeCell ref="G991:K991"/>
    <mergeCell ref="J1038:K1038"/>
    <mergeCell ref="J1475:K1475"/>
    <mergeCell ref="J651:K651"/>
    <mergeCell ref="J663:K663"/>
    <mergeCell ref="J685:K685"/>
    <mergeCell ref="J605:K605"/>
    <mergeCell ref="J606:K606"/>
    <mergeCell ref="J611:K611"/>
    <mergeCell ref="J612:K612"/>
    <mergeCell ref="J625:K625"/>
    <mergeCell ref="J648:K648"/>
    <mergeCell ref="J601:K601"/>
    <mergeCell ref="J564:K564"/>
    <mergeCell ref="J565:K565"/>
    <mergeCell ref="J573:K573"/>
    <mergeCell ref="J574:K574"/>
    <mergeCell ref="J580:K580"/>
    <mergeCell ref="J591:K591"/>
    <mergeCell ref="J596:K596"/>
    <mergeCell ref="J597:K597"/>
    <mergeCell ref="J598:K598"/>
    <mergeCell ref="J599:K599"/>
    <mergeCell ref="J600:K600"/>
    <mergeCell ref="J563:K563"/>
    <mergeCell ref="J546:K546"/>
    <mergeCell ref="J548:K548"/>
    <mergeCell ref="J549:K549"/>
    <mergeCell ref="J551:K551"/>
    <mergeCell ref="J552:K552"/>
    <mergeCell ref="J555:K555"/>
    <mergeCell ref="J558:K558"/>
    <mergeCell ref="J559:K559"/>
    <mergeCell ref="J560:K560"/>
    <mergeCell ref="J561:K561"/>
    <mergeCell ref="J562:K562"/>
    <mergeCell ref="J544:K544"/>
    <mergeCell ref="J244:K244"/>
    <mergeCell ref="J260:K260"/>
    <mergeCell ref="E268:F268"/>
    <mergeCell ref="E277:F277"/>
    <mergeCell ref="J361:K361"/>
    <mergeCell ref="J408:K408"/>
    <mergeCell ref="J434:K434"/>
    <mergeCell ref="G529:K529"/>
    <mergeCell ref="J539:K539"/>
    <mergeCell ref="J542:K542"/>
    <mergeCell ref="J543:K543"/>
  </mergeCells>
  <hyperlinks>
    <hyperlink ref="O57" r:id="rId1" xr:uid="{6918B5AD-9FD9-4354-B709-500059F906C3}"/>
    <hyperlink ref="O58" r:id="rId2" xr:uid="{D6C0CC79-E8DE-41AD-BDEE-658A2D3D4BB3}"/>
    <hyperlink ref="O59" r:id="rId3" xr:uid="{2764531E-9F53-4E48-9DEF-CA0E1A87A02D}"/>
    <hyperlink ref="O60" r:id="rId4" xr:uid="{A5B1C5AC-8644-42C8-8FFB-DC3DA336B7C9}"/>
    <hyperlink ref="O61" r:id="rId5" xr:uid="{9D13D934-AA0C-4156-B0C5-351F7618C783}"/>
    <hyperlink ref="O62" r:id="rId6" xr:uid="{6A57D407-3BA7-4ED7-AB82-F24E28B457F6}"/>
    <hyperlink ref="O63" r:id="rId7" xr:uid="{40125CCF-D96A-432A-A84B-78E7E7017F8C}"/>
    <hyperlink ref="O64" r:id="rId8" xr:uid="{FF4D0FEB-0062-4171-B303-56B69965C490}"/>
    <hyperlink ref="O65" r:id="rId9" xr:uid="{EAE65EB1-8717-40B2-B4CA-53A83879C1D2}"/>
    <hyperlink ref="O66" r:id="rId10" xr:uid="{29DC7EC2-80E0-4DD4-90BF-33F92FC1D9BA}"/>
    <hyperlink ref="O67" r:id="rId11" xr:uid="{0CEE037B-5301-47AA-A2F1-35F390B37AA2}"/>
    <hyperlink ref="O68" r:id="rId12" xr:uid="{F8C9CA59-6991-4210-B135-B87D364F6951}"/>
    <hyperlink ref="O70" r:id="rId13" xr:uid="{C20FD305-C6E1-43F1-B604-8A710921A4FE}"/>
    <hyperlink ref="O71" r:id="rId14" xr:uid="{68D9A831-257C-4CC6-ABE3-A638EFFBD9EC}"/>
    <hyperlink ref="O72" r:id="rId15" xr:uid="{777A8B75-7F77-4D7D-98A2-6EA1DC3352E0}"/>
    <hyperlink ref="O73" r:id="rId16" xr:uid="{3692887D-164F-4876-B698-9950C3D592AC}"/>
    <hyperlink ref="O74" r:id="rId17" xr:uid="{3B9F39E3-3A3C-4AF2-80B4-6C0A3708E69F}"/>
    <hyperlink ref="O76" r:id="rId18" xr:uid="{7AC294D6-FE72-442F-9B84-D0655311AF9B}"/>
    <hyperlink ref="O77" r:id="rId19" xr:uid="{8D0F001D-BB11-4156-B020-F77C01C73267}"/>
    <hyperlink ref="O78" r:id="rId20" xr:uid="{EA9FFD30-E2ED-49C1-9797-B903588766A4}"/>
    <hyperlink ref="O79" r:id="rId21" xr:uid="{1C25F4E2-4DC0-4F98-AD3D-61793401EECB}"/>
    <hyperlink ref="O80" r:id="rId22" xr:uid="{87F8458D-ED7B-4E61-821A-7FA64F4575EE}"/>
    <hyperlink ref="O81" r:id="rId23" xr:uid="{66A96D1D-44E5-4966-A847-F41295F10567}"/>
    <hyperlink ref="O82" r:id="rId24" xr:uid="{4AD8C0F5-58E3-4FBA-A39D-B6605578D7FF}"/>
    <hyperlink ref="O83" r:id="rId25" xr:uid="{3133AE36-BBB5-4ABC-9CAD-CCE0AFC8954D}"/>
    <hyperlink ref="O85" r:id="rId26" xr:uid="{976C9402-8613-45D2-9CA5-4493959FDD9C}"/>
    <hyperlink ref="O86" r:id="rId27" xr:uid="{1DF1DC32-AB5B-401E-9FAA-3E43C64552DE}"/>
    <hyperlink ref="O87" r:id="rId28" xr:uid="{B145FC4F-F306-4D07-8C10-D6DDAFDD511A}"/>
    <hyperlink ref="O88" r:id="rId29" xr:uid="{3827D6CA-468A-4D59-91A5-779FE28CD984}"/>
    <hyperlink ref="O89" r:id="rId30" xr:uid="{B634521B-EA70-4F58-B438-3B0ECEF6FB53}"/>
    <hyperlink ref="O90" r:id="rId31" xr:uid="{76DEFC05-32A6-44F9-9F25-BB5E153E4F7D}"/>
    <hyperlink ref="O91" r:id="rId32" xr:uid="{3BE00FD4-8213-4C71-B318-2E15CE459CA5}"/>
    <hyperlink ref="O92" r:id="rId33" xr:uid="{EDCA0E3C-1949-4B5A-980A-E6838B6B0295}"/>
    <hyperlink ref="O93" r:id="rId34" xr:uid="{D86B6C6B-4302-441B-A18B-C5E974621DC9}"/>
    <hyperlink ref="O94" r:id="rId35" xr:uid="{24662375-8D91-4BF6-A58D-7962F92C25A6}"/>
    <hyperlink ref="O95" r:id="rId36" xr:uid="{45BF11CA-F0C1-49F8-B9D3-8751A13359D7}"/>
    <hyperlink ref="O96" r:id="rId37" xr:uid="{1DF2597B-4567-4C7B-994C-1C4D3F80F21E}"/>
    <hyperlink ref="O97" r:id="rId38" xr:uid="{A33C8A3C-3235-4396-A434-E035C9608732}"/>
    <hyperlink ref="O98" r:id="rId39" xr:uid="{BDB3674D-D4CF-4E39-A8C3-818DD96051FE}"/>
    <hyperlink ref="O100" r:id="rId40" xr:uid="{1B2DE2D5-F92C-4ED3-BBB8-51F412ACC98A}"/>
    <hyperlink ref="O101" r:id="rId41" xr:uid="{190FA8A1-0703-4E5B-A5C6-31C1F266881A}"/>
    <hyperlink ref="O102" r:id="rId42" xr:uid="{D18B5B99-B80C-42B7-A946-6A664EA9F7E3}"/>
    <hyperlink ref="O103" r:id="rId43" xr:uid="{F5D6A551-5299-4E40-8FE0-6901C894D92B}"/>
    <hyperlink ref="O104" r:id="rId44" xr:uid="{B5244DF1-5916-4ED3-B391-F5C5B57578FF}"/>
    <hyperlink ref="O105" r:id="rId45" xr:uid="{2A7E8C15-6EDC-4E90-AAA9-9364DA6DAD43}"/>
    <hyperlink ref="O106" r:id="rId46" xr:uid="{1FD4D253-C0CD-4F4A-91AC-3998F0F5B93E}"/>
    <hyperlink ref="O107" r:id="rId47" xr:uid="{049B948B-D742-4538-AC40-ACC0C69E6395}"/>
    <hyperlink ref="O108" r:id="rId48" xr:uid="{4115D7BF-6094-4D64-AB87-561EC082C260}"/>
    <hyperlink ref="O109" r:id="rId49" xr:uid="{0A3236A1-BFF4-48E2-94B8-08DB498877BB}"/>
    <hyperlink ref="O110" r:id="rId50" xr:uid="{324E1C2B-8F28-4A20-A437-261ACC9C2ED6}"/>
    <hyperlink ref="O111" r:id="rId51" xr:uid="{49EFA97F-A974-44A7-9001-B3A00CB0A4BA}"/>
    <hyperlink ref="O112" r:id="rId52" xr:uid="{44DFB3BC-406C-4736-8073-239FB7F8DB55}"/>
    <hyperlink ref="O113" r:id="rId53" xr:uid="{80B3B750-753D-418D-A3B2-0529259A549A}"/>
    <hyperlink ref="O114" r:id="rId54" xr:uid="{D384BB45-AB08-485A-ACCD-D981EEB819C5}"/>
    <hyperlink ref="O115" r:id="rId55" xr:uid="{8B340DCC-8D9E-42D5-B7D9-1FD5119B2F50}"/>
    <hyperlink ref="O116" r:id="rId56" xr:uid="{34BE066C-AAAA-4AB4-A760-6BD634B7EFDC}"/>
    <hyperlink ref="O117" r:id="rId57" xr:uid="{9170A4E8-0C5E-423F-8831-466F2C04DDE2}"/>
    <hyperlink ref="O118" r:id="rId58" xr:uid="{CD1BE9E6-A198-45B7-A21B-80D2DF1FF6CB}"/>
    <hyperlink ref="O119" r:id="rId59" xr:uid="{BF39A485-841B-452D-8E4C-4B3F359DBC4C}"/>
    <hyperlink ref="O120" r:id="rId60" xr:uid="{DA8BA374-0B36-49FC-8F1C-207853B4D224}"/>
    <hyperlink ref="O121" r:id="rId61" xr:uid="{BBB6D621-DA32-4806-8403-B8587E753DD3}"/>
    <hyperlink ref="O122" r:id="rId62" xr:uid="{AEEAE431-EC41-4D19-9216-694640660D45}"/>
    <hyperlink ref="O124" r:id="rId63" xr:uid="{0287C463-5D41-4AD7-AB4D-29ADA82F44EF}"/>
    <hyperlink ref="O125" r:id="rId64" xr:uid="{C83BFBAD-F194-4CDA-8F28-7CA1676427A4}"/>
    <hyperlink ref="O126" r:id="rId65" xr:uid="{AFE01DFD-407B-411C-A2F1-FD66F0AD5CDB}"/>
    <hyperlink ref="O127" r:id="rId66" xr:uid="{60A06912-D273-4291-920F-BFFCAE2B16CB}"/>
    <hyperlink ref="O128" r:id="rId67" xr:uid="{5EF0B195-A5FA-4181-97CF-6365AE51DBED}"/>
    <hyperlink ref="O129" r:id="rId68" xr:uid="{EECE95F8-6162-476D-B841-087957CAB150}"/>
    <hyperlink ref="O130" r:id="rId69" xr:uid="{934CC7C9-11DF-4504-9B72-20989289F4B3}"/>
    <hyperlink ref="O131" r:id="rId70" xr:uid="{00193F82-7D7D-4BD1-96BE-95CEE5C9343D}"/>
    <hyperlink ref="O132" r:id="rId71" xr:uid="{357AAFB3-239B-47A1-9268-AE1114557231}"/>
    <hyperlink ref="O133" r:id="rId72" xr:uid="{1B39A1BB-C4C9-4A02-8C1B-658E98D5B7A2}"/>
    <hyperlink ref="O134" r:id="rId73" xr:uid="{681164D8-2D48-4047-BAC8-E122B3E9DADF}"/>
    <hyperlink ref="O135" r:id="rId74" xr:uid="{B2BD059C-0381-4A1E-B6D2-5DC365DA6318}"/>
    <hyperlink ref="O136" r:id="rId75" xr:uid="{2A7B1854-C56B-411B-A043-FE6EF0B29C3B}"/>
    <hyperlink ref="O137" r:id="rId76" xr:uid="{8A030696-A344-4F1E-ADDB-997ECABEA689}"/>
    <hyperlink ref="O138" r:id="rId77" xr:uid="{9167DA22-C4EF-4E33-A103-2D02130AE620}"/>
    <hyperlink ref="O139" r:id="rId78" xr:uid="{BAAC2498-63F6-4C55-B436-59CC8798820C}"/>
    <hyperlink ref="O140" r:id="rId79" xr:uid="{B4791EAB-B0EE-48BF-94A7-20CD613E5C19}"/>
    <hyperlink ref="O141" r:id="rId80" xr:uid="{9F1AC4A8-615E-42A9-9DAF-DDDB4AD05F26}"/>
    <hyperlink ref="O142" r:id="rId81" xr:uid="{491F8DA4-073E-477E-A37B-E4DC90F83642}"/>
    <hyperlink ref="O143" r:id="rId82" xr:uid="{8B9042CA-CCEF-4A0E-BB75-593816E44B3D}"/>
    <hyperlink ref="O144" r:id="rId83" xr:uid="{6AAAF291-02A1-4278-8ED0-55B312AC260C}"/>
    <hyperlink ref="O145" r:id="rId84" xr:uid="{0BFF9347-A532-4CCB-B890-1497A87303C4}"/>
    <hyperlink ref="O146" r:id="rId85" xr:uid="{916CC82E-56A3-489C-B25D-B3C8DEEAEA0F}"/>
    <hyperlink ref="O123" r:id="rId86" xr:uid="{834BB1D1-DCC7-4F15-AF98-54D8D17B2B57}"/>
    <hyperlink ref="O147" r:id="rId87" xr:uid="{3574D714-B57F-42F8-B6D9-E430B4406B38}"/>
    <hyperlink ref="O148" r:id="rId88" xr:uid="{9F1AB96B-4B50-4129-90BB-27B7E1BCD6B4}"/>
    <hyperlink ref="O149" r:id="rId89" xr:uid="{7AF7A674-DFFB-4821-AD02-1FCA05FBD4CE}"/>
    <hyperlink ref="O150" r:id="rId90" xr:uid="{500ED220-DE92-4425-B97E-F272AE5F18D3}"/>
    <hyperlink ref="O152" r:id="rId91" xr:uid="{9B7129E9-FF17-4671-9E99-50692C8D78A0}"/>
    <hyperlink ref="O151" r:id="rId92" xr:uid="{27284B53-5CE5-4DE3-8716-0C9676342A74}"/>
    <hyperlink ref="O154" r:id="rId93" xr:uid="{36234469-CFF1-4F2D-85C2-79C0FAF60F27}"/>
    <hyperlink ref="O153" r:id="rId94" xr:uid="{ED547E69-F0F9-40D5-AC72-404C01264028}"/>
    <hyperlink ref="O155" r:id="rId95" xr:uid="{21A90057-422B-4668-A7DE-B2545D35959F}"/>
    <hyperlink ref="O156" r:id="rId96" xr:uid="{C4622280-E67B-4243-9506-D0C1626A56A9}"/>
    <hyperlink ref="O158" r:id="rId97" xr:uid="{A153EE1B-BDA1-4E2D-A95B-128B47DD5873}"/>
    <hyperlink ref="O159" r:id="rId98" xr:uid="{D594F695-F4CF-4C6D-B2A5-4128A98BCD02}"/>
    <hyperlink ref="O160" r:id="rId99" xr:uid="{039114BD-EFF2-47C9-AD41-D4773AEBA5C6}"/>
    <hyperlink ref="O161" r:id="rId100" xr:uid="{2D259220-7B9E-4348-A3EB-2BAE5786DBBD}"/>
    <hyperlink ref="O162" r:id="rId101" xr:uid="{B5DD65A0-CFBB-4C2E-8FF8-16A0762AF4DE}"/>
    <hyperlink ref="O163" r:id="rId102" xr:uid="{875D2F16-A17C-471C-89D0-A12B40312292}"/>
    <hyperlink ref="O164" r:id="rId103" xr:uid="{5EE5AB79-77B7-4B20-B9B9-7528E2724D99}"/>
    <hyperlink ref="O165" r:id="rId104" xr:uid="{08C63FDE-0318-425A-8A6B-8163E4CFA56D}"/>
    <hyperlink ref="O166" r:id="rId105" xr:uid="{344EC96C-1506-4BC7-8012-537D7BAA1032}"/>
    <hyperlink ref="O167" r:id="rId106" xr:uid="{9389B557-36C8-403E-AF40-9452AF782B27}"/>
    <hyperlink ref="O168" r:id="rId107" xr:uid="{06344B43-ACD3-4FE9-AC93-32B15E952A19}"/>
    <hyperlink ref="O169" r:id="rId108" xr:uid="{C5F88DE8-E8F6-4167-A4A1-08545A96753E}"/>
    <hyperlink ref="O170" r:id="rId109" xr:uid="{25318CBF-BB27-49AF-9F79-0A0989009C1B}"/>
    <hyperlink ref="O171" r:id="rId110" xr:uid="{522BE494-7335-4CE1-9F12-14452BAB974C}"/>
    <hyperlink ref="O172" r:id="rId111" xr:uid="{28E1BBD0-42F3-4EE9-BB0F-5C343A6CDCCB}"/>
    <hyperlink ref="O173" r:id="rId112" xr:uid="{2E99AA06-5F40-4D1F-A2B2-8A0F616D1A0B}"/>
    <hyperlink ref="O174" r:id="rId113" xr:uid="{00331D8C-4D27-43D6-9809-80E15D4951D1}"/>
    <hyperlink ref="O175" r:id="rId114" xr:uid="{95A08227-AD70-4B31-9090-25ABC16A2D32}"/>
    <hyperlink ref="O176" r:id="rId115" xr:uid="{75AA2B4E-4416-4EE9-A178-DAB3BF821AAC}"/>
    <hyperlink ref="O177" r:id="rId116" xr:uid="{64725FC3-0743-4F0A-BD63-E13F7AF65BBB}"/>
    <hyperlink ref="O178" r:id="rId117" xr:uid="{90F1867D-DB70-4500-B446-19A2D16E61FF}"/>
    <hyperlink ref="O179" r:id="rId118" xr:uid="{C44BED4B-57E6-40DD-8C75-17D252B1967C}"/>
    <hyperlink ref="O180" r:id="rId119" xr:uid="{7D82D204-A4A6-48BD-AB8E-0B3016421386}"/>
    <hyperlink ref="O181" r:id="rId120" xr:uid="{0D76A013-325E-430A-A08E-CB06F26CB683}"/>
    <hyperlink ref="O182" r:id="rId121" xr:uid="{74475873-DCAC-41D6-AF6D-92CF2EF034ED}"/>
    <hyperlink ref="O183" r:id="rId122" xr:uid="{10266708-AEAF-4210-A2A8-75D4977E40BF}"/>
    <hyperlink ref="O184" r:id="rId123" xr:uid="{D0E97853-AF1D-491C-85AB-DE3B91B1A4C2}"/>
    <hyperlink ref="O185" r:id="rId124" xr:uid="{F3C75328-4D62-4D8B-842A-47BD0A016336}"/>
    <hyperlink ref="O186" r:id="rId125" xr:uid="{FC72B93C-642C-4A29-8A04-057FA8BF3FE2}"/>
    <hyperlink ref="O187" r:id="rId126" xr:uid="{A33F3CBA-41F6-441D-8EF4-3857BFDE819A}"/>
    <hyperlink ref="O188" r:id="rId127" xr:uid="{F9F60B8F-5545-4AF1-A9AC-E8953C2724EE}"/>
    <hyperlink ref="O189" r:id="rId128" xr:uid="{675542B7-DE20-4BB9-8D6C-E10CCCB7365B}"/>
    <hyperlink ref="O190" r:id="rId129" xr:uid="{51DA174B-70C5-4C47-AA81-CACE1B4C3EF2}"/>
    <hyperlink ref="O192" r:id="rId130" xr:uid="{45851AD4-BDB7-4EA1-A0FB-4CED172F1757}"/>
    <hyperlink ref="O191" r:id="rId131" xr:uid="{16368791-BD32-4A33-8C93-99CCC2C14046}"/>
    <hyperlink ref="O193" r:id="rId132" xr:uid="{6EAE2DF0-1478-4CAC-8D86-1DEEEEB7254F}"/>
    <hyperlink ref="O194" r:id="rId133" xr:uid="{01F2237E-AEC6-4D88-8A89-8634A2FEF68B}"/>
    <hyperlink ref="O196" r:id="rId134" xr:uid="{8FDB5607-D37A-4598-A35A-93CF839AB240}"/>
    <hyperlink ref="O197" r:id="rId135" xr:uid="{5112C44B-C463-48AA-AAA5-E3C0C3DDA557}"/>
    <hyperlink ref="O198" r:id="rId136" xr:uid="{70B972F3-660C-42C2-A91D-A97F0EC35202}"/>
    <hyperlink ref="O199" r:id="rId137" xr:uid="{8D681CB7-C363-4BAF-8F02-CC288BFA0828}"/>
    <hyperlink ref="O202" r:id="rId138" xr:uid="{CF168E24-2763-4515-92D9-591B74EA0467}"/>
    <hyperlink ref="O200" r:id="rId139" xr:uid="{195DC83A-2C12-4E07-8C66-A256573FD4E6}"/>
    <hyperlink ref="O203" r:id="rId140" xr:uid="{D53496B5-08B2-4035-A75F-82D35FB9762D}"/>
    <hyperlink ref="O204" r:id="rId141" xr:uid="{F2AC9E43-9FE1-497B-A357-EF763ED41F12}"/>
    <hyperlink ref="O205" r:id="rId142" xr:uid="{AF4D80AE-624F-430C-8AAE-BDBD88605610}"/>
    <hyperlink ref="O206" r:id="rId143" xr:uid="{F1028E17-EED2-40DD-9976-65434CAE72B2}"/>
    <hyperlink ref="O209" r:id="rId144" xr:uid="{9B4F7633-28CE-43E4-89E8-6675F2B9F800}"/>
    <hyperlink ref="O208" r:id="rId145" xr:uid="{F945E66C-FDDE-491B-9B93-FA103BBE1536}"/>
    <hyperlink ref="O207" r:id="rId146" xr:uid="{9274E6D5-34CA-4D90-8A8B-7151F2664F09}"/>
    <hyperlink ref="O210" r:id="rId147" xr:uid="{BA538BDE-CAEE-4903-B8FA-7E45C88ABF70}"/>
    <hyperlink ref="O211" r:id="rId148" xr:uid="{E1032FA9-70F7-442A-952C-842BB1C48158}"/>
    <hyperlink ref="O213" r:id="rId149" xr:uid="{8DCD5BBC-F5C4-41C1-8644-6E270E993EC1}"/>
    <hyperlink ref="O214" r:id="rId150" xr:uid="{7682F7E0-6458-4D7A-B7CB-66457688305B}"/>
    <hyperlink ref="O215" r:id="rId151" xr:uid="{090394D8-BC91-4698-8593-E8BE9DB3543A}"/>
    <hyperlink ref="O216" r:id="rId152" xr:uid="{E986EA3A-1FE3-4FE4-B128-3C4AE7B72702}"/>
    <hyperlink ref="O217" r:id="rId153" xr:uid="{04FEAC8B-7403-4EE7-AD38-AE6B2246E08E}"/>
    <hyperlink ref="O218" r:id="rId154" xr:uid="{39C8D8FE-B1F0-45A3-8BF1-8D5180CAB38D}"/>
    <hyperlink ref="O219" r:id="rId155" xr:uid="{D429AFA5-345E-44CE-8CA7-1B174D7AD528}"/>
    <hyperlink ref="O220" r:id="rId156" xr:uid="{9EBA041A-77AA-499D-A018-0E9262845AD7}"/>
    <hyperlink ref="O221" r:id="rId157" xr:uid="{30E55F87-E4CC-443C-AC6B-3B7086D9E36B}"/>
    <hyperlink ref="O222" r:id="rId158" xr:uid="{284361B9-8B92-4BE7-89B8-A8B7FAA73D9A}"/>
    <hyperlink ref="O223" r:id="rId159" xr:uid="{17DF53B8-C949-4FEC-83FE-A7A0CEA35DF7}"/>
    <hyperlink ref="O224" r:id="rId160" xr:uid="{DE9B8B0C-92DA-47CF-92CC-A3F3FA2814AB}"/>
    <hyperlink ref="O225" r:id="rId161" xr:uid="{759FBFB5-13F3-430A-AF0C-44695E0CC66E}"/>
    <hyperlink ref="O226" r:id="rId162" xr:uid="{29117FCC-695E-4B34-A725-617ECFFDCD3D}"/>
    <hyperlink ref="O227" r:id="rId163" xr:uid="{C7A78D97-0F90-4660-8E31-F4B19B365A1F}"/>
    <hyperlink ref="O228" r:id="rId164" xr:uid="{CE1FB5F6-5D8C-4E67-B56C-487DF0A7B72D}"/>
    <hyperlink ref="O229" r:id="rId165" xr:uid="{6813D0F4-8932-499A-8FF1-DCCA3FF03552}"/>
    <hyperlink ref="O230" r:id="rId166" xr:uid="{78566088-2967-48C6-8BED-28033108FE06}"/>
    <hyperlink ref="O231" r:id="rId167" xr:uid="{BF4BC2A6-2A43-4134-9103-412F19DAEB76}"/>
    <hyperlink ref="O232" r:id="rId168" xr:uid="{83B86697-6EF0-4EA9-92FB-6E1990182777}"/>
    <hyperlink ref="O233" r:id="rId169" xr:uid="{07CB8809-4341-4366-B425-F564A5DB54DC}"/>
    <hyperlink ref="O234" r:id="rId170" xr:uid="{6C4BD825-C9F6-4F65-BBD4-89F9B9DB4DD9}"/>
    <hyperlink ref="O235" r:id="rId171" xr:uid="{FC6EA75F-8AAE-43A8-AEF0-C6E6BDF98C63}"/>
    <hyperlink ref="O236" r:id="rId172" xr:uid="{7C0044A0-7CAA-47C5-889A-481F13667541}"/>
    <hyperlink ref="O237" r:id="rId173" xr:uid="{3B56CE81-03F8-49DC-B3D5-23A695E867B9}"/>
    <hyperlink ref="O238" r:id="rId174" xr:uid="{776424B5-079F-4E0C-9F98-F816625B4FB9}"/>
    <hyperlink ref="O239" r:id="rId175" xr:uid="{E0D87546-3A3B-4FDE-A5A3-F2514CE45764}"/>
    <hyperlink ref="O240" r:id="rId176" xr:uid="{E795DDD4-07B1-4C48-A80E-F03D12827CA4}"/>
    <hyperlink ref="O241" r:id="rId177" xr:uid="{88539DC1-E483-4326-805E-E355FCC633E6}"/>
    <hyperlink ref="O242" r:id="rId178" xr:uid="{2954AC5A-D962-4A87-AE46-02C4406B2E8B}"/>
    <hyperlink ref="O243" r:id="rId179" xr:uid="{C4E77E73-0601-49B2-973A-A9BED519F578}"/>
    <hyperlink ref="O244" r:id="rId180" xr:uid="{8733D329-558A-47B3-885C-939E60FC73A7}"/>
    <hyperlink ref="O245" r:id="rId181" xr:uid="{7B8E93DF-8A2B-473B-8103-361FD69012EE}"/>
    <hyperlink ref="O246" r:id="rId182" xr:uid="{9AA82FF2-9313-4CDA-ABEA-E5523DD4E76B}"/>
    <hyperlink ref="O247" r:id="rId183" xr:uid="{DEACC71C-BC53-4CE2-A9BE-C7B716821063}"/>
    <hyperlink ref="O248" r:id="rId184" xr:uid="{4C16C5FD-E2D9-4156-9B7B-E8524C7CA9B6}"/>
    <hyperlink ref="O249" r:id="rId185" xr:uid="{DBAA26D8-AE11-4E04-946B-1F4E443ED3D6}"/>
    <hyperlink ref="O250" r:id="rId186" xr:uid="{FCF6CE00-4371-4637-8486-F12BC20F74EB}"/>
    <hyperlink ref="O251" r:id="rId187" xr:uid="{127406E5-F7CB-4190-BEC0-590782C6127F}"/>
    <hyperlink ref="O252" r:id="rId188" xr:uid="{6D630C0F-D862-4127-A05D-655D6C15ECF6}"/>
    <hyperlink ref="O253" r:id="rId189" xr:uid="{AA596E88-331C-42C0-B75C-33F2803E7789}"/>
    <hyperlink ref="O254" r:id="rId190" xr:uid="{504EA279-2D6A-477B-BA05-2852EBE30892}"/>
    <hyperlink ref="O255" r:id="rId191" xr:uid="{1A35052C-2061-4D63-AE3F-87277B277484}"/>
    <hyperlink ref="O256" r:id="rId192" xr:uid="{BB994FD1-E79A-4D58-A957-40E3EAFB76C9}"/>
    <hyperlink ref="O257" r:id="rId193" xr:uid="{B50A6B05-59ED-47B1-9841-E3EEDEB11142}"/>
    <hyperlink ref="O258" r:id="rId194" xr:uid="{A2A430A0-FBB4-4544-9D57-E28FE2000CBA}"/>
    <hyperlink ref="O259" r:id="rId195" xr:uid="{EDCF2DA0-0EAA-4134-8D5B-19B368E73EF2}"/>
    <hyperlink ref="O260" r:id="rId196" xr:uid="{B2DCE68A-3FCD-476B-8197-186D14F10E8D}"/>
    <hyperlink ref="O261" r:id="rId197" xr:uid="{74CC2751-AA6C-4211-9E78-BE708303F3E4}"/>
    <hyperlink ref="O262" r:id="rId198" xr:uid="{844A6153-B990-4AA8-AC2A-25043C3BA3DB}"/>
    <hyperlink ref="O263" r:id="rId199" xr:uid="{55C31AA5-D511-4C5A-AAF4-8B4C026DAF52}"/>
    <hyperlink ref="O264" r:id="rId200" xr:uid="{9F3B4696-6969-4C6F-8EA5-42D51CBCA3E7}"/>
    <hyperlink ref="O265" r:id="rId201" xr:uid="{82A22892-D33C-4809-94EF-DE016AAF8B77}"/>
    <hyperlink ref="O266" r:id="rId202" xr:uid="{9D010626-8DA8-40B5-8D37-AE7863657ACC}"/>
    <hyperlink ref="O267" r:id="rId203" xr:uid="{EE81EB44-8625-4BE8-80C7-E161849287B4}"/>
    <hyperlink ref="O268" r:id="rId204" xr:uid="{2D9068F4-7A2E-42F2-9A37-4C04F352988A}"/>
    <hyperlink ref="O269" r:id="rId205" xr:uid="{33DDE185-A4D3-4276-8AED-B7E7459C9979}"/>
    <hyperlink ref="O270" r:id="rId206" xr:uid="{E61CB9FD-5155-4DEB-997B-F102C3E74E73}"/>
    <hyperlink ref="O271" r:id="rId207" xr:uid="{7757EF6B-A27D-45B3-B4BD-C261AA8A0FFA}"/>
    <hyperlink ref="O272" r:id="rId208" xr:uid="{7BB992D5-69E0-4061-855D-36809274FD05}"/>
    <hyperlink ref="O274" r:id="rId209" xr:uid="{F6B4C735-1A63-42FC-A38A-C237A98DD907}"/>
    <hyperlink ref="O275" r:id="rId210" xr:uid="{396DD461-76F5-4AF8-9C88-0EE730548E7A}"/>
    <hyperlink ref="O276" r:id="rId211" xr:uid="{1455B340-D61D-4117-BE16-8B23C28EE979}"/>
    <hyperlink ref="O278" r:id="rId212" xr:uid="{CB146688-5CD7-4180-9D6D-0853AC1F46D7}"/>
    <hyperlink ref="O277" r:id="rId213" xr:uid="{B0F93CF1-FFFC-4D38-8C8E-DBD6E1AF3B05}"/>
    <hyperlink ref="O279" r:id="rId214" xr:uid="{5DFA8D40-EF50-46AC-9EED-CF88899A90A5}"/>
    <hyperlink ref="O280" r:id="rId215" xr:uid="{87D79792-A861-45F3-B5A8-643C58669062}"/>
    <hyperlink ref="O281" r:id="rId216" xr:uid="{FEA50D4D-6F10-4699-8183-000C21CE7D22}"/>
    <hyperlink ref="O282" r:id="rId217" xr:uid="{929F869D-FA0C-44E1-BFAF-A7AFC2B40BE3}"/>
    <hyperlink ref="O283" r:id="rId218" xr:uid="{73A25294-E072-4292-896E-E5B68A57C5B6}"/>
    <hyperlink ref="O284" r:id="rId219" xr:uid="{0BB4EBF3-8A7B-4A1C-B5EE-8504D9A8A89A}"/>
    <hyperlink ref="O285" r:id="rId220" xr:uid="{A5CB7275-A1B8-41ED-A3C4-761EA5D816B9}"/>
    <hyperlink ref="O286" r:id="rId221" xr:uid="{9CA7D9A0-2D4A-42B3-87A3-773639BE5C0F}"/>
    <hyperlink ref="O287" r:id="rId222" xr:uid="{EDBF7571-3C98-4F97-AE29-E4EF50B88F23}"/>
    <hyperlink ref="O288" r:id="rId223" xr:uid="{6CB717BD-E560-4F34-A01D-6EE337E3BCDE}"/>
    <hyperlink ref="O289" r:id="rId224" xr:uid="{C05FFB0E-BC65-4843-9AC4-C61ACB0BB5F6}"/>
    <hyperlink ref="O290" r:id="rId225" xr:uid="{7E81F004-5EAB-45C6-A696-69850C9F6AC3}"/>
    <hyperlink ref="O291" r:id="rId226" xr:uid="{16A950AE-8160-458E-8260-8FBB10EF93BD}"/>
    <hyperlink ref="O292" r:id="rId227" xr:uid="{547486A1-FBA9-4019-9913-8785D15B6A94}"/>
    <hyperlink ref="O293" r:id="rId228" xr:uid="{8032381E-2751-437F-9E9B-CC92DA4DB583}"/>
    <hyperlink ref="O294" r:id="rId229" xr:uid="{66564F0E-EC0F-4AC2-BAF7-FC7B67A77F9D}"/>
    <hyperlink ref="O295" r:id="rId230" xr:uid="{125F76F6-3836-48B5-B3D8-39CCCF8A282C}"/>
    <hyperlink ref="O296" r:id="rId231" xr:uid="{CDCB856C-1E34-4C5D-8879-E20E07D8010B}"/>
    <hyperlink ref="O297" r:id="rId232" xr:uid="{DE3F7C92-D59C-4DBA-BC03-3631F36E0CF0}"/>
    <hyperlink ref="O298" r:id="rId233" xr:uid="{848EB9A2-3162-4CB3-A85A-689B260D61EF}"/>
    <hyperlink ref="O299" r:id="rId234" xr:uid="{5B94885D-CEF9-4519-A64C-983753B80F91}"/>
    <hyperlink ref="O300" r:id="rId235" xr:uid="{41DCE5A4-B799-4F42-8192-8C5B8E326856}"/>
    <hyperlink ref="O301" r:id="rId236" xr:uid="{B8E9EE1A-3396-4EDE-BC46-32B532D88707}"/>
    <hyperlink ref="O302" r:id="rId237" xr:uid="{73EACFFE-6552-453A-B75F-32C7F429AB1D}"/>
    <hyperlink ref="O303" r:id="rId238" xr:uid="{E3A57749-57F7-4F71-ACDC-F0E2F425523D}"/>
    <hyperlink ref="O304" r:id="rId239" xr:uid="{ED2BA214-05A9-4C5B-BA55-659D7F521C1E}"/>
    <hyperlink ref="O305" r:id="rId240" xr:uid="{AFBAAC2A-A284-430C-B50B-6CF53B070400}"/>
    <hyperlink ref="O306" r:id="rId241" xr:uid="{C6476774-3A1F-4C95-B132-EBB1C32812FD}"/>
    <hyperlink ref="O307" r:id="rId242" xr:uid="{1DCE6423-54E4-4A7C-A4A5-AB981E63976A}"/>
    <hyperlink ref="O308" r:id="rId243" xr:uid="{7679412D-D94D-4A4E-BDF1-99395BCADB7E}"/>
    <hyperlink ref="O309" r:id="rId244" xr:uid="{B3F0A6F6-8ED8-4FFA-B5D8-616D7699E9FD}"/>
    <hyperlink ref="O310" r:id="rId245" xr:uid="{BF7DD493-F77F-4C64-ABCF-8670A6BA3331}"/>
    <hyperlink ref="O311" r:id="rId246" xr:uid="{3A605C85-C677-4B95-BEBC-A3B5ABBD6801}"/>
    <hyperlink ref="O312" r:id="rId247" xr:uid="{83DD8C70-E241-4809-8014-A37D26A9B98C}"/>
    <hyperlink ref="O313" r:id="rId248" xr:uid="{1847C453-2CAF-4A27-9657-07BD2359E7A7}"/>
    <hyperlink ref="O314" r:id="rId249" xr:uid="{28025596-40DE-4DF1-BD81-7528864527CD}"/>
    <hyperlink ref="O315" r:id="rId250" xr:uid="{7C4034AB-41BC-4D6A-8583-976A10C8A4B5}"/>
    <hyperlink ref="O316" r:id="rId251" xr:uid="{6272056E-F156-44B5-B1B0-E55570DBA0D3}"/>
    <hyperlink ref="O317" r:id="rId252" xr:uid="{2C0F4E2F-2499-4398-B17F-FCDC7C4C5AFE}"/>
    <hyperlink ref="O318" r:id="rId253" xr:uid="{1AC7B5A8-8AC2-4E7B-8C38-98BD071101B4}"/>
    <hyperlink ref="O319" r:id="rId254" xr:uid="{953E3F3B-DCDA-417D-B594-AA6351539F19}"/>
    <hyperlink ref="O320" r:id="rId255" xr:uid="{296E9776-5A62-487E-BB18-5541F2E49885}"/>
    <hyperlink ref="O321" r:id="rId256" xr:uid="{729AEFCA-FDE2-465C-AFB9-173D24BBE50E}"/>
    <hyperlink ref="O322" r:id="rId257" xr:uid="{20985323-CACB-4302-B96D-B3CDBCE749AF}"/>
    <hyperlink ref="O323" r:id="rId258" xr:uid="{B7CA1337-C6F2-4990-915D-DB8571E79FA3}"/>
    <hyperlink ref="O324" r:id="rId259" xr:uid="{7929F7BF-49A9-4EC6-941A-E687FF360E38}"/>
    <hyperlink ref="O325" r:id="rId260" xr:uid="{53C7DF78-BFDD-4D31-B384-055E2139C2CB}"/>
    <hyperlink ref="O326" r:id="rId261" xr:uid="{DB6FBF22-0981-450B-9BBA-3EF44AC10199}"/>
    <hyperlink ref="O327" r:id="rId262" xr:uid="{BB7D2AEA-0AF8-489A-9CC2-4D8600761188}"/>
    <hyperlink ref="O328" r:id="rId263" xr:uid="{8038426D-9D91-4239-8A0A-A15F284AD7A9}"/>
    <hyperlink ref="O329" r:id="rId264" xr:uid="{665104AD-EC35-4C63-97EB-976B53C20224}"/>
    <hyperlink ref="O330" r:id="rId265" xr:uid="{DF113045-55BB-47CD-926C-E9A4BD9801D5}"/>
    <hyperlink ref="O331" r:id="rId266" xr:uid="{25018CEC-863E-4FC8-914E-27DE1B95F026}"/>
    <hyperlink ref="O332" r:id="rId267" xr:uid="{1AA4ECFB-3BC3-4F41-8FC9-9D3138759E37}"/>
    <hyperlink ref="O333" r:id="rId268" xr:uid="{3E08D1C4-5EC1-41D2-BDC0-1B6A6D2383C2}"/>
    <hyperlink ref="O334" r:id="rId269" xr:uid="{698EF75B-058B-4D50-95E3-0479F5AF9421}"/>
    <hyperlink ref="O335" r:id="rId270" xr:uid="{0E53FCE0-A890-4B2F-98A7-CA662662D508}"/>
    <hyperlink ref="O336" r:id="rId271" xr:uid="{E97FDDD1-B15C-475A-AE91-D98ADA03E383}"/>
    <hyperlink ref="O337" r:id="rId272" xr:uid="{BAA974F0-93A8-4A43-ACCD-B2DEBFB4A838}"/>
    <hyperlink ref="O338" r:id="rId273" xr:uid="{36D4073C-4879-4340-A9A0-1AB2D570A182}"/>
    <hyperlink ref="O339" r:id="rId274" xr:uid="{925D27B0-25E4-4D50-89BE-369CEDFD02DB}"/>
    <hyperlink ref="O340" r:id="rId275" xr:uid="{0DD6879A-41B6-4DEE-B72F-70DBBC75E033}"/>
    <hyperlink ref="O341" r:id="rId276" xr:uid="{12F58819-71F3-4B04-84D9-4B0135D69FCB}"/>
    <hyperlink ref="O342" r:id="rId277" xr:uid="{118931A3-7BBC-4E81-9E12-4E66AE0CF3F7}"/>
    <hyperlink ref="O343" r:id="rId278" xr:uid="{A24B1F16-0972-4EB1-8B54-289A78CFA625}"/>
    <hyperlink ref="O344" r:id="rId279" xr:uid="{FB0757D0-1B14-45CD-BAC3-E01356CEDE74}"/>
    <hyperlink ref="O345" r:id="rId280" xr:uid="{B0D2D095-BDBC-4F7B-A1FA-3D5E01412E6B}"/>
    <hyperlink ref="O346" r:id="rId281" xr:uid="{7CBAF626-5048-4D67-B7B3-BA76145EEE01}"/>
    <hyperlink ref="O347" r:id="rId282" xr:uid="{41887591-1D62-41A0-971C-58FA37C4661A}"/>
    <hyperlink ref="O348" r:id="rId283" xr:uid="{03EF4AEE-CF30-4B0D-B8DD-D0B338F12DA0}"/>
    <hyperlink ref="O349" r:id="rId284" xr:uid="{CA1D5E30-87C3-4275-85A0-367B1803570F}"/>
    <hyperlink ref="O350" r:id="rId285" xr:uid="{F5823CA2-B37D-4488-BBAB-1A6ABA99F263}"/>
    <hyperlink ref="O351" r:id="rId286" xr:uid="{580A507F-1158-4150-9F6C-21EFFFD790E6}"/>
    <hyperlink ref="O352" r:id="rId287" xr:uid="{C9D4BDBE-9FD3-4BE4-A064-FF678F514964}"/>
    <hyperlink ref="O354" r:id="rId288" xr:uid="{E1E87BA4-A0B6-443D-8332-0764E773092A}"/>
    <hyperlink ref="O355" r:id="rId289" xr:uid="{D9A1F99F-0C68-4520-9749-30B3E2CF524C}"/>
    <hyperlink ref="O356" r:id="rId290" xr:uid="{7E756248-FFEB-4A6A-9D66-32AC044EF8EF}"/>
    <hyperlink ref="O357" r:id="rId291" xr:uid="{E8952CD8-E55E-4C12-BD06-588D9F7941C0}"/>
    <hyperlink ref="O358" r:id="rId292" xr:uid="{8BE69221-0C9A-45C8-8BB9-A9EF1076CBD5}"/>
    <hyperlink ref="O359" r:id="rId293" xr:uid="{122F2400-38AA-4012-B11D-BE20DFCA3883}"/>
    <hyperlink ref="O360" r:id="rId294" xr:uid="{557C57D0-9501-4C25-9FB8-07794C20C9AC}"/>
    <hyperlink ref="O361" r:id="rId295" xr:uid="{1D67EA85-FD68-4B07-AD70-DC1A7A528349}"/>
    <hyperlink ref="O362" r:id="rId296" xr:uid="{AA14C250-A119-42DE-A7C0-3D5E86EDB97E}"/>
    <hyperlink ref="O363" r:id="rId297" xr:uid="{506C0D4D-3E0B-4D78-B1F6-0898EA778739}"/>
    <hyperlink ref="O364" r:id="rId298" xr:uid="{D40A03D1-9185-4E17-9C83-0C2A1F76A8C2}"/>
    <hyperlink ref="O365" r:id="rId299" xr:uid="{4504F9C4-1A93-4373-8719-EB93E1C067DE}"/>
    <hyperlink ref="O366" r:id="rId300" xr:uid="{E74895EC-61D2-4C31-B682-2FFEA2F22725}"/>
    <hyperlink ref="O367" r:id="rId301" xr:uid="{6E57FCAD-46FA-4D42-8D18-BEDCD627D095}"/>
    <hyperlink ref="O368" r:id="rId302" xr:uid="{11967B80-90A1-415F-9043-B6FB86F6F5F5}"/>
    <hyperlink ref="O369" r:id="rId303" xr:uid="{E240630E-4484-4929-A65E-A4F6F5B7B212}"/>
    <hyperlink ref="O370" r:id="rId304" xr:uid="{6BC8787D-54F8-48B8-B9B6-EB8B8A361FE9}"/>
    <hyperlink ref="O372" r:id="rId305" xr:uid="{1510801A-4367-49DC-9970-96BA2EC1773B}"/>
    <hyperlink ref="O371" r:id="rId306" xr:uid="{C646A783-9545-4E5A-B6D4-496FA1963CED}"/>
    <hyperlink ref="O373" r:id="rId307" xr:uid="{CB2E6095-D46A-4E0F-A669-34CF275EDDF4}"/>
    <hyperlink ref="O374" r:id="rId308" xr:uid="{E616DE95-9CDC-4ED0-8C84-00566587AD50}"/>
    <hyperlink ref="O375" r:id="rId309" xr:uid="{2A9C2624-CC4F-4A8B-9CAB-6E492046D3A2}"/>
    <hyperlink ref="O376" r:id="rId310" xr:uid="{E7B06033-2793-42FF-B638-0692E886A787}"/>
    <hyperlink ref="O377" r:id="rId311" xr:uid="{2CEBD083-3D68-4CBC-A14A-0A5EDF5CFB46}"/>
    <hyperlink ref="O378" r:id="rId312" xr:uid="{636E4F2B-2BE0-4A61-87C1-FE0B216FE80C}"/>
    <hyperlink ref="O379" r:id="rId313" xr:uid="{DE934027-86E2-409C-90E4-58976BDA4CCE}"/>
    <hyperlink ref="O380" r:id="rId314" xr:uid="{7B5FE280-D7C7-4B93-A511-C5AB22BEE786}"/>
    <hyperlink ref="O381" r:id="rId315" xr:uid="{0B951CAA-B823-44D8-BCDF-B2B4C772DB4C}"/>
    <hyperlink ref="O382" r:id="rId316" xr:uid="{7B8793A6-404D-461D-A729-2CF88ABD3FD0}"/>
    <hyperlink ref="O383" r:id="rId317" xr:uid="{8ECDD834-2F8E-46B7-8601-7F5686526579}"/>
    <hyperlink ref="O384" r:id="rId318" xr:uid="{2B24E340-B586-4898-9F42-D2F6B6E7849D}"/>
    <hyperlink ref="O385" r:id="rId319" xr:uid="{0AC32D11-9ED2-404A-BC7E-5AF3D3AADA30}"/>
    <hyperlink ref="O386" r:id="rId320" xr:uid="{09127B43-BFBA-4CBA-9533-812C6B560D43}"/>
    <hyperlink ref="O387" r:id="rId321" xr:uid="{49F558D6-19FC-46E5-B8D8-B30B369296CF}"/>
    <hyperlink ref="O388" r:id="rId322" xr:uid="{D5051A9A-237B-4F80-9888-015D22DF7B29}"/>
    <hyperlink ref="O389" r:id="rId323" xr:uid="{76310FA5-1370-4B54-B81D-71D9F2CAF68E}"/>
    <hyperlink ref="O390" r:id="rId324" xr:uid="{B56CC87F-3508-4523-A42B-E314B2A901DC}"/>
    <hyperlink ref="O391" r:id="rId325" xr:uid="{07003256-DE77-4353-983F-291AA822157B}"/>
    <hyperlink ref="O392" r:id="rId326" xr:uid="{866CAD7D-1699-4E75-A828-ADC6B5203D23}"/>
    <hyperlink ref="O393" r:id="rId327" xr:uid="{82939BC8-DBD3-492D-9FDD-60CF38EF5C8F}"/>
    <hyperlink ref="O394" r:id="rId328" xr:uid="{78FDF584-C2D6-444C-A3F3-B79FBD2825C4}"/>
    <hyperlink ref="O396" r:id="rId329" xr:uid="{0F47C072-8CC0-40E6-A6AC-694F9B0F2516}"/>
    <hyperlink ref="O395" r:id="rId330" xr:uid="{6506FC43-95A7-40C1-AB0B-1D20D39313EC}"/>
    <hyperlink ref="O398" r:id="rId331" xr:uid="{9FBD1605-D090-4417-97C6-71684601EC15}"/>
    <hyperlink ref="O397" r:id="rId332" xr:uid="{D025A2BD-8A23-475C-8D0D-E193DB5F0CC7}"/>
    <hyperlink ref="O399" r:id="rId333" xr:uid="{CFE7194A-7026-47F9-B1F6-B061EE1E0782}"/>
    <hyperlink ref="O400" r:id="rId334" xr:uid="{A699953A-F4D2-4479-BFC9-ADE56E795DFF}"/>
    <hyperlink ref="O401" r:id="rId335" xr:uid="{1DDF07BD-FD13-4B27-B783-35D4B9E8E071}"/>
    <hyperlink ref="O402" r:id="rId336" xr:uid="{667FC4B7-CC7F-4E0D-B013-7B64913F8E0B}"/>
    <hyperlink ref="O403" r:id="rId337" xr:uid="{5886DC60-9DD1-4033-8EA8-5F29C96AB030}"/>
    <hyperlink ref="O404" r:id="rId338" xr:uid="{0343E3E9-AE4B-487A-8F37-A3CB4CDF0E40}"/>
    <hyperlink ref="O405" r:id="rId339" xr:uid="{76BCF87B-B6DB-4DE3-9CA7-D77826CAA032}"/>
    <hyperlink ref="O407" r:id="rId340" xr:uid="{4E6205B6-6137-4708-8C08-9319D0BA968E}"/>
    <hyperlink ref="O408" r:id="rId341" xr:uid="{FC79BAAC-05F5-4534-9C2D-63F933D21A3E}"/>
    <hyperlink ref="O409" r:id="rId342" xr:uid="{D316BA41-15DF-47B6-AE8E-A37821719BD3}"/>
    <hyperlink ref="O410" r:id="rId343" xr:uid="{6218B00E-06CB-45BC-94D6-6BB903CB983C}"/>
    <hyperlink ref="O412" r:id="rId344" xr:uid="{E1D19724-5037-4D4C-993D-334F1A00AD43}"/>
    <hyperlink ref="O411" r:id="rId345" xr:uid="{F6F117EF-80CC-4ABE-8C9C-DD603EAAD12F}"/>
    <hyperlink ref="O413" r:id="rId346" xr:uid="{3F823A10-7A0E-42A7-9B19-64936292991B}"/>
    <hyperlink ref="O414" r:id="rId347" xr:uid="{3BB609CE-AD14-4670-86D6-557DD91E2B11}"/>
    <hyperlink ref="O406" r:id="rId348" xr:uid="{05A99F48-7603-47E2-9ED1-EB3DCB3A99EB}"/>
    <hyperlink ref="O416" r:id="rId349" xr:uid="{0901F2AD-F9D8-42B2-8AD2-CFDD84683543}"/>
    <hyperlink ref="O417" r:id="rId350" xr:uid="{6EEEB37F-448A-4CC0-BDC5-20429AF6F678}"/>
    <hyperlink ref="O418" r:id="rId351" xr:uid="{5C80FB6F-3019-4D52-90FC-46C2CC21B15B}"/>
    <hyperlink ref="O419" r:id="rId352" xr:uid="{331240E7-8746-4143-9AA0-FFFD6BB467B3}"/>
    <hyperlink ref="O420" r:id="rId353" xr:uid="{587DA636-F7FC-48FF-9581-BE2FBD58B08C}"/>
    <hyperlink ref="O421" r:id="rId354" xr:uid="{BDFE0B79-2427-4D7D-9FB2-905F08ABC7CF}"/>
    <hyperlink ref="O422" r:id="rId355" xr:uid="{E7B8AFCA-D14A-4A98-80F6-430607C50A81}"/>
    <hyperlink ref="O423" r:id="rId356" xr:uid="{DBC4AA9E-C407-4F08-867E-DB9B170C0693}"/>
    <hyperlink ref="O424" r:id="rId357" xr:uid="{F72D1911-9E9D-40CC-92E7-05941D6A3F97}"/>
    <hyperlink ref="O425" r:id="rId358" xr:uid="{74F8652C-6951-4E30-86C6-A75AC7663D9B}"/>
    <hyperlink ref="O426" r:id="rId359" xr:uid="{391CDB09-C85F-43B2-9C3F-7690E3DBD545}"/>
    <hyperlink ref="O427" r:id="rId360" xr:uid="{17F87AD4-E422-44C4-A101-B647BC12F434}"/>
    <hyperlink ref="O428" r:id="rId361" xr:uid="{52AC9250-04A2-44BA-B8BB-E39D63E9A2D0}"/>
    <hyperlink ref="O431" r:id="rId362" xr:uid="{22B81B9A-6585-437F-BEEC-412BA9C4BA41}"/>
    <hyperlink ref="O430" r:id="rId363" xr:uid="{0C6A4DCF-C254-4629-96F5-9C09A30B7A8F}"/>
    <hyperlink ref="O432" r:id="rId364" xr:uid="{FD932C33-B6AE-45B7-BCDD-4048AD5A185D}"/>
    <hyperlink ref="O433" r:id="rId365" xr:uid="{28CE4565-5887-4067-B110-C3D8B88D322C}"/>
    <hyperlink ref="O434" r:id="rId366" xr:uid="{F5B6AE05-47F9-4EF2-A800-B206103B412E}"/>
    <hyperlink ref="O436" r:id="rId367" xr:uid="{2709A82C-A76A-48A4-AAE5-9D77F8E4AFA1}"/>
    <hyperlink ref="O435" r:id="rId368" xr:uid="{4915A714-A565-42AF-88B2-4048CB939B40}"/>
    <hyperlink ref="O437" r:id="rId369" xr:uid="{64E8D1BE-DE9B-4113-AC67-48BB4BF747C2}"/>
    <hyperlink ref="O438" r:id="rId370" xr:uid="{29B3CDED-730C-403A-9D5E-3AB82DE8F0DC}"/>
    <hyperlink ref="O440" r:id="rId371" xr:uid="{EDA7DF0D-15BE-4E9A-BDB7-CF7B37ED32EC}"/>
    <hyperlink ref="O441" r:id="rId372" xr:uid="{EE3FB748-EE35-43D0-9E45-6C3885EE4367}"/>
    <hyperlink ref="O442" r:id="rId373" xr:uid="{61FF9A18-EE94-47E4-B4C2-15FB18716D2B}"/>
    <hyperlink ref="O443" r:id="rId374" xr:uid="{6216E09E-9421-4A43-80D5-A9D442B52C71}"/>
    <hyperlink ref="O444" r:id="rId375" xr:uid="{D7849AFE-B203-4F82-87BA-9A4EB82B0ED0}"/>
    <hyperlink ref="O445" r:id="rId376" xr:uid="{E881E42E-766E-42E9-AD62-34870EC32548}"/>
    <hyperlink ref="O446" r:id="rId377" xr:uid="{F39A9181-9EF2-4E42-9734-14E7FC486C6E}"/>
    <hyperlink ref="O447" r:id="rId378" xr:uid="{0B44A8C1-B893-4790-8CB1-962C21D67B7B}"/>
    <hyperlink ref="O448" r:id="rId379" xr:uid="{E1CED65F-FCF0-4189-AB7E-D5AD26BA191A}"/>
    <hyperlink ref="O449" r:id="rId380" xr:uid="{3C05F65C-024E-4343-8E33-59710BA48BD9}"/>
    <hyperlink ref="O450" r:id="rId381" xr:uid="{EE28DB8B-28DC-4979-BD1E-AFE76758E648}"/>
    <hyperlink ref="O452" r:id="rId382" xr:uid="{A1A0DAE8-D3B1-4AE4-B011-4D3683773EFE}"/>
    <hyperlink ref="O455" r:id="rId383" xr:uid="{FE8B3A27-3CDE-4D8A-9BEE-DF62F7FC59CA}"/>
    <hyperlink ref="O456" r:id="rId384" xr:uid="{825F249D-9439-4B64-AC4B-DA35D3473EE2}"/>
    <hyperlink ref="O457" r:id="rId385" xr:uid="{62C0FDD0-4E95-45D9-B3BB-AB561FE665E6}"/>
    <hyperlink ref="O451" r:id="rId386" xr:uid="{F9C23EEF-F17B-4F1D-84A7-031B917A0D41}"/>
    <hyperlink ref="O458" r:id="rId387" xr:uid="{978563F3-3C94-4B49-BA35-A00B125F494D}"/>
    <hyperlink ref="O459" r:id="rId388" xr:uid="{2B33B2AB-01FD-412C-AD15-0CE736426703}"/>
    <hyperlink ref="O460" r:id="rId389" xr:uid="{2EB68BCC-9FF8-48B7-8533-0B002AE3A2F3}"/>
    <hyperlink ref="O461" r:id="rId390" xr:uid="{9C3E3DD9-BC58-4BA8-BB75-32CE5CFEFAA7}"/>
    <hyperlink ref="O462" r:id="rId391" xr:uid="{14EB0D46-9686-45EF-BE8D-99D7C352C285}"/>
    <hyperlink ref="O463" r:id="rId392" xr:uid="{349E052D-487A-4590-9119-D8AC188C8B34}"/>
    <hyperlink ref="O464" r:id="rId393" xr:uid="{24E08384-3ADD-4235-A396-EC6D50CAC171}"/>
    <hyperlink ref="O465" r:id="rId394" xr:uid="{56B22478-B71D-4D84-B823-B7EF59675FA4}"/>
    <hyperlink ref="O466" r:id="rId395" xr:uid="{7F19C6DE-364D-4647-A99C-57C11AA37201}"/>
    <hyperlink ref="O467" r:id="rId396" xr:uid="{8CF0E3C7-5B1E-4647-A64F-A7C9857B9086}"/>
    <hyperlink ref="O468" r:id="rId397" xr:uid="{9A4532A2-6D2A-49DD-BB95-DDA34094BDE0}"/>
    <hyperlink ref="O469" r:id="rId398" xr:uid="{FCCA1DCB-0918-4EFD-9A77-19C3875FC9B7}"/>
    <hyperlink ref="O470" r:id="rId399" xr:uid="{A7C15260-7165-48F0-BEC1-F54336ABCF45}"/>
    <hyperlink ref="O471" r:id="rId400" xr:uid="{0A3DB411-ADA2-40A8-9846-B7993ED9E45D}"/>
    <hyperlink ref="O472" r:id="rId401" xr:uid="{5F0D3DD2-C1DD-46F5-8AFF-147A8C1EA124}"/>
    <hyperlink ref="O473" r:id="rId402" xr:uid="{9D825450-E4D4-441E-B4BE-EFE5C17D71A9}"/>
    <hyperlink ref="O474" r:id="rId403" xr:uid="{22F33B03-0A56-4006-81A3-4CF25137443A}"/>
    <hyperlink ref="O475" r:id="rId404" xr:uid="{CC621762-3A7A-4F51-B36F-1EE18E7FB4CA}"/>
    <hyperlink ref="O476" r:id="rId405" xr:uid="{076ACAC9-7E9C-468A-81DD-3A2986F28DFD}"/>
    <hyperlink ref="O477" r:id="rId406" xr:uid="{45C73139-E359-42AF-83B1-8E9B0F8130B1}"/>
    <hyperlink ref="O478" r:id="rId407" xr:uid="{93100D21-FEF9-43F1-ADE1-57DB6D8511FD}"/>
    <hyperlink ref="O479" r:id="rId408" xr:uid="{5924B244-9476-4EFC-9E8A-04EF1CABE3A6}"/>
    <hyperlink ref="O480" r:id="rId409" xr:uid="{57AEB419-FFB5-4E16-A83A-1F6A7597481F}"/>
    <hyperlink ref="O481" r:id="rId410" xr:uid="{427233D8-DB24-4FB3-852E-BCCE62CB33D2}"/>
    <hyperlink ref="O482" r:id="rId411" xr:uid="{03BD7838-1BA5-481A-AC75-BCB63192EDDF}"/>
    <hyperlink ref="O483" r:id="rId412" xr:uid="{D36D2842-A128-4E80-8097-63AAC07D87D4}"/>
    <hyperlink ref="O484" r:id="rId413" xr:uid="{7A2FB02B-92D8-4115-BDE4-855A1D85388F}"/>
    <hyperlink ref="O485" r:id="rId414" xr:uid="{5CC24309-CA37-4BF3-86CF-14C9B3AF4F4F}"/>
    <hyperlink ref="O486" r:id="rId415" xr:uid="{3D8A15E3-9FE8-4AB8-AD1D-F37787805006}"/>
    <hyperlink ref="O487" r:id="rId416" xr:uid="{A6836DA7-DC07-43D4-A872-C7F88F149CD0}"/>
    <hyperlink ref="O488" r:id="rId417" xr:uid="{9BE86316-1BFE-4DD4-85DD-243AA87C0CCF}"/>
    <hyperlink ref="O489" r:id="rId418" xr:uid="{434FAE54-6A66-468C-ABEA-6CE98284A890}"/>
    <hyperlink ref="O490" r:id="rId419" xr:uid="{C8534968-8127-4607-BB25-AC8993AF8FDC}"/>
    <hyperlink ref="O492" r:id="rId420" xr:uid="{AB275D5E-E4C8-4B1B-AA5B-A2B663AFAFA2}"/>
    <hyperlink ref="O493" r:id="rId421" xr:uid="{DC289FDD-4217-4463-80DC-EDFEC8E1F612}"/>
    <hyperlink ref="O494" r:id="rId422" xr:uid="{33269755-5CC2-477F-81DF-1833AA1EB692}"/>
    <hyperlink ref="O495" r:id="rId423" xr:uid="{2782AD1F-3555-45F2-AFFA-5FFE5594990C}"/>
    <hyperlink ref="O496" r:id="rId424" xr:uid="{7CAF8FE5-C212-4F9F-89A9-499840CDB3C0}"/>
    <hyperlink ref="O497" r:id="rId425" xr:uid="{C15631AC-0D37-4C11-A65C-B4D436BFC5D9}"/>
    <hyperlink ref="O498" r:id="rId426" xr:uid="{AA4F1C35-51BD-4B1E-96D5-36C80BC6D886}"/>
    <hyperlink ref="O499" r:id="rId427" xr:uid="{54F3E4D1-4820-494C-B249-84DAECE6AED3}"/>
    <hyperlink ref="O500" r:id="rId428" xr:uid="{53FE8C82-32C4-4234-846B-6440DFC5E5AC}"/>
    <hyperlink ref="O501" r:id="rId429" xr:uid="{DD15DD2D-9C4A-4A1E-8926-C9CA6CC83C76}"/>
    <hyperlink ref="O502" r:id="rId430" xr:uid="{1D6FF7F5-75B3-48BB-92D7-383CC4DA959E}"/>
    <hyperlink ref="O503" r:id="rId431" xr:uid="{BEC7D668-B72D-4CC8-AD53-34CEA4BC1D2B}"/>
    <hyperlink ref="O504" r:id="rId432" xr:uid="{9DE1F204-85C4-4334-BD9E-F679B4C51508}"/>
    <hyperlink ref="O505" r:id="rId433" xr:uid="{D71B25F3-869D-4F7D-8096-0DE6A2750C9E}"/>
    <hyperlink ref="O506" r:id="rId434" xr:uid="{BC7577C6-FEB3-4255-AC92-02D30C35476D}"/>
    <hyperlink ref="O507" r:id="rId435" xr:uid="{E4997DF3-DE9E-49F2-9744-85EB2A2ACD37}"/>
    <hyperlink ref="O508" r:id="rId436" xr:uid="{518AD013-C115-493C-A94B-2D991A931EDB}"/>
    <hyperlink ref="O509" r:id="rId437" xr:uid="{E846BFA6-B5E3-4EDF-8F1E-680AFB61392D}"/>
    <hyperlink ref="O510" r:id="rId438" xr:uid="{3384F3C7-0FA6-4209-B072-F9AE8A7287C4}"/>
    <hyperlink ref="O511" r:id="rId439" xr:uid="{4C07A666-3230-4CBD-B7C6-6C4F487D5985}"/>
    <hyperlink ref="O512" r:id="rId440" xr:uid="{86BB92EB-5C8A-4EFE-B8B1-1C5525DA12A5}"/>
    <hyperlink ref="O513" r:id="rId441" xr:uid="{26E880EC-27B8-4A4E-9F8D-FE7630DC8926}"/>
    <hyperlink ref="O514" r:id="rId442" xr:uid="{0AF6229C-4412-4BED-A7A3-D6477D9905C8}"/>
    <hyperlink ref="O515" r:id="rId443" xr:uid="{2577347B-D44D-425F-BEFB-2AD8109A0249}"/>
    <hyperlink ref="O516" r:id="rId444" xr:uid="{E5B039DB-2D0E-4455-8AF5-060A8084DC87}"/>
    <hyperlink ref="O517" r:id="rId445" xr:uid="{D7729DE6-5409-42C7-AE14-5CB3B2C7E941}"/>
    <hyperlink ref="O518" r:id="rId446" xr:uid="{499403E0-6C8A-4C67-85BA-832E7F4C8E9C}"/>
    <hyperlink ref="O520" r:id="rId447" xr:uid="{566BE7C1-3225-4ED5-88BB-50314F31B103}"/>
    <hyperlink ref="O519" r:id="rId448" xr:uid="{B1E07EA1-3993-460A-BFD6-AD562B3CD0F2}"/>
    <hyperlink ref="O521" r:id="rId449" xr:uid="{64635B23-EAAA-4000-8AF9-5E4DC09A782C}"/>
    <hyperlink ref="O523" r:id="rId450" xr:uid="{1E1CB875-3125-427D-AD70-5A882D619E18}"/>
    <hyperlink ref="O524" r:id="rId451" xr:uid="{5F177402-9EC4-49E7-9016-352A15B0F491}"/>
    <hyperlink ref="O525" r:id="rId452" xr:uid="{C4315EA0-74EC-4B9D-A29F-E5D3C15977FF}"/>
    <hyperlink ref="O526" r:id="rId453" xr:uid="{8C40D47A-1560-4BB6-AA6F-B5B266BC0EDE}"/>
    <hyperlink ref="O527" r:id="rId454" xr:uid="{33CBB010-5842-4F3A-94B2-93DD893CDD74}"/>
    <hyperlink ref="O528" r:id="rId455" xr:uid="{879D6483-4464-4215-BA82-2F9773BD206B}"/>
    <hyperlink ref="O529" r:id="rId456" xr:uid="{CE1535A0-8B6C-4FDF-ACC3-D5EF8EF853F5}"/>
    <hyperlink ref="O530" r:id="rId457" xr:uid="{22B8FEB6-EC41-441C-B0D0-805478B5CAF5}"/>
    <hyperlink ref="O531" r:id="rId458" xr:uid="{F5A9A6E7-CD86-4712-BAE4-53EBEFED4565}"/>
    <hyperlink ref="O532" r:id="rId459" xr:uid="{017CF5D9-702A-4EBB-9DDA-977182217580}"/>
    <hyperlink ref="O533" r:id="rId460" xr:uid="{25D6B4D5-91C3-47CF-A39C-7A4C5B26377C}"/>
    <hyperlink ref="O535" r:id="rId461" xr:uid="{9BC3893D-15C7-40F3-ABE2-71FB2BE8A0C9}"/>
    <hyperlink ref="O536" r:id="rId462" xr:uid="{176F984C-1157-4768-B2F1-10E7273CF0B1}"/>
    <hyperlink ref="O537" r:id="rId463" xr:uid="{7B8034EC-34AD-4A99-9BB3-FBC43B6C64FD}"/>
    <hyperlink ref="O538" r:id="rId464" xr:uid="{1E74AF1F-0922-447D-ADD4-0AE6BEB389B1}"/>
    <hyperlink ref="O539" r:id="rId465" xr:uid="{F98410BC-A3E0-42BA-88D5-B52B6181C6CA}"/>
    <hyperlink ref="O540" r:id="rId466" xr:uid="{F75CEFF3-5AF6-4900-A4B7-9A62DBB12FF5}"/>
    <hyperlink ref="O541" r:id="rId467" xr:uid="{6CEA1B9B-8CED-426D-BF25-C133852B0B82}"/>
    <hyperlink ref="O542" r:id="rId468" xr:uid="{DF92E6B9-FFBA-407A-ABCE-903B55D6BEE3}"/>
    <hyperlink ref="O543" r:id="rId469" xr:uid="{C8D476B9-1568-426C-BBA7-DFBBEE776DC4}"/>
    <hyperlink ref="O544" r:id="rId470" xr:uid="{CDCBE15C-0234-470A-A230-8DA3963A2116}"/>
    <hyperlink ref="O545" r:id="rId471" xr:uid="{A22106BA-9AFD-4A78-B116-E262809290B5}"/>
    <hyperlink ref="O546" r:id="rId472" xr:uid="{FD3511E4-F098-4710-9F66-E6C2B10BFF58}"/>
    <hyperlink ref="O547" r:id="rId473" xr:uid="{B72FE5E4-9B5E-4C6A-BCA8-5E2BD1ED46D4}"/>
    <hyperlink ref="O548" r:id="rId474" xr:uid="{5677464C-E942-4D24-9E40-F75DCC37D325}"/>
    <hyperlink ref="O549" r:id="rId475" xr:uid="{E629A4D7-8FD6-4D39-9AC2-1A10C1F41756}"/>
    <hyperlink ref="O550" r:id="rId476" xr:uid="{48031877-BBB0-46D3-ADAF-551A8FE10B02}"/>
    <hyperlink ref="O551" r:id="rId477" xr:uid="{4A1CB7BD-2909-4522-8F22-368788D6258E}"/>
    <hyperlink ref="O552" r:id="rId478" xr:uid="{7B86FB75-313E-4FC2-91FA-0F2DB21890E6}"/>
    <hyperlink ref="O553" r:id="rId479" xr:uid="{C2BF230C-C740-4ED2-AEC2-8383AA2DCE11}"/>
    <hyperlink ref="O554" r:id="rId480" xr:uid="{963C615C-B1F8-4058-8567-53C23E9FEB43}"/>
    <hyperlink ref="O556" r:id="rId481" xr:uid="{1473B004-F8BE-4052-AF5F-B66785921E4B}"/>
    <hyperlink ref="O557" r:id="rId482" xr:uid="{E447EEBD-4CAD-4F71-8DC5-ED60F7E74C38}"/>
    <hyperlink ref="O558" r:id="rId483" xr:uid="{FBB25801-F5FA-4001-8739-EDA9C4474F53}"/>
    <hyperlink ref="O559" r:id="rId484" xr:uid="{A0F713F9-03A8-4858-B720-0F97E17C028D}"/>
    <hyperlink ref="O560" r:id="rId485" xr:uid="{16900958-8D85-4E47-B8F3-E162660DE4CA}"/>
    <hyperlink ref="O561" r:id="rId486" xr:uid="{7978228A-5BC3-4F2B-9B2F-A5DAB269CB63}"/>
    <hyperlink ref="O562" r:id="rId487" xr:uid="{2DB9799D-CD1C-4935-B6BA-E1FB218C23B7}"/>
    <hyperlink ref="O563" r:id="rId488" xr:uid="{F60E5C3B-9C6A-47E6-983A-D5190DA543FA}"/>
    <hyperlink ref="O564" r:id="rId489" xr:uid="{C78A5EF8-DECB-4F71-B137-B83A5B61CC7C}"/>
    <hyperlink ref="O565" r:id="rId490" xr:uid="{7BE81B8C-C50B-4E7A-9289-FD9E111366E7}"/>
    <hyperlink ref="O555" r:id="rId491" display="JPATTYJZ@HOTMAISL.COM" xr:uid="{34450CEB-6082-4DC4-9462-481676889FBF}"/>
    <hyperlink ref="O566" r:id="rId492" xr:uid="{E34CB3D2-C583-4526-8E75-4125654D05D0}"/>
    <hyperlink ref="O567" r:id="rId493" xr:uid="{49E4230F-3B24-4BBA-A71E-7EB00105F54F}"/>
    <hyperlink ref="O568" r:id="rId494" xr:uid="{7BFDBC77-4C1F-4F95-8DE8-D5D65D94C26D}"/>
    <hyperlink ref="O569" r:id="rId495" xr:uid="{025DDFBD-4A0F-493D-9BC0-A5BF1F2188FA}"/>
    <hyperlink ref="O570" r:id="rId496" xr:uid="{0BA41C04-5D47-4733-8918-06E0748814AD}"/>
    <hyperlink ref="O571" r:id="rId497" xr:uid="{1C038587-04FF-4C38-B72E-65967A725918}"/>
    <hyperlink ref="O572" r:id="rId498" xr:uid="{681A0734-A37E-4464-BFBA-13E9BE1502D3}"/>
    <hyperlink ref="O573" r:id="rId499" xr:uid="{CA9B6A14-6025-4435-B733-4027AF5C53FF}"/>
    <hyperlink ref="O574" r:id="rId500" xr:uid="{4F085933-5A50-40AB-A4DA-DBB38DB8B133}"/>
    <hyperlink ref="O575" r:id="rId501" xr:uid="{03E75A5F-39E3-4E5D-8ECF-CA3895BE75F4}"/>
    <hyperlink ref="O576" r:id="rId502" xr:uid="{10D0329A-222C-4306-BD0C-1BA789E6FAAB}"/>
    <hyperlink ref="O577" r:id="rId503" xr:uid="{33724145-27BB-473C-84EA-BD302DF4324A}"/>
    <hyperlink ref="O578" r:id="rId504" xr:uid="{82D31E84-BCB9-489C-9C96-408DB4DCB618}"/>
    <hyperlink ref="O579" r:id="rId505" xr:uid="{B0EFDF1E-AA1D-4199-A70E-0C6D40D51422}"/>
    <hyperlink ref="O580" r:id="rId506" xr:uid="{CE055012-6FF6-42D0-BF72-B138DFA26B49}"/>
    <hyperlink ref="O581" r:id="rId507" xr:uid="{975AE42C-5285-49A0-9B2E-45C2FF08B8C4}"/>
    <hyperlink ref="O582" r:id="rId508" xr:uid="{B1D1ACFE-CDBD-4A9F-9DFA-1D5A6E741E62}"/>
    <hyperlink ref="O583" r:id="rId509" xr:uid="{8D7E1701-5030-46A7-A12E-DD896D212715}"/>
    <hyperlink ref="O584" r:id="rId510" xr:uid="{607A8CD1-05A5-4F3C-9B49-FC4DBBD1EE22}"/>
    <hyperlink ref="O585" r:id="rId511" xr:uid="{C453D563-6462-4EF1-9377-110E46062B29}"/>
    <hyperlink ref="O586" r:id="rId512" xr:uid="{449B6074-96FB-4043-B02F-54F6B75E53F1}"/>
    <hyperlink ref="O587" r:id="rId513" xr:uid="{619DE976-92D5-4601-A903-1F0C7924D0B3}"/>
    <hyperlink ref="O588" r:id="rId514" xr:uid="{A0E6870F-F252-47F1-B78B-F3F42A5BB3C0}"/>
    <hyperlink ref="O589" r:id="rId515" xr:uid="{0DE58AA8-0940-48B9-8F62-DEAAFD5A91FB}"/>
    <hyperlink ref="O590" r:id="rId516" xr:uid="{726044AE-B18C-486C-81CE-B0B80AEFDD02}"/>
    <hyperlink ref="O591" r:id="rId517" xr:uid="{A8BEA71F-2B6D-4209-A197-B16C04B75490}"/>
    <hyperlink ref="O592" r:id="rId518" xr:uid="{D18723D4-F1BE-414A-B761-F86E52245137}"/>
    <hyperlink ref="O595" r:id="rId519" xr:uid="{46BA1DDD-C390-4BE2-8EA1-F10B1A607634}"/>
    <hyperlink ref="O593" r:id="rId520" xr:uid="{E1F7213D-7844-4C8A-B9B6-D43CCE938BF9}"/>
    <hyperlink ref="O594" r:id="rId521" xr:uid="{454163DC-F3C2-41AC-84A2-AA1DEC068FD5}"/>
    <hyperlink ref="O596" r:id="rId522" xr:uid="{9282F689-1135-4E2E-BC65-6AD85DB655A4}"/>
    <hyperlink ref="O597" r:id="rId523" xr:uid="{29950FBC-16A2-4CF6-A5F4-B7E8461FE4BE}"/>
    <hyperlink ref="O598" r:id="rId524" xr:uid="{36D3480D-A405-41C2-B666-7F9047D16A1A}"/>
    <hyperlink ref="O599" r:id="rId525" xr:uid="{440C6F2A-627B-40FE-81B7-14DE0F5479FA}"/>
    <hyperlink ref="O600" r:id="rId526" xr:uid="{1C3EECEE-A644-4016-8353-33C1D66F6895}"/>
    <hyperlink ref="O602" r:id="rId527" xr:uid="{B57590DD-2884-45F0-9EB1-E40EDEF0079E}"/>
    <hyperlink ref="O601" r:id="rId528" xr:uid="{EDF9B056-B355-46F9-A99F-E691441A4EC6}"/>
    <hyperlink ref="O603" r:id="rId529" xr:uid="{69D2AF65-66A7-4481-AD74-5B0B5564F9DF}"/>
    <hyperlink ref="O604" r:id="rId530" xr:uid="{C3F499EB-2C00-479E-815A-BF143CD62483}"/>
    <hyperlink ref="O605" r:id="rId531" xr:uid="{9CB62C9B-94FB-49A8-870B-F5030321A7F7}"/>
    <hyperlink ref="O606" r:id="rId532" xr:uid="{E8560F5A-7A5C-41D9-A2CA-DC59ACBFCD12}"/>
    <hyperlink ref="O607" r:id="rId533" xr:uid="{0C9DEB6B-6243-4185-967B-4F8FE7C4E2F2}"/>
    <hyperlink ref="O608" r:id="rId534" xr:uid="{7F74649E-F22E-49A7-A65F-FB8FFC0F9CFA}"/>
    <hyperlink ref="O609" r:id="rId535" xr:uid="{A3B91418-8717-451C-975B-E8EAD63A8D04}"/>
    <hyperlink ref="O610" r:id="rId536" xr:uid="{A0BD162C-E7A6-4FAE-B11F-5D7E361AB096}"/>
    <hyperlink ref="O611" r:id="rId537" xr:uid="{54577E49-FEBE-468C-BA07-FFAB396BE617}"/>
    <hyperlink ref="O612" r:id="rId538" xr:uid="{DA0DE52D-05A1-4007-BF63-7FE3F6633D86}"/>
    <hyperlink ref="O613" r:id="rId539" xr:uid="{69363682-B108-4D59-96B3-C6EB893B1BAD}"/>
    <hyperlink ref="O614" r:id="rId540" xr:uid="{F602DF1F-C4CD-4022-97BB-91ECDF88472D}"/>
    <hyperlink ref="O616" r:id="rId541" xr:uid="{3D961AAC-B881-4670-B881-5EBB01E32086}"/>
    <hyperlink ref="O617" r:id="rId542" xr:uid="{D67E9392-88AF-422A-AF1E-B62E8EAB1AB7}"/>
    <hyperlink ref="O618" r:id="rId543" xr:uid="{3036985A-278D-4F51-8E2A-ABF2240850BE}"/>
    <hyperlink ref="O619" r:id="rId544" xr:uid="{A6F871C6-4C1A-46FB-8319-2D00B14F0CD5}"/>
    <hyperlink ref="O620" r:id="rId545" xr:uid="{166CBFFF-4A8A-467E-B01B-D22473CEF4F7}"/>
    <hyperlink ref="O621" r:id="rId546" xr:uid="{422D8284-366A-44F1-BC46-8A34B7841499}"/>
    <hyperlink ref="O622" r:id="rId547" xr:uid="{3A9EB052-3D0A-4AE8-BA87-8C336DC9DAB9}"/>
    <hyperlink ref="O623" r:id="rId548" xr:uid="{7ECC6206-D87A-42C6-8BB6-CB2B6E77013C}"/>
    <hyperlink ref="O624" r:id="rId549" xr:uid="{75A71D2B-AEA8-40BB-9E58-A078DF1F9318}"/>
    <hyperlink ref="O625" r:id="rId550" xr:uid="{96EE0981-1EB2-4290-9B7A-1FF6B1B97882}"/>
    <hyperlink ref="O626" r:id="rId551" xr:uid="{7B9A74A2-8212-4511-AAC5-DFD2F2EB4B24}"/>
    <hyperlink ref="O627" r:id="rId552" xr:uid="{EB637836-5713-44DD-B92A-50EBAB65BF80}"/>
    <hyperlink ref="O628" r:id="rId553" xr:uid="{86ED4DC7-3701-41A8-B1CB-276EFFEFB3E1}"/>
    <hyperlink ref="O629" r:id="rId554" xr:uid="{D8A45052-B92D-471A-A26C-98E81A065E6B}"/>
    <hyperlink ref="O630" r:id="rId555" xr:uid="{786B9077-5D16-4C02-947F-9E7952095D65}"/>
    <hyperlink ref="O631" r:id="rId556" xr:uid="{14B9A0D0-83E4-4F12-9704-49838D66EE60}"/>
    <hyperlink ref="O633" r:id="rId557" xr:uid="{D23F9A37-0D95-4029-964F-6D322F075CA2}"/>
    <hyperlink ref="O634" r:id="rId558" xr:uid="{3B996466-B038-4596-9A8C-20B1620CCC57}"/>
    <hyperlink ref="O635" r:id="rId559" xr:uid="{D284506A-8661-4EC9-8787-249ABC23EEF4}"/>
    <hyperlink ref="O636" r:id="rId560" xr:uid="{FD6445C2-DA2F-413A-9662-980642BF2375}"/>
    <hyperlink ref="O637" r:id="rId561" xr:uid="{51DE1746-88E7-427E-97C8-D55529E2C866}"/>
    <hyperlink ref="O638" r:id="rId562" xr:uid="{DF4C96FE-3A1F-4999-A5DB-C7BF422AA791}"/>
    <hyperlink ref="O639" r:id="rId563" xr:uid="{534EA0A2-3BBB-4854-AADC-674D5C8AEADF}"/>
    <hyperlink ref="O640" r:id="rId564" xr:uid="{6FD51A0A-93D2-433B-87BF-2FECD0325246}"/>
    <hyperlink ref="O641" r:id="rId565" xr:uid="{942186F5-5972-4845-9A7A-B45C5E91CAAC}"/>
    <hyperlink ref="O642" r:id="rId566" xr:uid="{F446C474-E592-4151-9454-0F6AFA50F1D6}"/>
    <hyperlink ref="O643" r:id="rId567" xr:uid="{FB54CF69-02FC-4A0E-AEE7-69E9813CA3CB}"/>
    <hyperlink ref="O644" r:id="rId568" xr:uid="{62AF8476-751B-4580-8842-05BBD9C0F5E9}"/>
    <hyperlink ref="O645" r:id="rId569" xr:uid="{99F02112-B23C-4E51-B8C6-775A82373563}"/>
    <hyperlink ref="O646" r:id="rId570" xr:uid="{2C5AB990-A57E-4B6E-B8C3-C0A1D78552C3}"/>
    <hyperlink ref="O647" r:id="rId571" xr:uid="{51C6925D-D6CC-4763-93CD-9D4308D15107}"/>
    <hyperlink ref="O649" r:id="rId572" xr:uid="{F4AD0503-4074-44AA-A91B-492C9E5285B4}"/>
    <hyperlink ref="O650" r:id="rId573" xr:uid="{C8D46422-2150-422A-8D57-3F2245CDA536}"/>
    <hyperlink ref="O651" r:id="rId574" xr:uid="{EE23A140-3BA0-4AB1-A895-9CCEBC266734}"/>
    <hyperlink ref="O648" r:id="rId575" xr:uid="{D9E094F3-16C0-4271-BCAE-E15CB35580DB}"/>
    <hyperlink ref="O652" r:id="rId576" xr:uid="{9591F57C-060B-42FB-B53C-4BF9F1CF07A1}"/>
    <hyperlink ref="O653" r:id="rId577" xr:uid="{232C5563-78E7-4E79-9796-596B6524946D}"/>
    <hyperlink ref="O654" r:id="rId578" xr:uid="{9A47DE68-46CE-4ECB-8ACF-9CD8F69E214D}"/>
    <hyperlink ref="O655" r:id="rId579" xr:uid="{7111D7B5-6833-4FDA-AB3C-D5AEAE180315}"/>
    <hyperlink ref="O656" r:id="rId580" xr:uid="{B0537ACB-A73E-44CC-BDAC-4596B40F12E2}"/>
    <hyperlink ref="O657" r:id="rId581" xr:uid="{393B52CE-C825-4A36-964E-6DC4E945426B}"/>
    <hyperlink ref="O659" r:id="rId582" xr:uid="{FFCC4F0D-697F-46B6-BB49-7F874160A291}"/>
    <hyperlink ref="O660" r:id="rId583" xr:uid="{03BCDD5B-1575-4F0E-9CD6-F8542A99810A}"/>
    <hyperlink ref="O661" r:id="rId584" xr:uid="{7463B6D1-DCCD-48D5-955E-43F3CEDBB4EA}"/>
    <hyperlink ref="O658" r:id="rId585" xr:uid="{9AFD28FC-33EE-4218-B700-00E8F03AAE7E}"/>
    <hyperlink ref="O662" r:id="rId586" xr:uid="{CDFCA472-7D43-45FD-B8DD-FBD6980E6145}"/>
    <hyperlink ref="O663" r:id="rId587" xr:uid="{A4D81773-0473-4BED-B191-7A8C9AC2FB78}"/>
    <hyperlink ref="O664" r:id="rId588" xr:uid="{DD700A10-7930-4656-98D8-47A473B23649}"/>
    <hyperlink ref="O665" r:id="rId589" xr:uid="{C6C86809-F455-4953-8617-E3EC32DBF3A7}"/>
    <hyperlink ref="O666" r:id="rId590" xr:uid="{AC133FC9-5E1E-417C-8E9A-A4AD456D2CAD}"/>
    <hyperlink ref="O667" r:id="rId591" xr:uid="{7AA97614-D3F8-44F1-A619-9C589E4B7F4D}"/>
    <hyperlink ref="O668" r:id="rId592" xr:uid="{3B277DE2-F134-4655-8C4B-80674297A1F4}"/>
    <hyperlink ref="O669" r:id="rId593" xr:uid="{F7D2492E-A504-46A5-8573-EF54A04E50CB}"/>
    <hyperlink ref="O670" r:id="rId594" xr:uid="{C2830C67-5E6B-4C7D-AC24-3CC465FD0DD6}"/>
    <hyperlink ref="O671" r:id="rId595" xr:uid="{D7FF792D-1145-4379-8EAD-F3AB38B94291}"/>
    <hyperlink ref="O672" r:id="rId596" xr:uid="{8ADF0D49-D30A-49F7-9A9B-14EDA65D92E1}"/>
    <hyperlink ref="O673" r:id="rId597" xr:uid="{8F16839C-5C7B-4812-B996-E8CAFCA6FF22}"/>
    <hyperlink ref="O674" r:id="rId598" xr:uid="{F631AF37-D7A1-410A-B33A-8366AF196D19}"/>
    <hyperlink ref="O675" r:id="rId599" xr:uid="{FF5B10BF-D49B-4825-AC8F-C52B5A59CD26}"/>
    <hyperlink ref="O676" r:id="rId600" xr:uid="{7BB996C7-9FC4-4933-9225-0C05C79FC599}"/>
    <hyperlink ref="O677" r:id="rId601" xr:uid="{3BBE2DCA-C870-4AF8-A203-189F57489F14}"/>
    <hyperlink ref="O678" r:id="rId602" xr:uid="{47036211-E749-48F9-B9CE-C3C6A48295FE}"/>
    <hyperlink ref="O679" r:id="rId603" xr:uid="{F9E6C863-4272-4D93-905D-1D2D0CD691FF}"/>
    <hyperlink ref="O680" r:id="rId604" xr:uid="{6BE04E50-CD93-4720-B6C9-FDAE174596AC}"/>
    <hyperlink ref="O682" r:id="rId605" xr:uid="{85050D1E-42DD-4C61-86FC-A54981BBCC8A}"/>
    <hyperlink ref="O683" r:id="rId606" xr:uid="{2FE78B7D-E152-49FE-84D0-864DFB5FC903}"/>
    <hyperlink ref="O684" r:id="rId607" xr:uid="{85AB4E4C-1DC9-4098-9948-5FA5C4BCC671}"/>
    <hyperlink ref="O685" r:id="rId608" xr:uid="{03D12D2E-617E-485E-A1E9-7D7DA7AC747A}"/>
    <hyperlink ref="O686" r:id="rId609" xr:uid="{659C0558-F3D8-4135-ABC3-D9E4C22BAFD3}"/>
    <hyperlink ref="O687" r:id="rId610" xr:uid="{480184E0-99A0-4531-BC65-9B738B21C836}"/>
    <hyperlink ref="O688" r:id="rId611" xr:uid="{230D0684-8F99-4DBE-988C-5DA8994E20AD}"/>
    <hyperlink ref="O689" r:id="rId612" xr:uid="{226C5F25-C633-4A33-99E7-C90B4D4486BE}"/>
    <hyperlink ref="O690" r:id="rId613" xr:uid="{7CEA31AA-3935-4C9D-BFB7-D8AABDF2663B}"/>
    <hyperlink ref="O691" r:id="rId614" xr:uid="{E35CCBCD-EE25-470D-B0C5-F16E9AAE67FF}"/>
    <hyperlink ref="O693" r:id="rId615" xr:uid="{F9B77FE0-02AD-46A3-A147-8EFAA6325393}"/>
    <hyperlink ref="O681" r:id="rId616" xr:uid="{DAB52FEE-1F92-49D1-8937-6EB38777170D}"/>
    <hyperlink ref="O694" r:id="rId617" xr:uid="{93ADFAF7-FDF4-4C45-B855-2F5ED00694C4}"/>
    <hyperlink ref="O695" r:id="rId618" xr:uid="{2C42F9EC-2664-49D0-B4EB-095C07707BDB}"/>
    <hyperlink ref="O696" r:id="rId619" xr:uid="{926814DF-779F-4D59-BCB4-EC9F09356A56}"/>
    <hyperlink ref="O697" r:id="rId620" xr:uid="{71E3282E-E54F-43AF-9973-A3166C7EE251}"/>
    <hyperlink ref="O698" r:id="rId621" xr:uid="{5ED2855F-A95E-4C28-8356-3DC9D62558E7}"/>
    <hyperlink ref="O699" r:id="rId622" xr:uid="{D83FDECB-764B-47B4-B986-AF45551CD52B}"/>
    <hyperlink ref="O700" r:id="rId623" xr:uid="{744C7B60-CC5E-4CE1-996F-CDFA060B6D4E}"/>
    <hyperlink ref="O702" r:id="rId624" xr:uid="{50BF41A5-36AD-45E7-A697-8A10D8D5B7DB}"/>
    <hyperlink ref="O703" r:id="rId625" xr:uid="{D58F8464-75E8-40FC-B8D1-A123CF7758EB}"/>
    <hyperlink ref="O704" r:id="rId626" xr:uid="{A172D070-CB3F-47E1-BB9B-52768725BD1F}"/>
    <hyperlink ref="O705" r:id="rId627" xr:uid="{1017EC4F-44F1-4121-9C8D-D5AAB2BC9513}"/>
    <hyperlink ref="O706" r:id="rId628" xr:uid="{057C64B1-C2E5-43D8-92EE-52E49E4916AB}"/>
    <hyperlink ref="O708" r:id="rId629" xr:uid="{66CBB50A-3854-42E6-88F0-7B37ACD4AB5C}"/>
    <hyperlink ref="O707" r:id="rId630" xr:uid="{8A73A9AB-58CF-4A06-8EDD-263A02800C88}"/>
    <hyperlink ref="O709" r:id="rId631" xr:uid="{4655E569-99B5-4B9B-AE25-F9E55A92A187}"/>
    <hyperlink ref="O710" r:id="rId632" xr:uid="{53DBBD79-3DD0-45AE-98A5-4FCD601A6824}"/>
    <hyperlink ref="O711" r:id="rId633" xr:uid="{16F28F3D-B286-4BE9-B7F7-D1BDE2212EFD}"/>
    <hyperlink ref="O715" r:id="rId634" xr:uid="{F13AC42D-DB0D-4B09-8022-8D40CA462FE0}"/>
    <hyperlink ref="O716" r:id="rId635" xr:uid="{7F7AF63D-CF2E-46A6-808F-7EE2BDCE8B13}"/>
    <hyperlink ref="O718" r:id="rId636" xr:uid="{8F056737-BAEB-45A6-B6B9-2312E4281CAB}"/>
    <hyperlink ref="O719" r:id="rId637" xr:uid="{9350E0F4-9A1A-4374-B670-C6F57777C554}"/>
    <hyperlink ref="O720" r:id="rId638" xr:uid="{70CD9FEE-36C9-4B5F-9A28-73CA81E411CB}"/>
    <hyperlink ref="O721" r:id="rId639" xr:uid="{C5388B62-8735-447F-B550-BF8DE79F33DB}"/>
    <hyperlink ref="O723" r:id="rId640" xr:uid="{A8B8725D-B99E-4178-9279-FD52ED3B48C0}"/>
    <hyperlink ref="O724" r:id="rId641" xr:uid="{3CE1E8F3-E6B7-449A-8EDB-4DFDE81F0832}"/>
    <hyperlink ref="O725" r:id="rId642" xr:uid="{B6931DE3-AECE-4BC5-88EE-6CD9813FC3EC}"/>
    <hyperlink ref="O726" r:id="rId643" xr:uid="{954FE05D-3C43-41AE-BEF5-55B82ED57B71}"/>
    <hyperlink ref="O727" r:id="rId644" xr:uid="{1EE1C80C-2981-48C9-B29C-5452C5A6B490}"/>
    <hyperlink ref="O729" r:id="rId645" xr:uid="{5754705B-7784-4E34-97B9-0323410BB410}"/>
    <hyperlink ref="O731" r:id="rId646" xr:uid="{C0289DDC-F44E-465F-8047-0C81BCC4456F}"/>
    <hyperlink ref="O732" r:id="rId647" xr:uid="{0C087AFB-85A2-4B42-B217-63E7A81578DA}"/>
    <hyperlink ref="O733" r:id="rId648" xr:uid="{74178944-B038-4331-9167-A8AD9ADADCC6}"/>
    <hyperlink ref="O734" r:id="rId649" xr:uid="{707AD2B4-CB6C-4A57-BE47-9928FD85DFAB}"/>
    <hyperlink ref="O735" r:id="rId650" xr:uid="{DEBD26C8-2C33-4314-9A6D-B6EFBE54C301}"/>
    <hyperlink ref="O736" r:id="rId651" xr:uid="{063F4A74-F705-4FE3-8397-E64348C91312}"/>
    <hyperlink ref="O738" r:id="rId652" xr:uid="{9EEAADB4-E5E0-4196-A1F1-962903ACF702}"/>
    <hyperlink ref="O740" r:id="rId653" xr:uid="{13EB1AE5-383F-4AFD-B0F5-A27A12A6DF30}"/>
    <hyperlink ref="O741" r:id="rId654" xr:uid="{3724454E-CED4-435E-9354-16FF609066E0}"/>
    <hyperlink ref="O742" r:id="rId655" xr:uid="{03B9D5BF-61DB-44E4-A3AD-A4A7043A25E9}"/>
    <hyperlink ref="O743" r:id="rId656" xr:uid="{E3ACD8CC-2619-46C8-912A-AC186008BDBF}"/>
    <hyperlink ref="O744" r:id="rId657" xr:uid="{1E4FB50F-2FA4-419A-806D-42F36D8E15F6}"/>
    <hyperlink ref="O745" r:id="rId658" xr:uid="{D36AA329-AE93-4B37-9DE7-D949DBAFA5FE}"/>
    <hyperlink ref="O746" r:id="rId659" xr:uid="{F1AE40EA-2F29-4AE7-8730-2E0A99F074C7}"/>
    <hyperlink ref="O747" r:id="rId660" xr:uid="{640C058F-B820-4E66-A643-D7C95BA511AE}"/>
    <hyperlink ref="O748" r:id="rId661" xr:uid="{E4F6E697-685A-4E59-96CA-338FA4A25570}"/>
    <hyperlink ref="O749" r:id="rId662" xr:uid="{09DED47B-61C7-4F34-A394-687093E3437B}"/>
    <hyperlink ref="O750" r:id="rId663" xr:uid="{0473563E-416E-4B20-9017-FC1B10513770}"/>
    <hyperlink ref="O751" r:id="rId664" xr:uid="{9B7AC80D-9ABC-41B7-9280-6E0234B6F802}"/>
    <hyperlink ref="O752" r:id="rId665" xr:uid="{E52B2E8B-9EE0-4EA7-98D8-8499FA11F3B7}"/>
    <hyperlink ref="O753" r:id="rId666" xr:uid="{4ED35FA6-B910-4B90-9967-333CE2D29372}"/>
    <hyperlink ref="O754" r:id="rId667" xr:uid="{F79085DA-6DEA-4648-BE37-E1C2037ADFE3}"/>
    <hyperlink ref="O755" r:id="rId668" xr:uid="{FAE2984A-1C25-48C5-8792-979E959858FA}"/>
    <hyperlink ref="O756" r:id="rId669" xr:uid="{A87C68E2-4793-4D9C-A2E7-8C1D233DA8FB}"/>
    <hyperlink ref="O757" r:id="rId670" xr:uid="{1BB24F7D-CB79-49FB-BFD3-B1BAD019DCFB}"/>
    <hyperlink ref="O758" r:id="rId671" xr:uid="{321C6445-283C-4E61-9ED8-C9E638F29DD3}"/>
    <hyperlink ref="O759" r:id="rId672" xr:uid="{20345FB3-1912-48FD-BF4D-930204B345B4}"/>
    <hyperlink ref="O760" r:id="rId673" xr:uid="{96DD028A-3447-4DD6-BD62-604327F1BD47}"/>
    <hyperlink ref="O761" r:id="rId674" xr:uid="{DC8BB3CF-8B93-48FA-83A9-11D938FABEB7}"/>
    <hyperlink ref="O762" r:id="rId675" xr:uid="{B7470F65-554F-4A8F-86DE-3041B23731B6}"/>
    <hyperlink ref="O763" r:id="rId676" xr:uid="{3F33DFBB-4D7D-4B83-9D88-0BE3AEA674BB}"/>
    <hyperlink ref="O764" r:id="rId677" xr:uid="{D0FB0C25-0157-450E-BBC5-30710B720943}"/>
    <hyperlink ref="O765" r:id="rId678" xr:uid="{C477FA7F-EB46-4BE3-B20E-22247D1598E0}"/>
    <hyperlink ref="O766" r:id="rId679" xr:uid="{474B3D71-1539-48FD-857B-AD3B3EDE7AF0}"/>
    <hyperlink ref="O767" r:id="rId680" xr:uid="{B798C96F-EC12-4B35-A6C3-69F85D2FE092}"/>
    <hyperlink ref="O768" r:id="rId681" xr:uid="{83458B8C-0A09-44FF-8779-EA8639BB853B}"/>
    <hyperlink ref="O769" r:id="rId682" xr:uid="{D4D340F1-CE17-4ACF-9CF4-99A628057ECB}"/>
    <hyperlink ref="O770" r:id="rId683" xr:uid="{3F885CA5-A62F-4DDD-B649-125046FCD502}"/>
    <hyperlink ref="O771" r:id="rId684" xr:uid="{D04E5E4A-513D-4A67-B225-5798DDEC731A}"/>
    <hyperlink ref="O772" r:id="rId685" xr:uid="{0BA6AE82-DC14-4B13-890D-6B53121F9968}"/>
    <hyperlink ref="O773" r:id="rId686" xr:uid="{8ECD0695-D816-48C3-8A76-E7649D394158}"/>
    <hyperlink ref="O774" r:id="rId687" xr:uid="{32889C66-ACCD-44FA-A102-3CE59CD59C20}"/>
    <hyperlink ref="O775" r:id="rId688" xr:uid="{88724D8D-A741-430C-B9FA-23CFC6228079}"/>
    <hyperlink ref="O776" r:id="rId689" xr:uid="{226A14FC-04B9-43C2-95BF-F8D022AB54EA}"/>
    <hyperlink ref="O777" r:id="rId690" xr:uid="{066DD80E-A2C4-4DAF-A92D-ECB1A5D85F04}"/>
    <hyperlink ref="O778" r:id="rId691" xr:uid="{5019FF3C-1AC0-44A5-88F4-3FDD6AD9D6D7}"/>
    <hyperlink ref="O779" r:id="rId692" xr:uid="{6857CA60-F869-401E-928B-52AF81E26FA0}"/>
    <hyperlink ref="O780" r:id="rId693" xr:uid="{D07D9EC3-AD8C-428E-8701-8D3763504CC3}"/>
    <hyperlink ref="O781" r:id="rId694" xr:uid="{032FBC19-B8E6-469F-BBE2-8A362EE55FE8}"/>
    <hyperlink ref="O782" r:id="rId695" xr:uid="{688997E3-DCBB-41E0-A6F7-585B336FDD9C}"/>
    <hyperlink ref="O783" r:id="rId696" xr:uid="{C24F729F-A02A-4EDE-9F57-819267C41B8F}"/>
    <hyperlink ref="O784" r:id="rId697" xr:uid="{9A1D5316-5403-4E3A-8F74-43A9AA87E919}"/>
    <hyperlink ref="O785" r:id="rId698" xr:uid="{D8A35935-80C0-440A-B5CC-61E316A40874}"/>
    <hyperlink ref="O786" r:id="rId699" xr:uid="{1A55E5EA-8FCE-4B7B-BC31-1C917FD26C6A}"/>
    <hyperlink ref="O787" r:id="rId700" xr:uid="{95AA5014-708B-4906-A957-8D5BFF4AEAF0}"/>
    <hyperlink ref="O788" r:id="rId701" xr:uid="{839C1335-C603-451A-8D75-4DBAC0E25A21}"/>
    <hyperlink ref="O789" r:id="rId702" xr:uid="{7F9EF361-09B8-4BCA-8F48-1D4B9D5E47F7}"/>
    <hyperlink ref="O790" r:id="rId703" xr:uid="{D27BEFEC-6244-4822-8DBD-F40CA2B21EEA}"/>
    <hyperlink ref="O791" r:id="rId704" xr:uid="{55D8DDA4-187A-4A7A-A71F-58EB795183D9}"/>
    <hyperlink ref="O792" r:id="rId705" xr:uid="{E94DA656-E9A0-46F0-87EC-8300089E8C54}"/>
    <hyperlink ref="O793" r:id="rId706" xr:uid="{781A25C4-141C-4DB1-BF62-573E6DEA474E}"/>
    <hyperlink ref="O794" r:id="rId707" xr:uid="{62EDD5B4-9C09-405D-88E1-09DA6776EA3F}"/>
    <hyperlink ref="O796" r:id="rId708" xr:uid="{D8465087-A39D-4A77-ADA7-3B662A22DC6B}"/>
    <hyperlink ref="O795" r:id="rId709" xr:uid="{FA99D463-E22B-4EA4-AE92-ACB08E09CE0B}"/>
    <hyperlink ref="O797" r:id="rId710" xr:uid="{559C3543-03FF-4B21-85DD-70193077B9A0}"/>
    <hyperlink ref="O798" r:id="rId711" xr:uid="{B75CA041-D51C-4406-8324-92B38F816325}"/>
    <hyperlink ref="O800" r:id="rId712" xr:uid="{B1303672-C1CF-4CF1-BE93-55A078AFA59D}"/>
    <hyperlink ref="O801" r:id="rId713" xr:uid="{0953A43F-02DA-4D57-832F-B0CC240ED356}"/>
    <hyperlink ref="O802" r:id="rId714" xr:uid="{24D6211D-0FE1-4C81-8433-4D9087784702}"/>
    <hyperlink ref="O803" r:id="rId715" xr:uid="{A8F4496A-527F-41C5-B135-2726491684C1}"/>
    <hyperlink ref="O805" r:id="rId716" xr:uid="{D7360D61-84A2-4DDA-A4FF-6613690C7350}"/>
    <hyperlink ref="O806" r:id="rId717" xr:uid="{007DC4FA-B86B-42A8-9780-946D228D4AFD}"/>
    <hyperlink ref="O807" r:id="rId718" xr:uid="{87EA262B-5848-45D3-8C12-B9AFD28C913C}"/>
    <hyperlink ref="O808" r:id="rId719" xr:uid="{14EC5EDA-92C2-4E1A-8842-504030E3E904}"/>
    <hyperlink ref="O809" r:id="rId720" xr:uid="{118BAD25-D79A-4F1D-9450-95D0521C953D}"/>
    <hyperlink ref="O810" r:id="rId721" xr:uid="{30A5DE57-2310-43EC-9D88-B886EDFE5515}"/>
    <hyperlink ref="O811" r:id="rId722" xr:uid="{D4232CE5-9D08-4944-A850-3E8A7DBC43AB}"/>
    <hyperlink ref="O812" r:id="rId723" xr:uid="{1C9EF81E-D238-4330-B304-8C36823C9F13}"/>
    <hyperlink ref="O813" r:id="rId724" xr:uid="{BE0A69F3-5FAF-443F-81D3-8EC4D2D9384D}"/>
    <hyperlink ref="O814" r:id="rId725" xr:uid="{57A7E4F2-0BC6-4696-A3B8-E13B427197E3}"/>
    <hyperlink ref="O815" r:id="rId726" xr:uid="{296042DD-BF77-445D-8FC4-6142F8B757C0}"/>
    <hyperlink ref="O816" r:id="rId727" xr:uid="{73382B85-40FA-44F7-9AC8-F86C1B204926}"/>
    <hyperlink ref="O817" r:id="rId728" xr:uid="{FD9EED6C-1F7E-4A60-BD7A-93F10DD33639}"/>
    <hyperlink ref="O818" r:id="rId729" xr:uid="{CB7314B4-B72E-4047-912D-81291FAE9FC6}"/>
    <hyperlink ref="O820" r:id="rId730" xr:uid="{C0070451-3185-45FA-9790-FBC5BFF5C6BD}"/>
    <hyperlink ref="O819" r:id="rId731" xr:uid="{968A628E-5D80-43B2-98A2-24952951FFEA}"/>
    <hyperlink ref="O821" r:id="rId732" xr:uid="{1E870C1A-FA4B-45C3-A5B2-5741EAED02EB}"/>
    <hyperlink ref="O823" r:id="rId733" xr:uid="{E3716C16-C9F6-47F8-97B8-F47EB0428BA6}"/>
    <hyperlink ref="O824" r:id="rId734" xr:uid="{F8DE5198-C7B7-4B6F-8ECC-5928DC848769}"/>
    <hyperlink ref="O825" r:id="rId735" xr:uid="{41D8BA52-235C-4EE5-835D-A50CC460A7EE}"/>
    <hyperlink ref="O827" r:id="rId736" xr:uid="{2C96BDB4-70B1-432A-98FA-3FA1280F6DD6}"/>
    <hyperlink ref="O828" r:id="rId737" xr:uid="{CE109A7A-D32C-4089-B7CC-58D5442D9F68}"/>
    <hyperlink ref="O829" r:id="rId738" xr:uid="{775987A2-2375-4B3C-B83E-2AE2400F55B4}"/>
    <hyperlink ref="O831" r:id="rId739" xr:uid="{7851207A-9376-4009-B09A-103CA9770470}"/>
    <hyperlink ref="O832" r:id="rId740" xr:uid="{BF1653CC-EC48-488A-87E0-E984809BFEA7}"/>
    <hyperlink ref="O833" r:id="rId741" xr:uid="{04EC371A-430A-4FB9-AD3E-41F9161A86D0}"/>
    <hyperlink ref="O834" r:id="rId742" xr:uid="{7CEB32A8-B58C-41A0-9F4A-82A6C2E3636A}"/>
    <hyperlink ref="O835" r:id="rId743" xr:uid="{42E8376B-ACFE-488B-84C3-826D54AC2C0E}"/>
    <hyperlink ref="O836" r:id="rId744" xr:uid="{369683E7-C086-4B95-88D0-0090BC5C1A30}"/>
    <hyperlink ref="O837" r:id="rId745" xr:uid="{C2DD06DA-48B5-4163-B451-9451FB407364}"/>
    <hyperlink ref="O838" r:id="rId746" xr:uid="{E87043F0-F364-4E89-8F2A-19BBAF1D80F4}"/>
    <hyperlink ref="O839" r:id="rId747" xr:uid="{73DDB22A-1CB1-4357-961C-445B730E7FA0}"/>
    <hyperlink ref="O840" r:id="rId748" xr:uid="{BE0F7A8F-2B19-4F59-8D92-535373526ADA}"/>
    <hyperlink ref="O841" r:id="rId749" xr:uid="{D72F8A3C-6416-4AF9-94D2-B0E8674F31DD}"/>
    <hyperlink ref="O842" r:id="rId750" xr:uid="{EB31462D-D75B-4C56-B104-EEE0204839D9}"/>
    <hyperlink ref="O843" r:id="rId751" xr:uid="{55B63D12-8CA4-4094-9C7B-3B5B1FBD94CF}"/>
    <hyperlink ref="O845" r:id="rId752" xr:uid="{66B22DDE-60A1-49C4-B8BE-FDEA2FE92A39}"/>
    <hyperlink ref="O846" r:id="rId753" xr:uid="{5BAEDAE6-DEE1-4598-9F28-44E188BC88D3}"/>
    <hyperlink ref="O847" r:id="rId754" xr:uid="{6755129B-0448-4F73-81F4-21908817A626}"/>
    <hyperlink ref="O848" r:id="rId755" xr:uid="{D4B6DC9F-E78B-495B-ABE8-BDC97BC51A9C}"/>
    <hyperlink ref="O849" r:id="rId756" xr:uid="{15382C65-D7E0-4A35-8A90-ABDF6A7F5B60}"/>
    <hyperlink ref="O850" r:id="rId757" xr:uid="{D7C9CF51-D286-4E26-B84A-34951B2AA3E2}"/>
    <hyperlink ref="O851" r:id="rId758" xr:uid="{9C1EF7DF-F021-4671-8599-F42432A6D3E2}"/>
    <hyperlink ref="O852" r:id="rId759" xr:uid="{66F32D96-000C-4838-BC3E-57A1661C34D6}"/>
    <hyperlink ref="O853" r:id="rId760" xr:uid="{F07050A4-0DA1-4A79-A790-137EF630A500}"/>
    <hyperlink ref="O854" r:id="rId761" xr:uid="{4792EAC9-9CEE-4FCD-B1BA-B800C2FAE3E5}"/>
    <hyperlink ref="O855" r:id="rId762" xr:uid="{8B2A582F-BC4D-497C-BF55-63F8486D7FB8}"/>
    <hyperlink ref="O856" r:id="rId763" xr:uid="{52B8B50D-977D-4F7D-BB50-328816BD0061}"/>
    <hyperlink ref="O857" r:id="rId764" xr:uid="{6C4AB299-884A-4821-ADCF-79724A511C18}"/>
    <hyperlink ref="O858" r:id="rId765" xr:uid="{4383290B-E11E-413B-B5D1-75E9B7859223}"/>
    <hyperlink ref="O859" r:id="rId766" xr:uid="{19867DC4-CA52-4E91-8EB9-D470E440D61A}"/>
    <hyperlink ref="O860" r:id="rId767" xr:uid="{6B7735F8-8021-4424-AD57-CF9BCF9C1C84}"/>
    <hyperlink ref="O861" r:id="rId768" xr:uid="{DB8C5D37-5F42-44C8-B404-B7967326E16D}"/>
    <hyperlink ref="O862" r:id="rId769" xr:uid="{209E1DEC-75FD-4876-87C1-473BCA1E88DA}"/>
    <hyperlink ref="O863" r:id="rId770" xr:uid="{EBA637A4-776A-4972-87EE-17F30716275E}"/>
    <hyperlink ref="O864" r:id="rId771" xr:uid="{91A723C9-D04E-4D42-8A24-6604177BF91C}"/>
    <hyperlink ref="O865" r:id="rId772" xr:uid="{3DB6D8F0-F4E8-4C20-B308-5908716567AB}"/>
    <hyperlink ref="O866" r:id="rId773" xr:uid="{817AB740-B151-4858-9188-B241BFA9EF36}"/>
    <hyperlink ref="O867" r:id="rId774" xr:uid="{C5F08B6C-0B1E-4563-9095-206A8A26BD05}"/>
    <hyperlink ref="O868" r:id="rId775" xr:uid="{65B3CA16-F5B1-4A79-8795-967BCF9D60FA}"/>
    <hyperlink ref="O869" r:id="rId776" xr:uid="{54F8DEDB-4BAE-488E-8C30-A0001A91199E}"/>
    <hyperlink ref="O870" r:id="rId777" xr:uid="{22896FF0-6217-4A56-9DD8-8091766D9CAB}"/>
    <hyperlink ref="O871" r:id="rId778" xr:uid="{CFA6C48A-0250-476F-BA71-FF54B9E495DC}"/>
    <hyperlink ref="O872" r:id="rId779" xr:uid="{31ED1B03-51A4-4961-B218-1CD934501D0D}"/>
    <hyperlink ref="O873" r:id="rId780" xr:uid="{A2BBAD84-E477-4B34-ABAE-D05213574945}"/>
    <hyperlink ref="O874" r:id="rId781" xr:uid="{E5B8DE01-5E24-47C1-9056-84E3A7AF30B5}"/>
    <hyperlink ref="O875" r:id="rId782" xr:uid="{4ECDF850-B1E1-41C7-9FDA-AF16E910E914}"/>
    <hyperlink ref="O876" r:id="rId783" xr:uid="{8E6342EA-FCF9-462E-A01F-142968D5DAE8}"/>
    <hyperlink ref="O877" r:id="rId784" xr:uid="{15F11A27-9395-4676-9523-6E72D0325651}"/>
    <hyperlink ref="O878" r:id="rId785" xr:uid="{81D9D46E-BE6D-41B3-A35A-D4EB97ADFE4D}"/>
    <hyperlink ref="O879" r:id="rId786" xr:uid="{F2181A18-51F5-4972-8C92-00B48C941322}"/>
    <hyperlink ref="O880" r:id="rId787" xr:uid="{EE5E5494-437F-4972-8EDC-0750D43C14BE}"/>
    <hyperlink ref="O881" r:id="rId788" xr:uid="{87D99D2F-D60A-454E-AE85-77B28310E65C}"/>
    <hyperlink ref="O882" r:id="rId789" xr:uid="{595CDDC5-5C99-4B0B-AA8E-D58C83B65F83}"/>
    <hyperlink ref="O883" r:id="rId790" xr:uid="{E7261247-8A6F-44C6-824E-3C5FA7C87B24}"/>
    <hyperlink ref="O884" r:id="rId791" xr:uid="{0389A1A5-ED03-4B35-AA82-643632F6BE5B}"/>
    <hyperlink ref="O885" r:id="rId792" xr:uid="{0205FC6A-17D7-4E27-B94B-2D0E0E65527F}"/>
    <hyperlink ref="O886" r:id="rId793" xr:uid="{8F3D8D86-4433-4C26-95C9-3B80A1FA5FA7}"/>
    <hyperlink ref="O887" r:id="rId794" xr:uid="{D06A4152-7EA2-4E61-BE8E-6A7B7181F22C}"/>
    <hyperlink ref="O888" r:id="rId795" xr:uid="{012ACCA3-D955-458B-9D90-40326DA0DEA3}"/>
    <hyperlink ref="O889" r:id="rId796" xr:uid="{7105A98C-81A8-4F2B-955D-9EBF34DE1924}"/>
    <hyperlink ref="O890" r:id="rId797" xr:uid="{A043273C-39A9-416B-8046-1BDAFFBCDFB4}"/>
    <hyperlink ref="O891" r:id="rId798" xr:uid="{E4805CC4-1306-471C-8A01-A2F0E2AC1F5E}"/>
    <hyperlink ref="O892" r:id="rId799" xr:uid="{8EBF810D-4D2D-4959-90D5-E1B00862FFC0}"/>
    <hyperlink ref="O893" r:id="rId800" xr:uid="{FDEDC14F-71E7-4AB2-A3B8-529E96B5765E}"/>
    <hyperlink ref="O894" r:id="rId801" xr:uid="{1C46CD85-EB17-4AAF-8BB3-CB9070E04E78}"/>
    <hyperlink ref="O895" r:id="rId802" xr:uid="{22559BE1-A38A-448C-9E59-77418343CFC8}"/>
    <hyperlink ref="O896" r:id="rId803" xr:uid="{B1794E6D-D846-4653-879A-7E5907C4B62D}"/>
    <hyperlink ref="O897" r:id="rId804" xr:uid="{86040CA0-0C9E-481E-A1B4-1769E491BFC3}"/>
    <hyperlink ref="O898" r:id="rId805" xr:uid="{869D76B7-CF28-4F97-88A0-639B012713F5}"/>
    <hyperlink ref="O900" r:id="rId806" xr:uid="{1E401336-3534-400E-9325-E430DF9097A4}"/>
    <hyperlink ref="O901" r:id="rId807" xr:uid="{6E63F7A2-BE21-47CF-8CC7-C2A22B81CB38}"/>
    <hyperlink ref="O902" r:id="rId808" xr:uid="{68D3BEBC-710D-4FAE-B7C0-F8F74C9A8DDB}"/>
    <hyperlink ref="O903" r:id="rId809" xr:uid="{2F28C493-1EA0-4F1F-A4DE-28EA8E5996E4}"/>
    <hyperlink ref="O904" r:id="rId810" xr:uid="{B440709F-FBA9-48B4-8076-DE7DF7138B1B}"/>
    <hyperlink ref="O905" r:id="rId811" xr:uid="{184507BC-FDFB-478B-AEE3-86E5D95CCAB6}"/>
    <hyperlink ref="O906" r:id="rId812" xr:uid="{A13AD9DB-EAF1-435B-A88D-2A7A598E4825}"/>
    <hyperlink ref="O907" r:id="rId813" xr:uid="{75B84629-C1E6-48BB-AD44-423EFBC0E582}"/>
    <hyperlink ref="O908" r:id="rId814" xr:uid="{EEB481E8-50B6-472B-BE4D-EDA9B3D6FEA9}"/>
    <hyperlink ref="O910" r:id="rId815" xr:uid="{6AA765B5-9C8D-4F4F-A6F2-0D2D02426D41}"/>
    <hyperlink ref="O911" r:id="rId816" xr:uid="{40D50E50-B0E0-46D0-90CE-AE4FB15729AE}"/>
    <hyperlink ref="O912" r:id="rId817" xr:uid="{3613ACE8-6BB8-4E10-84E0-1FD91E27CDBA}"/>
    <hyperlink ref="O913" r:id="rId818" xr:uid="{0139FCD1-5A59-4AD4-A4E4-3A27F61495E9}"/>
    <hyperlink ref="O914" r:id="rId819" xr:uid="{88291F60-52DE-47AC-8A1D-6C07F91F8E6E}"/>
    <hyperlink ref="O915" r:id="rId820" xr:uid="{62DCD590-6225-46E8-B5B2-0D0854B6BD9F}"/>
    <hyperlink ref="O916" r:id="rId821" xr:uid="{37E8FAC7-3503-412F-8102-3AE3C06A4217}"/>
    <hyperlink ref="O917" r:id="rId822" xr:uid="{FCDEC379-D8B7-4CD8-B0AE-F5E5419A2F57}"/>
    <hyperlink ref="O918" r:id="rId823" xr:uid="{686B1A3F-0869-471F-B3CC-434EE9E7796E}"/>
    <hyperlink ref="O919" r:id="rId824" xr:uid="{F1457FF3-7BB7-41EA-A638-825878DECA23}"/>
    <hyperlink ref="O920" r:id="rId825" xr:uid="{CCD7A505-3FF3-4611-93D7-C10AB2BEEED9}"/>
    <hyperlink ref="O921" r:id="rId826" xr:uid="{3DCA657B-6AE5-44D0-92F9-9D617D68479D}"/>
    <hyperlink ref="O922" r:id="rId827" xr:uid="{D3337D05-E00E-420C-A2AE-88639ECA6645}"/>
    <hyperlink ref="O923" r:id="rId828" xr:uid="{AB0C4579-2487-47EE-8B65-CBFF4E0E557D}"/>
    <hyperlink ref="O924" r:id="rId829" xr:uid="{BA3B9269-4246-47BE-867F-6053EA8DB86D}"/>
    <hyperlink ref="O925" r:id="rId830" xr:uid="{5B4D2C3E-570D-4CD1-883F-6D5219ADA977}"/>
    <hyperlink ref="O926" r:id="rId831" xr:uid="{16CD7962-751D-4329-95C8-65CEF5870364}"/>
    <hyperlink ref="O927" r:id="rId832" xr:uid="{D5353444-6D06-4049-9194-44DDBC8B4733}"/>
    <hyperlink ref="O928" r:id="rId833" xr:uid="{041F22F0-D060-474B-90A3-2FA79F72EC18}"/>
    <hyperlink ref="O929" r:id="rId834" xr:uid="{90944EFD-9078-4E22-BB50-9969FF896033}"/>
    <hyperlink ref="O930" r:id="rId835" xr:uid="{EABAE5A2-77CA-4D0D-A2F1-6A82C8620281}"/>
    <hyperlink ref="O931" r:id="rId836" xr:uid="{D388D821-A34F-4ACF-A02A-D97B8D9C58CD}"/>
    <hyperlink ref="O932" r:id="rId837" xr:uid="{F2E03C0E-8E7C-4CBB-942B-0582C0AD2EAE}"/>
    <hyperlink ref="O934" r:id="rId838" xr:uid="{FC2AF7F7-2B21-4CC3-AE31-026563E87C4B}"/>
    <hyperlink ref="O935" r:id="rId839" xr:uid="{99DFEB86-B1D9-49C1-BEED-B35F10035BE7}"/>
    <hyperlink ref="O936" r:id="rId840" xr:uid="{D9EDC538-C423-465B-8CA2-CA3EC53E0313}"/>
    <hyperlink ref="O937" r:id="rId841" xr:uid="{3D7CC24E-EA57-431E-9616-6E082B95AC1C}"/>
    <hyperlink ref="O938" r:id="rId842" xr:uid="{ECE46E34-6C98-4A7F-94DF-210D9FA9F6EB}"/>
    <hyperlink ref="O939" r:id="rId843" xr:uid="{9454D57D-481A-4AF6-AD0E-8974C28C7C92}"/>
    <hyperlink ref="O940" r:id="rId844" xr:uid="{B4515985-3B46-437E-8FC9-F301C0F8BB77}"/>
    <hyperlink ref="O941" r:id="rId845" xr:uid="{A1E4CC99-9E36-470C-9E51-3A6036F46B18}"/>
    <hyperlink ref="O942" r:id="rId846" xr:uid="{CB453F8D-2494-47FC-8FC2-7A45DE972CAD}"/>
    <hyperlink ref="O943" r:id="rId847" xr:uid="{79216889-DC4C-4A47-92C3-388D41280BE9}"/>
    <hyperlink ref="O944" r:id="rId848" xr:uid="{D09D47E9-98C2-4933-8B46-329661AB4B5A}"/>
    <hyperlink ref="O945" r:id="rId849" xr:uid="{98BA8257-4DAE-477E-A6ED-D7CB5EC6C45C}"/>
    <hyperlink ref="O946" r:id="rId850" xr:uid="{8CE1253E-1421-4494-B03A-D6DC2A0B11C6}"/>
    <hyperlink ref="O947" r:id="rId851" xr:uid="{CD4E32FD-A4BB-4A17-B210-B8335D6C75A6}"/>
    <hyperlink ref="O948" r:id="rId852" xr:uid="{85CC8363-13CE-4E6D-96EF-EEAA17348B3B}"/>
    <hyperlink ref="O949" r:id="rId853" xr:uid="{7A48B3C6-7DEF-4229-97FC-D607D5922F90}"/>
    <hyperlink ref="O951" r:id="rId854" xr:uid="{EF808329-ADE3-473C-BED0-C1AECF99A641}"/>
    <hyperlink ref="O952" r:id="rId855" xr:uid="{C3CA243B-9DD3-47C1-B4ED-30AD0ADF29F3}"/>
    <hyperlink ref="O953" r:id="rId856" xr:uid="{7D397B4C-56F0-4E49-98B0-5572A50D5393}"/>
    <hyperlink ref="O954" r:id="rId857" xr:uid="{83F06B3B-0198-4A45-AE49-0623904A01A2}"/>
    <hyperlink ref="O955" r:id="rId858" xr:uid="{AEA16C5C-7214-43DB-9940-02AF20963517}"/>
    <hyperlink ref="O957" r:id="rId859" xr:uid="{CDC0FE75-7C34-4477-91F0-EE7D9B2DA71E}"/>
    <hyperlink ref="O958" r:id="rId860" xr:uid="{67FA1CD8-CE7A-4349-B5AE-B44A8970843B}"/>
    <hyperlink ref="O959" r:id="rId861" xr:uid="{30F42F1F-6105-4B6F-85A9-8F044AB62AD7}"/>
    <hyperlink ref="O960" r:id="rId862" xr:uid="{CC40CAD5-826A-4474-8BAC-BBD0EB38D3E3}"/>
    <hyperlink ref="O961" r:id="rId863" xr:uid="{8CF37AB7-947A-4F48-B68D-F5A2569886D6}"/>
    <hyperlink ref="O963" r:id="rId864" xr:uid="{2943CABE-A1FB-4C4A-B8C7-DC85A27CEBC7}"/>
    <hyperlink ref="O964" r:id="rId865" xr:uid="{737526DF-74F6-414D-9A5B-C28FF1CD4172}"/>
    <hyperlink ref="O965" r:id="rId866" xr:uid="{8D529C5B-AD5E-4FD0-928F-A37819F6A4E1}"/>
    <hyperlink ref="O966" r:id="rId867" xr:uid="{C1467E3C-981C-499F-87C8-93BD06BE892E}"/>
    <hyperlink ref="O967" r:id="rId868" xr:uid="{4431ACA4-FFCA-4CFC-B9CE-B3A066C59169}"/>
    <hyperlink ref="O968" r:id="rId869" xr:uid="{B878844B-F010-4491-A5BC-BC102FA59D73}"/>
    <hyperlink ref="O969" r:id="rId870" xr:uid="{E3283D95-CDB0-4971-8D1A-B5DFF4E29469}"/>
    <hyperlink ref="O970" r:id="rId871" xr:uid="{9A301CB7-7D40-4DF0-A856-ABDF41432BD7}"/>
    <hyperlink ref="O971" r:id="rId872" xr:uid="{5B45DE06-1E67-4B58-B22E-44CE7082CD30}"/>
    <hyperlink ref="O972" r:id="rId873" xr:uid="{2A495B82-A501-4624-B82C-1385F36C0B39}"/>
    <hyperlink ref="O973" r:id="rId874" xr:uid="{90FC0243-9AC6-4702-A295-0C4CA0CBA552}"/>
    <hyperlink ref="O974" r:id="rId875" xr:uid="{DB9F5268-BB4F-482E-8B91-D8DF3E82156A}"/>
    <hyperlink ref="O975" r:id="rId876" xr:uid="{CAD4BFC4-7DEC-4B63-9BA9-A9B8C86A0183}"/>
    <hyperlink ref="O976" r:id="rId877" xr:uid="{DD0A0E19-00F4-4776-BCCC-1B4ADE0DBFE4}"/>
    <hyperlink ref="O977" r:id="rId878" xr:uid="{5BC942A8-E20E-4933-9F97-E6652DB3BF7B}"/>
    <hyperlink ref="O978" r:id="rId879" xr:uid="{FE2756E5-7950-44E3-9594-5553B6BC2611}"/>
    <hyperlink ref="O980" r:id="rId880" xr:uid="{32A321D4-3097-4E9B-B723-551839124916}"/>
    <hyperlink ref="O983" r:id="rId881" xr:uid="{E9534406-E541-41DE-8602-5620599F1199}"/>
    <hyperlink ref="O984" r:id="rId882" xr:uid="{DE854DCE-2F8E-4141-8FCA-2C7FD5937E5A}"/>
    <hyperlink ref="O986" r:id="rId883" xr:uid="{03F265B5-432A-423D-84A8-B5072B719D87}"/>
    <hyperlink ref="O987" r:id="rId884" xr:uid="{E64E8C6B-C82D-439D-A665-7765D68A035C}"/>
    <hyperlink ref="O988" r:id="rId885" xr:uid="{509EB043-651A-4902-BB11-CCF922E6FF0F}"/>
    <hyperlink ref="O989" r:id="rId886" xr:uid="{5C973503-06FC-49DE-84F6-EC6BFDAB91EE}"/>
    <hyperlink ref="O990" r:id="rId887" xr:uid="{01DD677B-F9D2-4911-8C73-608D96DC177F}"/>
    <hyperlink ref="O991" r:id="rId888" xr:uid="{22A5DAC5-024F-4581-AABC-B5EB69AD2DA8}"/>
    <hyperlink ref="O992" r:id="rId889" xr:uid="{FC8B50A7-EAB6-4FE8-B299-3C8AAB1AA48C}"/>
    <hyperlink ref="O993" r:id="rId890" xr:uid="{1EC69A43-59BF-44B3-A0EF-9EEA9524BA66}"/>
    <hyperlink ref="O994" r:id="rId891" xr:uid="{6E0DFDDE-03B7-415D-BFE8-45F0B23D15DC}"/>
    <hyperlink ref="O995" r:id="rId892" xr:uid="{32A27CCE-701D-4A78-8457-D74F34D595BF}"/>
    <hyperlink ref="O996" r:id="rId893" xr:uid="{5A399D5B-E9E4-41BA-AB6A-0EB71D2FCA66}"/>
    <hyperlink ref="O997" r:id="rId894" xr:uid="{80FABAF0-7044-45D2-A3A0-C93DD6534C30}"/>
    <hyperlink ref="O998" r:id="rId895" xr:uid="{395E0594-1A1E-49D9-9D64-6E5DFED43223}"/>
    <hyperlink ref="O999" r:id="rId896" xr:uid="{0399EED6-751D-49A3-93A3-3BCB1FA40C7F}"/>
    <hyperlink ref="O1000" r:id="rId897" xr:uid="{127E70B4-E62E-47C6-A716-532AC159DE34}"/>
    <hyperlink ref="O1001" r:id="rId898" xr:uid="{430495BF-CB9A-48DE-86A5-21376EA19A2E}"/>
    <hyperlink ref="O1002" r:id="rId899" xr:uid="{319B3FEA-A756-4D6C-9EE2-E27248DF8F5A}"/>
    <hyperlink ref="O1003" r:id="rId900" xr:uid="{740CC9EC-EC25-4A61-AFC1-88E782B14666}"/>
    <hyperlink ref="O1004" r:id="rId901" xr:uid="{47F0E358-7665-4580-809F-4A1034B8B819}"/>
    <hyperlink ref="O1005" r:id="rId902" xr:uid="{7B4A2D03-E8B6-4C46-A91E-AD9E7AAA2CB5}"/>
    <hyperlink ref="O1006" r:id="rId903" xr:uid="{7F37C271-2DC2-4D86-B144-1AC5B5D7BC09}"/>
    <hyperlink ref="O1007" r:id="rId904" xr:uid="{79378A7B-6DBF-45BA-99B3-120C351FDD21}"/>
    <hyperlink ref="O1008" r:id="rId905" xr:uid="{2C96D6AA-50D8-404B-A286-616DC640C267}"/>
    <hyperlink ref="O1009" r:id="rId906" xr:uid="{ED1CEC6F-6A4A-4630-BD66-76C8407758A7}"/>
    <hyperlink ref="O1011" r:id="rId907" xr:uid="{E318D2DA-4C9B-461A-AB13-4E85CB743B37}"/>
    <hyperlink ref="O1010" r:id="rId908" xr:uid="{61027DA4-51CC-466F-B58E-0A9D56BE681C}"/>
    <hyperlink ref="O1012" r:id="rId909" xr:uid="{2607A01D-20A8-4B96-82D1-068487B588C7}"/>
    <hyperlink ref="O1015" r:id="rId910" xr:uid="{FF07C219-9E85-44A6-B828-FD98EF0E3F5B}"/>
    <hyperlink ref="O1014" r:id="rId911" xr:uid="{7A7B5B7B-D25C-4A96-9299-7FF70A1CFF9C}"/>
    <hyperlink ref="O1013" r:id="rId912" xr:uid="{390B5AB8-25DF-48A6-B7AB-60B79C7E64E2}"/>
    <hyperlink ref="O1016" r:id="rId913" xr:uid="{E6BDC434-80A8-42E6-A4D3-267A83ED6F87}"/>
    <hyperlink ref="O1017" r:id="rId914" xr:uid="{DDFD419D-4A7A-455B-82C1-A00E21095CBE}"/>
    <hyperlink ref="O1018" r:id="rId915" xr:uid="{28B252DD-A3DE-464A-B189-89E76B9ABABC}"/>
    <hyperlink ref="O1019" r:id="rId916" xr:uid="{2DD43648-E06D-4226-B4BD-85525D1ADA53}"/>
    <hyperlink ref="O1020" r:id="rId917" xr:uid="{1C94F7A5-5537-42DC-A5ED-D1945F2E6F37}"/>
    <hyperlink ref="O1021" r:id="rId918" xr:uid="{0CE7B703-F4DA-4B7C-9069-B5CC1EE3412B}"/>
    <hyperlink ref="O1022" r:id="rId919" xr:uid="{8A0C56F8-2D7E-413D-A116-42689A72E73A}"/>
    <hyperlink ref="O1023" r:id="rId920" xr:uid="{B8DC87C1-4E9A-44CA-8D42-043A3560B5FD}"/>
    <hyperlink ref="O1025" r:id="rId921" xr:uid="{DC4C88E7-16CA-455C-B447-D69DB7367A03}"/>
    <hyperlink ref="O1026" r:id="rId922" xr:uid="{ECC2400F-CF18-4232-ADD8-2BCF00A17603}"/>
    <hyperlink ref="O1027" r:id="rId923" xr:uid="{54575C05-44C9-4065-A1AE-22E00BE258C0}"/>
    <hyperlink ref="O1028" r:id="rId924" xr:uid="{192D01B5-8E26-4664-A790-7F1FD4A48245}"/>
    <hyperlink ref="O1024" r:id="rId925" display="mailto:miltonmonstersoundvgv@gmail.com" xr:uid="{C3DE5294-2DA7-4C58-A98C-341E397553BB}"/>
    <hyperlink ref="O1029" r:id="rId926" xr:uid="{8C2682FA-7ABA-47D9-8778-F2EA795BF4C7}"/>
    <hyperlink ref="O1030" r:id="rId927" xr:uid="{38D1CDA3-E180-46EF-980F-738BFCC567E5}"/>
    <hyperlink ref="O1031" r:id="rId928" xr:uid="{1B0CA32F-270F-45FA-A383-C83602EAEBC4}"/>
    <hyperlink ref="O1032" r:id="rId929" xr:uid="{30C70565-915B-4813-881D-385ED6AC2E4C}"/>
    <hyperlink ref="O1033" r:id="rId930" xr:uid="{9A81A77A-A9ED-4231-A26B-C7ED1A5FC72D}"/>
    <hyperlink ref="O1034" r:id="rId931" xr:uid="{C6C022A4-0595-43B5-9B1A-E6E90098E17C}"/>
    <hyperlink ref="O1035" r:id="rId932" xr:uid="{9A7A9557-E671-4B36-8545-1DC4443B9FC0}"/>
    <hyperlink ref="O1036" r:id="rId933" xr:uid="{70E28BC0-99A0-4EAF-9F7F-0E3AFD479588}"/>
    <hyperlink ref="O1037" r:id="rId934" xr:uid="{B5253E36-0E75-4BB2-8F44-CDF4F099C229}"/>
    <hyperlink ref="O1038" r:id="rId935" xr:uid="{B471C6E7-1BA4-4FD8-81DB-E89A497E70E3}"/>
    <hyperlink ref="O1039" r:id="rId936" xr:uid="{C8BB085A-3559-4F28-80E0-71929B9E1282}"/>
    <hyperlink ref="O1040" r:id="rId937" xr:uid="{E687FCD2-AAF0-4254-8664-38624CE41F31}"/>
    <hyperlink ref="O1041" r:id="rId938" xr:uid="{8B2D8506-4716-42E2-835C-84237FE4C486}"/>
    <hyperlink ref="O1042" r:id="rId939" xr:uid="{ECC0B8BA-E66C-40E5-B5D3-B55D98C5DC75}"/>
    <hyperlink ref="O1043" r:id="rId940" xr:uid="{3BE437BC-DBBC-481A-8F07-0109CE2D5C28}"/>
    <hyperlink ref="O1045" r:id="rId941" xr:uid="{6D328C93-8902-42D0-99DC-AF4F058012D8}"/>
    <hyperlink ref="O1044" r:id="rId942" xr:uid="{3C01E90E-7F21-43AD-8CDF-A7B652109DD6}"/>
    <hyperlink ref="O1046" r:id="rId943" xr:uid="{28422E33-DE84-46BA-B7AD-6FC8125151CE}"/>
    <hyperlink ref="O1047" r:id="rId944" xr:uid="{FB6FC95A-9263-4C18-8CA0-C7AC5B666FB0}"/>
    <hyperlink ref="O1048" r:id="rId945" xr:uid="{8E375C27-6226-4E94-A02C-8D6053A4EC4F}"/>
    <hyperlink ref="O1049" r:id="rId946" xr:uid="{9B2DB831-82CB-4EA1-8850-E3BE7F2B508E}"/>
    <hyperlink ref="O1050" r:id="rId947" xr:uid="{C1D1FB22-2944-4FC9-977D-266D387F028B}"/>
    <hyperlink ref="O1051" r:id="rId948" xr:uid="{4F53D4A3-E43C-4E32-8220-68AD3038D115}"/>
    <hyperlink ref="O1052" r:id="rId949" xr:uid="{5ED6D535-7AF0-48EA-9328-9AECB218F728}"/>
    <hyperlink ref="O1053" r:id="rId950" xr:uid="{C366AE43-CA5B-4FED-B786-E1423C8E8495}"/>
    <hyperlink ref="O1054" r:id="rId951" xr:uid="{2755AF5F-D26B-4CA5-B976-6FE13EBD2603}"/>
    <hyperlink ref="O1055" r:id="rId952" xr:uid="{AA17E5C3-F1E0-45D7-A778-2A5A5245DABC}"/>
    <hyperlink ref="O1056" r:id="rId953" xr:uid="{ADEFA6BE-52F3-4D5F-BC47-9ECDA02D5DBF}"/>
    <hyperlink ref="O1057" r:id="rId954" xr:uid="{65825D61-75C4-4137-927D-3B0E7A1A09ED}"/>
    <hyperlink ref="O1058" r:id="rId955" xr:uid="{85F4CFF6-5C81-40AC-89E1-ED2C5D0B0E05}"/>
    <hyperlink ref="O1059" r:id="rId956" xr:uid="{44602985-5D41-45CD-848F-CE1D885C3A26}"/>
    <hyperlink ref="O1060" r:id="rId957" xr:uid="{97511EAA-06BB-485D-9477-AC88E6B97087}"/>
    <hyperlink ref="O1061" r:id="rId958" xr:uid="{08CE1BE9-D8B1-48CC-91C3-DD5BA1B0047F}"/>
    <hyperlink ref="O1062" r:id="rId959" xr:uid="{B72FB826-7922-4241-BB2F-2B3D22C517FD}"/>
    <hyperlink ref="O1064" r:id="rId960" xr:uid="{C94A7D34-B213-4F59-9AAE-A80D15007338}"/>
    <hyperlink ref="O1065" r:id="rId961" xr:uid="{2C803890-736A-4005-ADBB-DED86EDCA3C9}"/>
    <hyperlink ref="O1066" r:id="rId962" xr:uid="{54A41EDB-AF0B-46EF-848F-9EC8E7C0C3AB}"/>
    <hyperlink ref="O1067" r:id="rId963" xr:uid="{1F97475C-62A9-4183-8307-7B3F2771800F}"/>
    <hyperlink ref="O1069" r:id="rId964" xr:uid="{35DC18A4-1C68-4712-9B75-3166FC72B4F5}"/>
    <hyperlink ref="O1068" r:id="rId965" xr:uid="{F29C0272-9177-4353-BE57-AD9DED5C7959}"/>
    <hyperlink ref="O1070" r:id="rId966" xr:uid="{60110945-CB35-43EA-8F94-15BFE7B8FF30}"/>
    <hyperlink ref="O1071" r:id="rId967" xr:uid="{F02250CC-3559-4A21-8D5A-91904FAC75DA}"/>
    <hyperlink ref="O1072" r:id="rId968" xr:uid="{4A0B8CBF-F20E-470C-A65C-D1B633867DAE}"/>
    <hyperlink ref="O1073" r:id="rId969" xr:uid="{23CEB083-7801-4985-9FBA-BEACA2B7EE39}"/>
    <hyperlink ref="O1074" r:id="rId970" xr:uid="{E54AF62E-977D-43EC-89B6-458E157EBF34}"/>
    <hyperlink ref="O1075" r:id="rId971" xr:uid="{6B86E76F-8F4F-420F-99B6-9491A623C0A3}"/>
    <hyperlink ref="O1076" r:id="rId972" xr:uid="{14358C53-AAFF-48F4-BFB7-DBC8E17C8EEC}"/>
    <hyperlink ref="O1077" r:id="rId973" xr:uid="{54BB75C4-4467-4101-80E0-2B64E54ABBCD}"/>
    <hyperlink ref="O1078" r:id="rId974" xr:uid="{9D7F9A25-81AE-4255-B647-777B2D486438}"/>
    <hyperlink ref="O1079" r:id="rId975" xr:uid="{C4A7D78C-265C-44EA-8541-90702840A546}"/>
    <hyperlink ref="O1080" r:id="rId976" xr:uid="{C6D4C69B-7A4B-4395-A1D2-B9F042F1F4E5}"/>
    <hyperlink ref="O1081" r:id="rId977" xr:uid="{7B22963E-5551-457A-AAD8-52CC9080791E}"/>
    <hyperlink ref="O1082" r:id="rId978" xr:uid="{29345D21-0FC8-4309-A726-C5B584A61CDA}"/>
    <hyperlink ref="O1083" r:id="rId979" xr:uid="{FA13DDAF-7D7C-4300-B7EE-40775F463583}"/>
    <hyperlink ref="O1084" r:id="rId980" xr:uid="{FB800A0D-3BE6-4291-A26E-61470730063C}"/>
    <hyperlink ref="O1085" r:id="rId981" xr:uid="{F9E76B3B-BEEC-420B-B56A-7769A0072441}"/>
    <hyperlink ref="O1086" r:id="rId982" xr:uid="{8D8CE623-B3F4-4510-841F-1C73711C3BAF}"/>
    <hyperlink ref="O1087" r:id="rId983" xr:uid="{340F5340-5210-4EEB-B613-BD2E76222B6C}"/>
    <hyperlink ref="O1088" r:id="rId984" xr:uid="{BEE742A8-15B0-4F1D-B60D-C5FF59E87161}"/>
    <hyperlink ref="O1089" r:id="rId985" xr:uid="{7190E716-C35C-4958-8E46-486EB2A4860B}"/>
    <hyperlink ref="O1090" r:id="rId986" xr:uid="{E5146D7E-08E8-4F77-B2C0-FCA8C48643D3}"/>
    <hyperlink ref="O1091" r:id="rId987" xr:uid="{23DFE96E-4FE7-4E6B-B2A1-B24DA98CF315}"/>
    <hyperlink ref="O1092" r:id="rId988" xr:uid="{EFD684C8-344B-4664-BEAE-CFD9654FBDC2}"/>
    <hyperlink ref="O1093" r:id="rId989" xr:uid="{B216FA0D-8A25-4976-A872-CD78E9B5EA9D}"/>
    <hyperlink ref="O1094" r:id="rId990" xr:uid="{98033253-F053-4D08-8876-040ED11FBB69}"/>
    <hyperlink ref="O1095" r:id="rId991" xr:uid="{2026FDFE-A054-427D-8B28-5491BFC89C94}"/>
    <hyperlink ref="O1096" r:id="rId992" xr:uid="{3A74A393-B71B-4D1C-8404-AA46ADB7AC40}"/>
    <hyperlink ref="O1097" r:id="rId993" xr:uid="{2A6249FC-B680-448C-8CAD-F35CDF5169FD}"/>
    <hyperlink ref="O1098" r:id="rId994" xr:uid="{9AFE4408-F678-4DEA-B817-A98C77A30ACE}"/>
    <hyperlink ref="O1099" r:id="rId995" xr:uid="{541A090B-1AB1-4D2B-A1C4-D34E67BF3534}"/>
    <hyperlink ref="O1100" r:id="rId996" xr:uid="{0DB45D39-2EE6-4649-AA43-5D3A78E635D9}"/>
    <hyperlink ref="O1101" r:id="rId997" xr:uid="{B40A43FB-95DE-4CA2-B9FE-492E887DDF00}"/>
    <hyperlink ref="O1102" r:id="rId998" xr:uid="{CCA47620-068D-4A0A-80C2-E8B4EB89E2EE}"/>
    <hyperlink ref="O1103" r:id="rId999" xr:uid="{728F9929-B5AB-45E9-AD99-7551AF3DC208}"/>
    <hyperlink ref="O1104" r:id="rId1000" xr:uid="{00EB037B-BEF3-4664-B8A8-477C23FA26FA}"/>
    <hyperlink ref="O1105" r:id="rId1001" xr:uid="{98C19D0B-FAFE-44F9-857A-B609EBC2C9B3}"/>
    <hyperlink ref="O1106" r:id="rId1002" xr:uid="{D2EEDC5B-1032-4874-8D5E-47303C96C5C9}"/>
    <hyperlink ref="O1107" r:id="rId1003" xr:uid="{51A7A880-6A69-43DE-9AFD-96BFF0AAC10F}"/>
    <hyperlink ref="O1108" r:id="rId1004" xr:uid="{1B7EF0B6-F20B-47B3-BD53-EB7F5DACA83D}"/>
    <hyperlink ref="O1109" r:id="rId1005" xr:uid="{74D25583-8CB0-405C-A1D8-C00AE7EE146B}"/>
    <hyperlink ref="O1110" r:id="rId1006" xr:uid="{2C801C7B-B979-47A3-B74F-D52B23B38D7E}"/>
    <hyperlink ref="O1111" r:id="rId1007" xr:uid="{F313CD00-1FCA-4B18-9FCE-D265E0C37241}"/>
    <hyperlink ref="O1112" r:id="rId1008" xr:uid="{6EBF6840-4FCA-462E-AA0F-CBED47C2176A}"/>
    <hyperlink ref="O1113" r:id="rId1009" xr:uid="{C402FEE6-ABAF-4AC1-B9A7-F661FD16F2EA}"/>
    <hyperlink ref="O1114" r:id="rId1010" xr:uid="{DB432B9F-18EA-466E-8F59-2DAFCCDD6FB0}"/>
    <hyperlink ref="O1115" r:id="rId1011" xr:uid="{4CB5BFFE-0035-4A9C-BF3F-3FE7CFD65465}"/>
    <hyperlink ref="O1117" r:id="rId1012" xr:uid="{B0E1F7DD-847F-4EA3-9C5D-81CFAF9DFD0C}"/>
    <hyperlink ref="O1118" r:id="rId1013" xr:uid="{EC151B77-4335-4383-8232-C8734F6809A1}"/>
    <hyperlink ref="O1119" r:id="rId1014" xr:uid="{C5D022C1-7BA9-4A2E-AF19-CD37B154C98C}"/>
    <hyperlink ref="O1120" r:id="rId1015" xr:uid="{538D2CB8-EB1A-4D00-81D0-5CFEFFD2E1D1}"/>
    <hyperlink ref="O1121" r:id="rId1016" xr:uid="{79A27C02-4D9B-4B32-A2B2-EDA16761441B}"/>
    <hyperlink ref="O1122" r:id="rId1017" xr:uid="{6E9BD8C1-BA90-4C8B-9A7D-3F04B602B2CA}"/>
    <hyperlink ref="O1123" r:id="rId1018" xr:uid="{91E630F7-996A-41C5-8ECD-8809A7FD0DA8}"/>
    <hyperlink ref="O1124" r:id="rId1019" xr:uid="{02023BCF-C657-4D80-A0EB-C49FD8015F07}"/>
    <hyperlink ref="O1125" r:id="rId1020" xr:uid="{9AD8FF29-4D9E-44B8-9E11-FC8CD19B7DDF}"/>
    <hyperlink ref="O1128" r:id="rId1021" xr:uid="{39A186F5-AEA1-44EE-95D8-35FFCE5AA3A7}"/>
    <hyperlink ref="O1129" r:id="rId1022" xr:uid="{44447450-4E1A-4FBF-914D-D17A06C148A0}"/>
    <hyperlink ref="O1132" r:id="rId1023" xr:uid="{FBD5B233-6DE6-44A7-8A37-C3D363835331}"/>
    <hyperlink ref="O1131" r:id="rId1024" xr:uid="{B2E53AD7-F034-4257-B854-90583382928B}"/>
    <hyperlink ref="O1133" r:id="rId1025" xr:uid="{9CFD40B8-22F8-44B3-8878-373D1E514DCD}"/>
    <hyperlink ref="O1134" r:id="rId1026" xr:uid="{DA51195B-13D4-4B70-8466-8EF3C4920DCC}"/>
    <hyperlink ref="O1135" r:id="rId1027" xr:uid="{016F075C-6A58-4F64-B058-CDB137EE72B7}"/>
    <hyperlink ref="O1136" r:id="rId1028" xr:uid="{9600963F-B4A0-4953-8FBF-62D89936BA78}"/>
    <hyperlink ref="O1137" r:id="rId1029" xr:uid="{C3101A0F-7D74-454A-93F4-EC43B2747B45}"/>
    <hyperlink ref="O1138" r:id="rId1030" xr:uid="{CAF6BE55-8142-4CDB-B6A5-D6AFBAA4A8CA}"/>
    <hyperlink ref="O1139" r:id="rId1031" xr:uid="{94DC21AF-FC75-430D-A172-3C11A05F2CAE}"/>
    <hyperlink ref="O1140" r:id="rId1032" xr:uid="{9464746B-463C-473F-AE04-5154B34D2619}"/>
    <hyperlink ref="O1143" r:id="rId1033" xr:uid="{609A296F-711E-47EB-AA39-1630441208F6}"/>
    <hyperlink ref="O1142" r:id="rId1034" xr:uid="{9F684ED8-6F16-494F-987B-300EBB58202C}"/>
    <hyperlink ref="O1144" r:id="rId1035" xr:uid="{01EBD97C-8904-42DD-87AE-8BAD34C7FA35}"/>
    <hyperlink ref="O1145" r:id="rId1036" xr:uid="{671CF552-E905-4AEE-A6C3-B750D41153AA}"/>
    <hyperlink ref="O1146" r:id="rId1037" xr:uid="{90120CA2-7BA5-4A16-8A5E-7BF0096B3E75}"/>
    <hyperlink ref="O1147" r:id="rId1038" xr:uid="{CE2C2D76-179F-4673-B732-0CED17A5A6E0}"/>
    <hyperlink ref="O1148" r:id="rId1039" xr:uid="{34240A23-36AA-4692-95EA-51B89538B106}"/>
    <hyperlink ref="O1149" r:id="rId1040" xr:uid="{395A5B80-35D8-4B37-B253-793FBF20C8D3}"/>
    <hyperlink ref="O1150" r:id="rId1041" xr:uid="{843D7F02-1D06-448A-BB6B-5078DEFF9832}"/>
    <hyperlink ref="O1151" r:id="rId1042" xr:uid="{B0161101-7FED-4C59-B5E8-4B802B85292C}"/>
    <hyperlink ref="O1152" r:id="rId1043" xr:uid="{5B99012F-98C7-4048-915C-A5EE83341BB0}"/>
    <hyperlink ref="O1153" r:id="rId1044" xr:uid="{D96D4EA8-B190-432E-8565-CC10B83D1C6F}"/>
    <hyperlink ref="O1154" r:id="rId1045" xr:uid="{A3133E39-8CE7-4274-B5B7-56310DA39DC2}"/>
    <hyperlink ref="O1155" r:id="rId1046" xr:uid="{850C9C47-03A6-4772-A10F-A7B9F8653E27}"/>
    <hyperlink ref="O1156" r:id="rId1047" xr:uid="{1AEE290D-5CF5-430D-A45F-F98E24E69E6A}"/>
    <hyperlink ref="O1157" r:id="rId1048" xr:uid="{46E9C032-B60C-4752-BDD5-D3F84A501B68}"/>
    <hyperlink ref="O1158" r:id="rId1049" xr:uid="{9FBDCF74-D791-4D8E-9290-7C6AFBCDF8B7}"/>
    <hyperlink ref="O1159" r:id="rId1050" xr:uid="{62EEBCE2-4ADE-4B00-887A-5D1C653C3A2C}"/>
    <hyperlink ref="O1160" r:id="rId1051" xr:uid="{9E34723A-5063-4B1D-9C66-19A6C953D776}"/>
    <hyperlink ref="O1161" r:id="rId1052" xr:uid="{AB26072C-E441-4FB3-AD2E-55307646541C}"/>
    <hyperlink ref="O1162" r:id="rId1053" xr:uid="{EC9429E6-8200-4EC8-AF84-29732C6A4C4F}"/>
    <hyperlink ref="O1163" r:id="rId1054" xr:uid="{77BCACA8-4074-4DC1-A39E-AEB01704855D}"/>
    <hyperlink ref="O1164" r:id="rId1055" xr:uid="{95A39E8C-ADCC-4834-BB8D-D0E7AF9D7844}"/>
    <hyperlink ref="O1165" r:id="rId1056" xr:uid="{D9C491A4-4CCE-4B02-84CF-5938B237B83A}"/>
    <hyperlink ref="O1167" r:id="rId1057" xr:uid="{FBD3C6BF-3CEF-4042-BFD7-5ED0A47A5CD1}"/>
    <hyperlink ref="O1168" r:id="rId1058" xr:uid="{73CEB270-4C10-4594-AECD-97BFD44B04D1}"/>
    <hyperlink ref="O1169" r:id="rId1059" xr:uid="{F9285E11-73AA-4C65-89B0-DF343B1A49F6}"/>
    <hyperlink ref="O1170" r:id="rId1060" xr:uid="{AC23C759-C8AD-4E49-945B-33A1938BE71D}"/>
    <hyperlink ref="O1171" r:id="rId1061" xr:uid="{F414A665-A8E8-4860-AB63-C2B2893A68DA}"/>
    <hyperlink ref="O1172" r:id="rId1062" xr:uid="{C89508B5-C5FF-4F41-8569-7811ACA71823}"/>
    <hyperlink ref="O1173" r:id="rId1063" xr:uid="{B8DED04F-1DBA-4EDD-9ECC-C9F8BDD261EA}"/>
    <hyperlink ref="O1174" r:id="rId1064" xr:uid="{48E9D3DB-2C37-46D3-9BAF-BFD2EEA7FDDC}"/>
    <hyperlink ref="O1175" r:id="rId1065" xr:uid="{67BBB9BF-6AD5-4865-BEC6-D07EB9D848A9}"/>
    <hyperlink ref="O1176" r:id="rId1066" xr:uid="{C8A2C8D6-5F52-4104-BC9A-722F1F006789}"/>
    <hyperlink ref="O1177" r:id="rId1067" xr:uid="{81441E8F-D59C-436C-A632-CF9150985B85}"/>
    <hyperlink ref="O1178" r:id="rId1068" xr:uid="{6DC6B47F-3A7E-4A40-8471-C8BB040C08F0}"/>
    <hyperlink ref="O1179" r:id="rId1069" xr:uid="{E91723CA-E185-4D27-838E-4921CD0B99B0}"/>
    <hyperlink ref="O1180" r:id="rId1070" xr:uid="{3D4DD12F-4EBA-42FD-82FD-2E57237FE913}"/>
    <hyperlink ref="O1181" r:id="rId1071" xr:uid="{39B2D2C2-6A4A-49F7-9F13-5BA719733B3F}"/>
    <hyperlink ref="O1182" r:id="rId1072" xr:uid="{85F04A25-0F71-4E50-8882-00F9DD965DB7}"/>
    <hyperlink ref="O1183" r:id="rId1073" xr:uid="{65652FF8-1E28-4524-A9BE-C9B0D2795686}"/>
    <hyperlink ref="O1184" r:id="rId1074" xr:uid="{F04F05C3-FB02-4AE4-B2F3-9BF605D2FB21}"/>
    <hyperlink ref="O1189" r:id="rId1075" xr:uid="{7DB1F6FD-3455-484D-9408-9FBB528E5900}"/>
    <hyperlink ref="O1188" r:id="rId1076" xr:uid="{95AFA391-87DA-48D5-A29B-3064079AD29A}"/>
    <hyperlink ref="O1187" r:id="rId1077" xr:uid="{ACF427F5-D2CD-419A-AB0F-80EDAAFF1747}"/>
    <hyperlink ref="O1186" r:id="rId1078" xr:uid="{936A83B0-26FA-40DE-89E4-EC97D2B2C958}"/>
    <hyperlink ref="O1185" r:id="rId1079" xr:uid="{E6D83838-9047-432D-8838-17A277AB6143}"/>
    <hyperlink ref="O1190" r:id="rId1080" xr:uid="{7BC2791E-4A92-4A29-A0C0-2DA1BB215961}"/>
    <hyperlink ref="O1192" r:id="rId1081" xr:uid="{AD21D7F2-642F-48EC-B8E1-D174627999B3}"/>
    <hyperlink ref="O1193" r:id="rId1082" xr:uid="{126AF174-D35D-4101-9CF4-D76FA01F9D00}"/>
    <hyperlink ref="O1194" r:id="rId1083" xr:uid="{DB29A0F5-9616-4E2F-997C-3913BB0DAE82}"/>
    <hyperlink ref="O1191" r:id="rId1084" xr:uid="{7AD48BBA-1745-43D5-9695-C28116756231}"/>
    <hyperlink ref="O1195" r:id="rId1085" xr:uid="{CFB5E249-6769-48E1-A3E6-6896F20A8BF6}"/>
    <hyperlink ref="O1196" r:id="rId1086" xr:uid="{B09EEB9F-7135-4583-A5FA-C3EC5D97F1EE}"/>
    <hyperlink ref="O1197" r:id="rId1087" xr:uid="{9B6F0B93-644D-47FA-8DFD-0E9FCA3CACF4}"/>
    <hyperlink ref="O1198" r:id="rId1088" xr:uid="{C9729590-0062-448D-8CBC-B636D0E248A6}"/>
    <hyperlink ref="O1199" r:id="rId1089" xr:uid="{4F4CC1D6-9E4D-4151-8C24-705CA6B23F8D}"/>
    <hyperlink ref="O1200" r:id="rId1090" xr:uid="{F9360EC3-0BF2-449E-BCF7-2E0172B0F1CE}"/>
    <hyperlink ref="O1201" r:id="rId1091" xr:uid="{2056BAB8-CFD3-4B89-A84D-396CB8D862E8}"/>
    <hyperlink ref="O1202" r:id="rId1092" xr:uid="{A4A3AECB-B47D-40D1-B7C1-0827A393010F}"/>
    <hyperlink ref="O1203" r:id="rId1093" xr:uid="{46747E48-A4D0-4F57-BED2-7BE2EF733AD3}"/>
    <hyperlink ref="O1116" r:id="rId1094" xr:uid="{A668D450-CCD9-4511-BED6-FA9949915AAE}"/>
    <hyperlink ref="O1204" r:id="rId1095" xr:uid="{C3CC531B-A14C-46D9-81ED-E25BC31AE6E5}"/>
    <hyperlink ref="O1205" r:id="rId1096" xr:uid="{83A1C003-8B01-4077-BB48-DA1D55940827}"/>
    <hyperlink ref="O1206" r:id="rId1097" xr:uid="{F564ED12-9B1E-4F87-971C-A1FA7E16D643}"/>
    <hyperlink ref="O1207" r:id="rId1098" xr:uid="{9EA9ECE8-F106-4A0D-8B40-42B5B6B19052}"/>
    <hyperlink ref="O1208" r:id="rId1099" xr:uid="{93BF599A-6121-4004-9E0F-3D46FE0C8DA7}"/>
    <hyperlink ref="O1209" r:id="rId1100" xr:uid="{F752E463-18CE-46A7-9EFF-C9C05A03C081}"/>
    <hyperlink ref="O1210" r:id="rId1101" xr:uid="{64266356-B195-4E86-A056-AF117E06EE6E}"/>
    <hyperlink ref="O1212" r:id="rId1102" xr:uid="{13DC25AF-646E-4BCB-8392-89EEC637FEC6}"/>
    <hyperlink ref="O1213" r:id="rId1103" xr:uid="{29E79B77-1D73-4462-AE0E-CBEC98850046}"/>
    <hyperlink ref="O1214" r:id="rId1104" xr:uid="{058F8D28-58D3-46FA-A05F-4A16571385B0}"/>
    <hyperlink ref="O1215" r:id="rId1105" xr:uid="{4C8A35CA-2714-4C6E-B0AE-7A349350D7E0}"/>
    <hyperlink ref="O1216" r:id="rId1106" xr:uid="{3E2EB1AA-7D54-4B57-9A3A-EE96608BAD85}"/>
    <hyperlink ref="O1217" r:id="rId1107" xr:uid="{9BFE849D-4661-439A-9FF3-91CA9EC36CBF}"/>
    <hyperlink ref="O1218" r:id="rId1108" xr:uid="{E89F3CF0-2024-4931-96FB-34AB153A7EB8}"/>
    <hyperlink ref="O1219" r:id="rId1109" xr:uid="{8D4A4255-9D3D-4196-BB09-14EE479F3682}"/>
    <hyperlink ref="O1220" r:id="rId1110" xr:uid="{3C5EC701-9990-40A6-B674-7C0416F61FDE}"/>
    <hyperlink ref="O1221" r:id="rId1111" xr:uid="{1CA56C36-B11C-4C42-AF37-F853F1D1C989}"/>
    <hyperlink ref="O1222" r:id="rId1112" xr:uid="{886D688C-E6A1-45F5-A158-87648B8AEA47}"/>
    <hyperlink ref="O1223" r:id="rId1113" xr:uid="{9D40F257-76C3-4E17-8D62-DFD674594CF0}"/>
    <hyperlink ref="O1224" r:id="rId1114" xr:uid="{237A7423-EA55-417B-89C3-64CDD9EF858C}"/>
    <hyperlink ref="O1225" r:id="rId1115" xr:uid="{1B8110CB-864A-462F-B914-F297F844228F}"/>
    <hyperlink ref="O1226" r:id="rId1116" xr:uid="{FF554CA3-FCD4-48ED-85DC-67CF751EFA26}"/>
    <hyperlink ref="O1227" r:id="rId1117" xr:uid="{B8F303BA-6319-4CA4-82D8-2AF189EBBD18}"/>
    <hyperlink ref="O1228" r:id="rId1118" xr:uid="{AC91F65D-AE68-4974-9077-69199F21C032}"/>
    <hyperlink ref="O1229" r:id="rId1119" xr:uid="{AFD54BE4-3C8B-4005-8186-31D1CD18E7B9}"/>
    <hyperlink ref="O1230" r:id="rId1120" xr:uid="{FFD5897E-F5F6-4351-90A4-49077D6236AD}"/>
    <hyperlink ref="O1231" r:id="rId1121" xr:uid="{9DB6AF06-87D2-49DF-9049-3A74403B0E32}"/>
    <hyperlink ref="O1232" r:id="rId1122" xr:uid="{817A16B2-AEDC-49B4-87E9-66D999EE4711}"/>
    <hyperlink ref="O1233" r:id="rId1123" xr:uid="{89D5B2E8-9380-4D8F-9D1B-6F2EBD9C3525}"/>
    <hyperlink ref="O1234" r:id="rId1124" xr:uid="{537786C1-BA9B-4750-9036-85D6E8C965C5}"/>
    <hyperlink ref="O1235" r:id="rId1125" xr:uid="{A5F646FE-DB7D-497B-A402-8D006EB12151}"/>
    <hyperlink ref="O1236" r:id="rId1126" xr:uid="{55CA91A1-0159-4826-8AB4-8364D67FC5B3}"/>
    <hyperlink ref="O1237" r:id="rId1127" xr:uid="{1807EB24-2B79-4AAD-88B2-BFBA6F2EB390}"/>
    <hyperlink ref="O1238" r:id="rId1128" xr:uid="{F1BD79A8-CB2F-4064-9BDF-2E6C699DCF0A}"/>
    <hyperlink ref="O1239" r:id="rId1129" xr:uid="{9D44ED4E-0518-45EC-8C9E-3D8876F7BC26}"/>
    <hyperlink ref="O1240" r:id="rId1130" xr:uid="{F9FE2A8A-AFC3-4CB7-BFE6-A7E46F95B4EA}"/>
    <hyperlink ref="O1241" r:id="rId1131" xr:uid="{B985DD7A-F6EA-44EC-AF8C-2CD052AAC4AA}"/>
    <hyperlink ref="O1242" r:id="rId1132" xr:uid="{A62CCA40-9B59-495E-9EE0-4B21BCD515F6}"/>
    <hyperlink ref="O1243" r:id="rId1133" xr:uid="{FB7C7D93-8CC9-4C67-8CF6-C87EC3AF68D0}"/>
    <hyperlink ref="O1244" r:id="rId1134" xr:uid="{1F71AC47-C128-4EFC-A83E-5C5068EC806F}"/>
    <hyperlink ref="O1245" r:id="rId1135" xr:uid="{817E8721-9FEF-40A4-8D47-BFAB5DF18654}"/>
    <hyperlink ref="O1246" r:id="rId1136" xr:uid="{0E4AA295-93D7-4575-99BA-3A81366A9820}"/>
    <hyperlink ref="O1247" r:id="rId1137" xr:uid="{F98C43BD-E247-4EDE-88B0-6839FA93F1C0}"/>
    <hyperlink ref="O1248" r:id="rId1138" xr:uid="{AA6019D8-62DF-472A-AFE8-68D72A9D6D37}"/>
    <hyperlink ref="O1250" r:id="rId1139" xr:uid="{1AF98259-1DAF-4556-9D19-2168B57D7F7F}"/>
    <hyperlink ref="O1251" r:id="rId1140" xr:uid="{E6D4D941-B22F-4BDB-A015-CA040EB2552C}"/>
    <hyperlink ref="O1252" r:id="rId1141" xr:uid="{1B328588-73EE-45BF-AB46-D68F4CFAEF1C}"/>
    <hyperlink ref="O1254" r:id="rId1142" xr:uid="{9FAE940B-5FFD-4A83-81A9-60F47C2674F0}"/>
    <hyperlink ref="O1249" r:id="rId1143" xr:uid="{CCF6206E-85F4-41D8-B793-0069A3E2AAA4}"/>
    <hyperlink ref="O1255" r:id="rId1144" xr:uid="{A4857790-506B-45B5-AA8F-A02D4C868194}"/>
    <hyperlink ref="O1257" r:id="rId1145" xr:uid="{89A304CB-E38C-4E9F-BA16-AD0AB0CC7B3D}"/>
    <hyperlink ref="O1258" r:id="rId1146" xr:uid="{8C840622-5E06-4F45-BE7B-35386487F739}"/>
    <hyperlink ref="O1259" r:id="rId1147" xr:uid="{CD6FC790-8BA3-4267-A95B-12E23E56CAF5}"/>
    <hyperlink ref="O1260" r:id="rId1148" xr:uid="{4C612958-8C90-4565-9B91-278AF0550AB8}"/>
    <hyperlink ref="O1261" r:id="rId1149" xr:uid="{8153A408-8BE9-4381-8543-9734A84C5CAC}"/>
    <hyperlink ref="O1262" r:id="rId1150" xr:uid="{D45DA4B1-0815-4895-8458-ED6811967DB7}"/>
    <hyperlink ref="O1263" r:id="rId1151" xr:uid="{2EB63F9C-53A1-4FEA-8739-2A4B93DDE91A}"/>
    <hyperlink ref="O1264" r:id="rId1152" xr:uid="{CD3D8727-F752-466B-A51D-5B1563795948}"/>
    <hyperlink ref="O1265" r:id="rId1153" xr:uid="{9F1EE353-C8E2-4BFF-A28F-A806AB3F6B0F}"/>
    <hyperlink ref="O1266" r:id="rId1154" xr:uid="{B28C1943-4A99-4486-A855-37ABD62A897B}"/>
    <hyperlink ref="O1267" r:id="rId1155" xr:uid="{0DBBCF2C-3668-4C67-84D1-B881534F0164}"/>
    <hyperlink ref="O1268" r:id="rId1156" xr:uid="{7C6D1942-5B93-48EB-A8C3-D0B14CFE7F45}"/>
    <hyperlink ref="O1269" r:id="rId1157" xr:uid="{B5ABDED1-A9F0-4ED2-AEF6-65D0C812B89A}"/>
    <hyperlink ref="O1271" r:id="rId1158" xr:uid="{747AB353-AE4D-43BA-82B9-BE35F8754A27}"/>
    <hyperlink ref="O1272" r:id="rId1159" xr:uid="{40F98F0C-D81E-4746-A77F-54AA046913FB}"/>
    <hyperlink ref="O1273" r:id="rId1160" xr:uid="{E9B0173D-9FAB-470E-8503-8FA117B0D874}"/>
    <hyperlink ref="O1274" r:id="rId1161" xr:uid="{AEFFE998-A98F-4220-A77E-36EE7F7F96BC}"/>
    <hyperlink ref="O1275" r:id="rId1162" xr:uid="{ABD2CDDD-C0D7-402C-B304-41B19345680B}"/>
    <hyperlink ref="O1277" r:id="rId1163" xr:uid="{79A3C49D-A1BA-40DE-88E9-C28DB77A8D8C}"/>
    <hyperlink ref="O1278" r:id="rId1164" xr:uid="{25140859-A452-47B7-9B28-CBDD6AC6B255}"/>
    <hyperlink ref="O1279" r:id="rId1165" xr:uid="{861F9746-B8E9-4661-86EF-4A7B2CFBFF1F}"/>
    <hyperlink ref="O1280" r:id="rId1166" xr:uid="{5A979189-A6E4-48E3-919D-A9DF1FB77A23}"/>
    <hyperlink ref="O1281" r:id="rId1167" xr:uid="{F418796A-6AB2-4A94-8D3C-B58C1A45D2DD}"/>
    <hyperlink ref="O1282" r:id="rId1168" xr:uid="{2C8C27B5-601A-4F66-BB81-57E6687B87F5}"/>
    <hyperlink ref="O1283" r:id="rId1169" xr:uid="{8A2A5050-1EE0-4D25-BD8F-CAA01933FBCA}"/>
    <hyperlink ref="O1285" r:id="rId1170" xr:uid="{3DDA16D6-11FD-4B36-B769-5D1310D64E0C}"/>
    <hyperlink ref="O1270" r:id="rId1171" xr:uid="{43142A15-7466-49AB-93EA-450E3D8D0C95}"/>
    <hyperlink ref="O1286" r:id="rId1172" xr:uid="{DF1F0BD6-1561-4978-825E-13FE39DAFC0A}"/>
    <hyperlink ref="O1287" r:id="rId1173" xr:uid="{A6146A3D-8C7A-4BBD-9B71-B038CA852F1C}"/>
    <hyperlink ref="O1288" r:id="rId1174" xr:uid="{73CECCE3-69B6-426F-A767-4F1B2A1DCF9D}"/>
    <hyperlink ref="O1289" r:id="rId1175" xr:uid="{77F0F311-4BA8-4C1E-9B4A-AACEAA7C6E7B}"/>
    <hyperlink ref="O1290" r:id="rId1176" xr:uid="{A5B73BFC-47E3-4D00-BCB5-45F715C7F521}"/>
    <hyperlink ref="O1291" r:id="rId1177" xr:uid="{25DF71A5-8D41-4937-8529-B77C6E200BAB}"/>
    <hyperlink ref="O1294" r:id="rId1178" xr:uid="{61FD4551-32CE-41E5-BA94-248ABA3B2DF2}"/>
    <hyperlink ref="O1293" r:id="rId1179" xr:uid="{05BC1EB0-80A9-4363-A5D5-60552FA5BBA6}"/>
    <hyperlink ref="O1295" r:id="rId1180" xr:uid="{63AC837C-5700-411A-A8E6-5F91EDEC5C6F}"/>
    <hyperlink ref="O1296" r:id="rId1181" xr:uid="{1FFD0CB7-44C0-40FF-AB8D-7FF8234E05EB}"/>
    <hyperlink ref="O1297" r:id="rId1182" xr:uid="{2B1A99E7-8D79-4F7A-8934-9CA0C44699E6}"/>
    <hyperlink ref="O1298" r:id="rId1183" xr:uid="{B19382D5-FB6F-4690-82E2-8958DA78927C}"/>
    <hyperlink ref="O1299" r:id="rId1184" xr:uid="{97A3B4EB-5764-49EA-A1C3-A7DFA444CDDD}"/>
    <hyperlink ref="O1300" r:id="rId1185" xr:uid="{63C43F77-0A46-4625-85CA-C5A494C2C3B9}"/>
    <hyperlink ref="O1301" r:id="rId1186" xr:uid="{F13B83D0-17F4-4F3F-AF74-A9D604C84CD3}"/>
    <hyperlink ref="O1302" r:id="rId1187" xr:uid="{5E99C2E1-B10F-4A49-A09B-B8F9C002BB5F}"/>
    <hyperlink ref="O1303" r:id="rId1188" xr:uid="{1329D249-1B9F-40F8-B275-74DDD5617A99}"/>
    <hyperlink ref="O1304" r:id="rId1189" xr:uid="{6839795C-46DD-424F-85BB-C94FB992A01A}"/>
    <hyperlink ref="O1305" r:id="rId1190" xr:uid="{1C9C4294-D8C8-42E5-82DB-B54C6DC1ED3C}"/>
    <hyperlink ref="O1306" r:id="rId1191" xr:uid="{5821FAF2-FB45-4091-B1A1-C049D601538E}"/>
    <hyperlink ref="O1307" r:id="rId1192" xr:uid="{16DA48A7-A507-4EEA-BDFA-F37ADB95F02C}"/>
    <hyperlink ref="O1308" r:id="rId1193" xr:uid="{CC7180A2-9D85-47F1-B1E8-037202B68E64}"/>
    <hyperlink ref="O1309" r:id="rId1194" xr:uid="{2B0193B9-D266-4BB4-934D-A4A07FB08642}"/>
    <hyperlink ref="O1310" r:id="rId1195" xr:uid="{9BA63E72-70A4-4A83-B749-41D8410578F7}"/>
    <hyperlink ref="O1311" r:id="rId1196" xr:uid="{337BAE94-F8DB-4688-A4E2-E1071F87EDC1}"/>
    <hyperlink ref="O1312" r:id="rId1197" xr:uid="{7C886B66-9FA0-44F8-8F7E-7F7C507CF7D4}"/>
    <hyperlink ref="O1313" r:id="rId1198" xr:uid="{FAAE7BB4-8498-4AAB-82BC-50F5BF9BC282}"/>
    <hyperlink ref="O1314" r:id="rId1199" xr:uid="{80466ED2-0C59-48EB-B93B-EB3E98138090}"/>
    <hyperlink ref="O1315" r:id="rId1200" xr:uid="{B2D0B042-502E-4036-BD0E-61623F33ED4F}"/>
    <hyperlink ref="O1316" r:id="rId1201" xr:uid="{ABE4909F-70EC-430E-8F7B-BF530ABF6797}"/>
    <hyperlink ref="O1317" r:id="rId1202" xr:uid="{87C63CBC-63C8-4796-8606-0E7939101D6F}"/>
    <hyperlink ref="O1318" r:id="rId1203" xr:uid="{F261B35F-0D31-441D-9247-24D414ABE6B3}"/>
    <hyperlink ref="O1319" r:id="rId1204" xr:uid="{90B632FF-7FD3-4761-9ABC-270144391054}"/>
    <hyperlink ref="O1320" r:id="rId1205" xr:uid="{82228137-D59E-4DB6-9F74-36645A20F1EA}"/>
    <hyperlink ref="O1321" r:id="rId1206" xr:uid="{7DB5BC4C-0FE3-4DA0-9E3C-A8DF86A9ED58}"/>
    <hyperlink ref="O1322" r:id="rId1207" xr:uid="{1AECD4CA-5C99-426C-B105-36B1C827BC4D}"/>
    <hyperlink ref="O1323" r:id="rId1208" xr:uid="{A27AEE71-A83A-47CD-9386-57060521D117}"/>
    <hyperlink ref="O1324" r:id="rId1209" xr:uid="{5155EB08-4A9F-4CE9-93C8-46D00D427576}"/>
    <hyperlink ref="O1325" r:id="rId1210" xr:uid="{1BE74316-2F55-43F6-844A-2A982A223188}"/>
    <hyperlink ref="O1326" r:id="rId1211" xr:uid="{9423DA27-F22D-4DF4-B082-44CDA0694773}"/>
    <hyperlink ref="O1327" r:id="rId1212" xr:uid="{9B9BAAAC-40A0-4E9F-B596-2E992A378988}"/>
    <hyperlink ref="O1328" r:id="rId1213" xr:uid="{706A1560-7D4A-401C-8FF1-57A8F6827A13}"/>
    <hyperlink ref="O1329" r:id="rId1214" xr:uid="{2FD725AC-6F82-406D-B6D0-7425307E44A7}"/>
    <hyperlink ref="O1330" r:id="rId1215" xr:uid="{D0098777-4F1A-48E2-BF31-20E437AF3A7B}"/>
    <hyperlink ref="O1331" r:id="rId1216" xr:uid="{D13A8B76-6407-4EEC-9060-6972357F6ECD}"/>
    <hyperlink ref="O1332" r:id="rId1217" xr:uid="{74EEE857-D29F-4905-AF23-56B513CFDFAB}"/>
    <hyperlink ref="O1333" r:id="rId1218" xr:uid="{4229E0A2-2C77-43B7-A58C-036EE4756FCB}"/>
    <hyperlink ref="O1334" r:id="rId1219" xr:uid="{FD2B6E6D-C829-417D-BE37-DDF24CFB4888}"/>
    <hyperlink ref="O1335" r:id="rId1220" xr:uid="{41056DEF-CD88-411D-A789-D5540D34B7DA}"/>
    <hyperlink ref="O1336" r:id="rId1221" xr:uid="{09CD8C18-3890-4C6C-9EF5-C59928FE7E09}"/>
    <hyperlink ref="O1337" r:id="rId1222" xr:uid="{CCCBF1AD-6DE2-479C-B5E8-79B72B4CDF8C}"/>
    <hyperlink ref="O1338" r:id="rId1223" xr:uid="{5DE5519E-5EC0-4779-B0D6-F9B97125BC9E}"/>
    <hyperlink ref="O1339" r:id="rId1224" xr:uid="{19BA0A41-29E7-4358-91CD-357F285E917B}"/>
    <hyperlink ref="O1340" r:id="rId1225" xr:uid="{606967D0-CB95-480D-803D-F1487CE37195}"/>
    <hyperlink ref="O1341" r:id="rId1226" xr:uid="{EE7254BB-B6C3-45E9-AFE4-D74C4E6567DC}"/>
    <hyperlink ref="O1342" r:id="rId1227" xr:uid="{8C5FAB8F-28D4-4848-B413-1C7C3595DB4B}"/>
    <hyperlink ref="O1343" r:id="rId1228" xr:uid="{7938E9D7-D704-42F6-B5DB-8015379C2AA9}"/>
    <hyperlink ref="O1344" r:id="rId1229" xr:uid="{94B3600C-8E4E-4C1C-B2CE-F52A15DE6658}"/>
    <hyperlink ref="O1345" r:id="rId1230" xr:uid="{5A25CA81-1EC8-4632-9AA9-4005CE3A6138}"/>
    <hyperlink ref="O1346" r:id="rId1231" xr:uid="{7CFA6C60-E192-4D4D-ACFA-2DF2F9A6D5C8}"/>
    <hyperlink ref="O1347" r:id="rId1232" xr:uid="{590FF87A-0F3A-4631-95CA-9E4DB9B0B2E0}"/>
    <hyperlink ref="O1349" r:id="rId1233" xr:uid="{A914E7FD-2545-4F55-BAB8-55154DAD64C7}"/>
    <hyperlink ref="O1350" r:id="rId1234" xr:uid="{4E163D8A-B551-4C8A-87C0-65DEA1791D0A}"/>
    <hyperlink ref="O1351" r:id="rId1235" xr:uid="{523694CF-B317-4F6E-98D5-8FD66516DAFC}"/>
    <hyperlink ref="O1352" r:id="rId1236" xr:uid="{D9C91E86-287A-493D-8EEB-7D793F7E643F}"/>
    <hyperlink ref="O1353" r:id="rId1237" xr:uid="{18785250-9FCE-4DB4-B3ED-2C12C1D22F0C}"/>
    <hyperlink ref="O1354" r:id="rId1238" xr:uid="{BC430FDC-562D-45CD-9F46-9891110D126D}"/>
    <hyperlink ref="O1355" r:id="rId1239" xr:uid="{6DB4D937-B7BA-4546-9282-2FAFF9E56BA5}"/>
    <hyperlink ref="O1356" r:id="rId1240" xr:uid="{5341AE0F-47F2-4821-B0BA-D67286143FC9}"/>
    <hyperlink ref="O1357" r:id="rId1241" xr:uid="{C10B5E03-E5DA-4278-936F-59669C66C32A}"/>
    <hyperlink ref="O1358" r:id="rId1242" xr:uid="{FABBF0D1-1B1B-4610-B4C5-4041E774F21D}"/>
    <hyperlink ref="O1359" r:id="rId1243" xr:uid="{96738669-4139-41FF-AAB0-7BB9C572A199}"/>
    <hyperlink ref="O1360" r:id="rId1244" xr:uid="{A46ED7CA-F60D-46A5-B15E-7CAECF448A14}"/>
    <hyperlink ref="O1361" r:id="rId1245" xr:uid="{34B20446-0F65-4BF5-9ECF-B62011E3EFFD}"/>
    <hyperlink ref="O1362" r:id="rId1246" xr:uid="{96609EBE-2BF4-4D37-A4B6-AD48C0060729}"/>
    <hyperlink ref="O1363" r:id="rId1247" xr:uid="{1417CCE6-0928-4DE4-9D32-AAA62E7B5EDB}"/>
    <hyperlink ref="O1364" r:id="rId1248" xr:uid="{076295DB-11E5-4C0C-B15C-6F3A3B10A8BF}"/>
    <hyperlink ref="O1365" r:id="rId1249" xr:uid="{F71DBA7E-6FAD-4719-97B0-7104BDFD648B}"/>
    <hyperlink ref="O1366" r:id="rId1250" xr:uid="{B593C2F3-1796-49C7-932B-7AFBC44F5CD4}"/>
    <hyperlink ref="O1367" r:id="rId1251" xr:uid="{1E2384BC-53B1-4AAE-A296-F45B249DBD0F}"/>
    <hyperlink ref="O1368" r:id="rId1252" xr:uid="{91D99D0D-DA5E-4BC6-9BC0-3A4535BF7A53}"/>
    <hyperlink ref="O1369" r:id="rId1253" xr:uid="{EDB6C8C0-E56F-4083-A844-D28CE45291D9}"/>
    <hyperlink ref="O1370" r:id="rId1254" xr:uid="{DD56FC64-B479-4E54-B89D-93B225F9E997}"/>
    <hyperlink ref="O1371" r:id="rId1255" xr:uid="{74DE5402-60D9-4A39-A2B7-638C79376126}"/>
    <hyperlink ref="O1372" r:id="rId1256" xr:uid="{E1B60E5A-6198-4457-92FA-9037BEC639A2}"/>
    <hyperlink ref="O1373" r:id="rId1257" xr:uid="{88A660C7-F379-4506-A992-B4224EEEE10A}"/>
    <hyperlink ref="O1374" r:id="rId1258" xr:uid="{BA6B3CBD-CE0D-40A3-856A-C968096586BA}"/>
    <hyperlink ref="O1375" r:id="rId1259" xr:uid="{232D8D38-FD23-4005-9153-1EEB29C161C8}"/>
    <hyperlink ref="O1376" r:id="rId1260" xr:uid="{7FFE143E-9783-446B-8CBF-9B39F53057F9}"/>
    <hyperlink ref="O1377" r:id="rId1261" xr:uid="{70D5D919-8EBC-42BD-837B-5946D2E8DFAF}"/>
    <hyperlink ref="O1378" r:id="rId1262" xr:uid="{0B6085C0-EA81-49EC-95AD-E34FAEC7DD68}"/>
    <hyperlink ref="O1379" r:id="rId1263" xr:uid="{74B51CD1-B366-4C0B-8CF4-BC14AF878E97}"/>
    <hyperlink ref="O1380" r:id="rId1264" xr:uid="{706E0CFD-38B8-492C-92C7-53BA96915E7C}"/>
    <hyperlink ref="O1381" r:id="rId1265" xr:uid="{1D13E97A-163D-42F7-A461-1F1D35FF3830}"/>
    <hyperlink ref="O1382" r:id="rId1266" xr:uid="{BD7C50DB-9A85-4CD4-B743-DCD480381C67}"/>
    <hyperlink ref="O1383" r:id="rId1267" xr:uid="{1DAD6D8E-74B6-4205-95A9-0D4755CFB123}"/>
    <hyperlink ref="O1384" r:id="rId1268" xr:uid="{E9CB34A1-BBBE-4E49-97B3-7207C1469AEB}"/>
    <hyperlink ref="O1385" r:id="rId1269" xr:uid="{6DDE01C6-A756-48EB-B7DD-8E7D1E2120D8}"/>
    <hyperlink ref="O1386" r:id="rId1270" xr:uid="{822953D3-ECFA-48E2-A51F-2FA1D68DB3AE}"/>
    <hyperlink ref="O1387" r:id="rId1271" xr:uid="{2C4B7AC6-0140-48A0-8D62-3C079E609F21}"/>
    <hyperlink ref="O1388" r:id="rId1272" xr:uid="{4B6ECD36-E00B-4833-ACDE-451C58E67C4B}"/>
    <hyperlink ref="O1389" r:id="rId1273" xr:uid="{0ECC6B32-A977-4A6C-A4A5-6A25EF9F0549}"/>
    <hyperlink ref="O1390" r:id="rId1274" xr:uid="{83727240-3600-46E7-AE04-E6C5D75C9731}"/>
    <hyperlink ref="O1391" r:id="rId1275" xr:uid="{5ED7DA3B-0921-4BB2-9420-874351D7EDA1}"/>
    <hyperlink ref="O1392" r:id="rId1276" xr:uid="{82F93028-B1F3-4083-A0EB-1C530CA024C2}"/>
    <hyperlink ref="O1393" r:id="rId1277" xr:uid="{7CC5536C-AA10-465D-9941-C358F299EC08}"/>
    <hyperlink ref="O1394" r:id="rId1278" xr:uid="{42230570-20BC-47E6-9DE3-114A3FAEC5E6}"/>
    <hyperlink ref="O1395" r:id="rId1279" xr:uid="{F7F2CBBE-4274-4BFD-BBDA-54B6F57D6C8D}"/>
    <hyperlink ref="O1396" r:id="rId1280" xr:uid="{8D4255BA-C0D3-4CBE-B4C5-CD125A2DA421}"/>
    <hyperlink ref="O1397" r:id="rId1281" xr:uid="{A1D33A43-7379-4C1F-8570-9B5EF68CA405}"/>
    <hyperlink ref="O1398" r:id="rId1282" xr:uid="{CCD54040-4148-4ABC-8CA5-41239B04A4BB}"/>
    <hyperlink ref="O1399" r:id="rId1283" xr:uid="{47F73970-D011-454B-9C1D-B57075569332}"/>
    <hyperlink ref="O1400" r:id="rId1284" xr:uid="{7A2984F0-FB2D-4FC0-A2F4-92881BEB518F}"/>
    <hyperlink ref="O1401" r:id="rId1285" xr:uid="{9E22D563-3222-423C-AC9A-E96DA4E97B3E}"/>
    <hyperlink ref="O1402" r:id="rId1286" xr:uid="{C55B2CE0-7FDA-4F0B-B408-6B66CF6F2D46}"/>
    <hyperlink ref="O1403" r:id="rId1287" xr:uid="{5DBE1B82-97B3-4068-9761-AFF640FF15E9}"/>
    <hyperlink ref="O1404" r:id="rId1288" xr:uid="{913C9447-BC46-47BC-BA38-D63095F552BD}"/>
    <hyperlink ref="O1405" r:id="rId1289" xr:uid="{2A2C160C-763C-4076-AFA0-06669F14249F}"/>
    <hyperlink ref="O1406" r:id="rId1290" xr:uid="{ECCA07F2-49C5-423F-B140-DF796C2484FC}"/>
    <hyperlink ref="O1407" r:id="rId1291" xr:uid="{3CA750E8-1082-4272-B03A-1F55F447725D}"/>
    <hyperlink ref="O1408" r:id="rId1292" xr:uid="{F4364A2A-D0EA-4DC7-B624-368C6DAD2DA3}"/>
    <hyperlink ref="O1409" r:id="rId1293" xr:uid="{3FB4A9FD-CE70-48FB-8282-7DD459E3986C}"/>
    <hyperlink ref="O1410" r:id="rId1294" xr:uid="{CF22A319-F692-42A8-A1B0-FE79F99FDC8B}"/>
    <hyperlink ref="O1411" r:id="rId1295" xr:uid="{A92B08CB-14D4-435B-BF39-5D98F338D445}"/>
    <hyperlink ref="O1412" r:id="rId1296" xr:uid="{B1E0228D-CB89-4A41-BEE6-D8999D927257}"/>
    <hyperlink ref="O1413" r:id="rId1297" xr:uid="{016E9B87-238A-4F6A-88A0-DA618271EC07}"/>
    <hyperlink ref="O1415" r:id="rId1298" xr:uid="{A2DB745A-7EAF-45F6-BADE-19D9B7B996C7}"/>
    <hyperlink ref="O1416" r:id="rId1299" xr:uid="{F66958B5-B8D5-4DB8-957C-24AA3035785E}"/>
    <hyperlink ref="O1417" r:id="rId1300" xr:uid="{35B14F3A-0F41-436B-B5D4-C5F04EB22E54}"/>
    <hyperlink ref="O1418" r:id="rId1301" xr:uid="{1271EEC6-EBE9-4D5E-94C2-84A2EE8AC99C}"/>
    <hyperlink ref="O1419" r:id="rId1302" xr:uid="{33CAE025-E54E-4158-B549-AA2CD75454AF}"/>
    <hyperlink ref="O1420" r:id="rId1303" xr:uid="{48985EEB-2ECF-4A1D-9FDF-AF94801BB3DD}"/>
    <hyperlink ref="O1421" r:id="rId1304" xr:uid="{DD4DD637-5858-4467-B68B-6251FDCB7433}"/>
    <hyperlink ref="O1422" r:id="rId1305" xr:uid="{F3FD3223-96EA-494F-9341-115E245F558C}"/>
    <hyperlink ref="O1423" r:id="rId1306" xr:uid="{CB0AE561-AED0-44BA-BE92-7C858F704998}"/>
    <hyperlink ref="O1424" r:id="rId1307" xr:uid="{3B4A4D59-89AB-40FA-82B5-98FB3B6377F2}"/>
    <hyperlink ref="O1425" r:id="rId1308" xr:uid="{D6FA7B57-5D44-48F1-B0A9-CE69E2B1036D}"/>
    <hyperlink ref="O1426" r:id="rId1309" xr:uid="{30F0A63C-902E-4C4D-8498-3B80609E0975}"/>
    <hyperlink ref="O1427" r:id="rId1310" xr:uid="{5F220F89-1D90-4314-AFCF-9078C8D3F04D}"/>
    <hyperlink ref="O1428" r:id="rId1311" xr:uid="{3AC0DF8F-0F53-46A5-825A-D175287693B8}"/>
    <hyperlink ref="O1429" r:id="rId1312" xr:uid="{317CA161-080B-4129-B581-CE24AB2F6681}"/>
    <hyperlink ref="O1430" r:id="rId1313" xr:uid="{6E17CF12-97D1-4D05-89D2-212FBF04C23F}"/>
    <hyperlink ref="O1431" r:id="rId1314" xr:uid="{DFAB89FF-FB69-421F-B5E5-D08E11236A31}"/>
    <hyperlink ref="O1432" r:id="rId1315" xr:uid="{06A27046-FC6F-4348-A91B-815579BE4B8B}"/>
    <hyperlink ref="O1433" r:id="rId1316" xr:uid="{EF2602F8-8907-42AC-9D1F-06C9798E2477}"/>
    <hyperlink ref="O1434" r:id="rId1317" xr:uid="{74537445-151B-4583-A05C-3F79A57C5A7C}"/>
    <hyperlink ref="O1435" r:id="rId1318" xr:uid="{B7BCD080-B548-412E-B6BE-BCFB6D13086F}"/>
    <hyperlink ref="O1436" r:id="rId1319" xr:uid="{DF6E48AF-3F04-435D-BBF3-9515F387CA1C}"/>
    <hyperlink ref="O1437" r:id="rId1320" xr:uid="{D308D9CE-CFAD-4824-8BC1-D5552B6B7209}"/>
    <hyperlink ref="O1438" r:id="rId1321" xr:uid="{5A3B440A-DA69-4AD8-B09F-1725F469886E}"/>
    <hyperlink ref="O1439" r:id="rId1322" xr:uid="{9823C346-1BC2-4C19-827C-D60F35BABA79}"/>
    <hyperlink ref="O1442" r:id="rId1323" xr:uid="{23F3AB94-2D13-4434-AAC0-14731F3BBF1F}"/>
    <hyperlink ref="O1443" r:id="rId1324" xr:uid="{FFB333A2-CADB-440B-BBEA-5E6FB953C7BD}"/>
    <hyperlink ref="O1444" r:id="rId1325" xr:uid="{8E14DF9C-D455-4E61-A84A-0C9EDBC93B21}"/>
    <hyperlink ref="O1445" r:id="rId1326" xr:uid="{30B95DA5-7CCC-4F22-9B21-800C5FCB5523}"/>
    <hyperlink ref="O1446" r:id="rId1327" xr:uid="{788C5278-3AED-461C-85DB-D511B074919D}"/>
    <hyperlink ref="O1440" r:id="rId1328" xr:uid="{9D064749-79E7-4734-B2D2-1CDF0351A891}"/>
    <hyperlink ref="O1447" r:id="rId1329" xr:uid="{0CF13F65-B3F3-4FAE-83C8-E81115E98569}"/>
    <hyperlink ref="O1448" r:id="rId1330" xr:uid="{BE8651ED-30A1-430E-A4C8-09908277818F}"/>
    <hyperlink ref="O1449" r:id="rId1331" xr:uid="{F9E9728A-8810-4855-B163-A69F83B86255}"/>
    <hyperlink ref="O1451" r:id="rId1332" xr:uid="{D71448D8-76AE-4F78-B0F6-7D66AC3447BB}"/>
    <hyperlink ref="O1452" r:id="rId1333" xr:uid="{6B4E04F1-04F8-4363-8633-F760661BA5D9}"/>
    <hyperlink ref="O1453" r:id="rId1334" xr:uid="{5BB3677D-C5BC-4480-A98B-58951C5CA1E4}"/>
    <hyperlink ref="O1454" r:id="rId1335" xr:uid="{E30A1270-D679-45B1-8F53-AA5CE3CC41CA}"/>
    <hyperlink ref="O1455" r:id="rId1336" xr:uid="{0163681E-43B3-4491-88F3-F7D8E6D88F23}"/>
    <hyperlink ref="O1456" r:id="rId1337" xr:uid="{8A74C3C0-9F82-45FD-A58C-47C4C0596350}"/>
    <hyperlink ref="O1457" r:id="rId1338" xr:uid="{E86C96E5-25B5-49CA-81C3-B6D924932553}"/>
    <hyperlink ref="O1458" r:id="rId1339" xr:uid="{9BF0D494-6C98-44E3-9A84-5D46B4F58D3A}"/>
    <hyperlink ref="O1459" r:id="rId1340" xr:uid="{CA33770A-1D5E-4D91-8390-7387DEA6A02F}"/>
    <hyperlink ref="O1460" r:id="rId1341" xr:uid="{3457FAE0-B764-4216-965E-C030D135AF69}"/>
    <hyperlink ref="O1461" r:id="rId1342" xr:uid="{F03CFD11-E37E-4BE8-A1CA-6E179E1F21D8}"/>
    <hyperlink ref="O1462" r:id="rId1343" xr:uid="{BBA2E764-C64C-4DBA-B787-52903FB4959C}"/>
    <hyperlink ref="O1463" r:id="rId1344" xr:uid="{1E4DD66F-156A-44A1-AE8C-7EE75CEDCC10}"/>
    <hyperlink ref="O1464" r:id="rId1345" xr:uid="{6219A426-1E58-4F84-A490-A9C525E79C4E}"/>
    <hyperlink ref="O1466" r:id="rId1346" xr:uid="{307464D8-70A2-4540-8E91-EB351D91C2AB}"/>
    <hyperlink ref="O1465" r:id="rId1347" xr:uid="{C5F8090E-59BF-4F69-AFD5-5375EF9C0DBE}"/>
    <hyperlink ref="O1467" r:id="rId1348" xr:uid="{A9853503-33DC-42A1-8480-C97A2292780B}"/>
    <hyperlink ref="O1468" r:id="rId1349" xr:uid="{F5F573AD-BB5E-428C-A7EA-4F71703F03F9}"/>
    <hyperlink ref="O1469" r:id="rId1350" xr:uid="{37B9DBA6-2708-4A23-A223-A2AC4441A515}"/>
    <hyperlink ref="O1470" r:id="rId1351" xr:uid="{D1E3F8FA-3F02-41BE-904F-ED5F94D09A72}"/>
    <hyperlink ref="O1471" r:id="rId1352" xr:uid="{7CAE1AB8-CD89-45CE-A002-749027514D83}"/>
    <hyperlink ref="O1472" r:id="rId1353" xr:uid="{FE316FF5-6F37-4805-989E-A9A4F40DD40E}"/>
    <hyperlink ref="O1473" r:id="rId1354" xr:uid="{667006D2-0DE8-4374-A7F6-853A8AED1551}"/>
    <hyperlink ref="O1474" r:id="rId1355" xr:uid="{D53F8C49-8590-4267-AD20-3AECE797F328}"/>
    <hyperlink ref="O1475" r:id="rId1356" xr:uid="{25171A8B-C696-4C45-93EC-AB3C23A4E626}"/>
    <hyperlink ref="O1476" r:id="rId1357" xr:uid="{DA2A0FA6-35EC-497D-9F2B-2D0A0EBD47B7}"/>
    <hyperlink ref="O1478" r:id="rId1358" xr:uid="{BAC8BC0B-EA95-4657-BD14-507044450DF6}"/>
    <hyperlink ref="O1477" r:id="rId1359" xr:uid="{4491303F-E7F5-450E-AEF2-E663D6DB365E}"/>
    <hyperlink ref="O1479" r:id="rId1360" xr:uid="{FE7D20AC-586C-4769-A623-96373C390297}"/>
    <hyperlink ref="O1480" r:id="rId1361" xr:uid="{83BF56BE-ACD3-4C39-8B7B-A388D7AAD144}"/>
    <hyperlink ref="O1481" r:id="rId1362" xr:uid="{2EDC4341-4B18-4147-A339-7D9FC7D4C090}"/>
    <hyperlink ref="O1482" r:id="rId1363" xr:uid="{586BE6D1-00B4-4459-B57E-CCD7EB0D7996}"/>
    <hyperlink ref="O1483" r:id="rId1364" xr:uid="{8605BBB1-4B7E-4EBA-BE61-BD1F46C1BE49}"/>
    <hyperlink ref="O1484" r:id="rId1365" xr:uid="{48153A2D-71BC-45B5-8562-8D804AFC5F93}"/>
    <hyperlink ref="O1485" r:id="rId1366" xr:uid="{0E2786FE-821E-480A-9E49-2E41FB9E25CB}"/>
    <hyperlink ref="O1486" r:id="rId1367" xr:uid="{D05C9209-1A62-455B-802D-B4B0ACFA6A0D}"/>
    <hyperlink ref="O1487" r:id="rId1368" xr:uid="{1BEE360E-7381-423E-A43F-66DE0CCAEF4D}"/>
    <hyperlink ref="O1489" r:id="rId1369" xr:uid="{C2DB50E1-656E-4D7A-AC0E-F000C56B40F8}"/>
    <hyperlink ref="O1488" r:id="rId1370" xr:uid="{59FD20CB-FAE1-4A47-84BF-096E4B384724}"/>
    <hyperlink ref="O1491" r:id="rId1371" xr:uid="{4A4A536E-C506-4CAD-8974-6C0A4B0469EA}"/>
    <hyperlink ref="O1492" r:id="rId1372" xr:uid="{4ACC6AF4-A447-45AC-907B-616114EC5454}"/>
    <hyperlink ref="O1493" r:id="rId1373" xr:uid="{73265499-FC62-49B7-9CA6-877471ED1A89}"/>
    <hyperlink ref="O1490" r:id="rId1374" xr:uid="{49139C41-33C7-49D7-9015-19D7D326A4C7}"/>
    <hyperlink ref="O1494" r:id="rId1375" xr:uid="{5A5A1227-54E8-41F2-9307-4372C8357023}"/>
    <hyperlink ref="O1496" r:id="rId1376" xr:uid="{8563B418-2E43-4B46-8B7A-0BC00B4DD5B8}"/>
    <hyperlink ref="O1497" r:id="rId1377" xr:uid="{4D7BBA0E-5ED5-4D78-9A42-A11B95C24C8F}"/>
    <hyperlink ref="O1498" r:id="rId1378" xr:uid="{53F4EB72-2774-4301-BAD9-0680CCC6785C}"/>
    <hyperlink ref="O1499" r:id="rId1379" xr:uid="{F030D776-A6B3-4156-9BEE-2D688CB62225}"/>
    <hyperlink ref="O1500" r:id="rId1380" xr:uid="{D9D8BF1B-0974-4E06-B519-64D03394F173}"/>
    <hyperlink ref="O1501" r:id="rId1381" xr:uid="{18D469FC-2FE6-42F9-B7FF-C11D90AD9861}"/>
    <hyperlink ref="O1503" r:id="rId1382" xr:uid="{9ADB324A-2010-4987-840B-9E17A0CCC91C}"/>
    <hyperlink ref="O1502" r:id="rId1383" xr:uid="{B932E38C-1A52-46B8-A113-E9182288ABE6}"/>
    <hyperlink ref="O1504" r:id="rId1384" xr:uid="{9B36CE9B-2162-4A20-94F6-36B7530175D8}"/>
    <hyperlink ref="O1505" r:id="rId1385" xr:uid="{36D53D37-751E-41F8-B0BA-8EB183CA9470}"/>
    <hyperlink ref="O1506" r:id="rId1386" xr:uid="{F83B4EF4-2A1C-4C8C-9331-5C34AD4378FB}"/>
    <hyperlink ref="O1507" r:id="rId1387" xr:uid="{4665EFDA-E7F8-4A1B-A431-4F586F4588CE}"/>
    <hyperlink ref="O1508" r:id="rId1388" xr:uid="{9D287D8C-6062-4DC3-BD29-B5908FEA9ABB}"/>
    <hyperlink ref="O1509" r:id="rId1389" xr:uid="{C4A1009A-345A-441E-B261-CB0327A50BEC}"/>
    <hyperlink ref="O1510" r:id="rId1390" xr:uid="{4D9C1B71-AFA7-4E3F-A540-1AF87BD6C6C6}"/>
    <hyperlink ref="O1511" r:id="rId1391" xr:uid="{6B5E92F4-4E45-4BE6-8DF1-E412CCB3B0FE}"/>
    <hyperlink ref="O1512" r:id="rId1392" xr:uid="{98CE4BDA-CAEC-401D-870E-2DB976EBE08B}"/>
    <hyperlink ref="O1513" r:id="rId1393" xr:uid="{D905A64F-C295-44FB-A92B-345158CB1417}"/>
    <hyperlink ref="O1516" r:id="rId1394" xr:uid="{936EF881-2A8A-4B24-9858-D55F992B9817}"/>
    <hyperlink ref="O1517" r:id="rId1395" xr:uid="{BD39416F-D6D0-4AC0-B9C3-667080BF41D3}"/>
    <hyperlink ref="O1518" r:id="rId1396" xr:uid="{BE965758-1D3A-42B3-89B8-BB85B09E2CBE}"/>
    <hyperlink ref="O1519" r:id="rId1397" xr:uid="{EA89E136-3329-4D56-8A36-C0C7D470526F}"/>
    <hyperlink ref="O1520" r:id="rId1398" xr:uid="{0E74EF0A-BF44-422B-B615-A3E051154C5C}"/>
    <hyperlink ref="O1521" r:id="rId1399" xr:uid="{93D3C52C-C2E2-49BB-83D2-0EA98C49D53A}"/>
    <hyperlink ref="O1522" r:id="rId1400" xr:uid="{52EFDF5D-4982-48E2-9AD6-25343A6FFDBA}"/>
    <hyperlink ref="O1523" r:id="rId1401" xr:uid="{EBF4660A-0016-4CA3-A438-B362B3D78ED2}"/>
    <hyperlink ref="O1524" r:id="rId1402" xr:uid="{EBF1745D-288F-4B24-8951-DA49BCBBA097}"/>
    <hyperlink ref="O1525" r:id="rId1403" xr:uid="{AB4F1816-ECCE-44BD-8518-46349741797F}"/>
    <hyperlink ref="O1526" r:id="rId1404" xr:uid="{3B608384-8546-47F4-93BA-B7E6356F2D85}"/>
    <hyperlink ref="O1527" r:id="rId1405" xr:uid="{1EE1D01B-526A-4034-8892-7B4182D53BF3}"/>
    <hyperlink ref="O1528" r:id="rId1406" xr:uid="{E42B8699-63E9-4B78-A8DF-AB387C5AD1CE}"/>
    <hyperlink ref="O1529" r:id="rId1407" xr:uid="{2DB4BDE5-E07C-41D0-9A60-97F4075E3DEB}"/>
    <hyperlink ref="O1530" r:id="rId1408" xr:uid="{F4772763-44E5-4613-A4BD-EC9429D4BDB2}"/>
    <hyperlink ref="O1531" r:id="rId1409" xr:uid="{AB9A235F-E499-46DD-BD71-4C1925529B6E}"/>
    <hyperlink ref="O1532" r:id="rId1410" xr:uid="{C9AC2741-6094-4DF3-BA65-82150A8BD28B}"/>
    <hyperlink ref="O1533" r:id="rId1411" xr:uid="{9D54D3D8-D0BA-4F4C-8819-C1928CF6F909}"/>
    <hyperlink ref="O1534" r:id="rId1412" xr:uid="{640029BB-F418-4E78-A382-EAEA24EC49DC}"/>
    <hyperlink ref="O1535" r:id="rId1413" xr:uid="{30792E7C-76A7-415B-8564-642F62999EF7}"/>
    <hyperlink ref="O1536" r:id="rId1414" xr:uid="{86D8851A-3753-49D8-859B-B760105D2924}"/>
    <hyperlink ref="O1537" r:id="rId1415" xr:uid="{0344D6B1-ACEC-4CFA-B3FF-D9ACB2D3DA7E}"/>
    <hyperlink ref="O1538" r:id="rId1416" xr:uid="{AEA80F6A-A226-4957-975E-9A2423299EC2}"/>
    <hyperlink ref="O1539" r:id="rId1417" xr:uid="{3747388C-84A9-437A-BA3C-C097681E6D54}"/>
    <hyperlink ref="O1540" r:id="rId1418" xr:uid="{9AAC278C-3895-402F-BDE7-F88A924A84FA}"/>
    <hyperlink ref="O1541" r:id="rId1419" xr:uid="{35110A44-8891-4FDF-9209-6D44F01841D5}"/>
    <hyperlink ref="O1542" r:id="rId1420" xr:uid="{D78ADE69-DD91-4E56-9C81-B52694DA30B0}"/>
    <hyperlink ref="O1543" r:id="rId1421" xr:uid="{148D4D09-4762-4211-9EC4-2D64EB189E7B}"/>
    <hyperlink ref="O1544" r:id="rId1422" xr:uid="{D9AE15EB-7727-4EA2-A9B6-CAE5A70A71F4}"/>
    <hyperlink ref="O1545" r:id="rId1423" xr:uid="{F6BEE434-A256-450D-9CD7-F088CC149CFA}"/>
    <hyperlink ref="O1546" r:id="rId1424" xr:uid="{6B7D1DBA-9806-4928-8286-A8CBD56E9BEA}"/>
    <hyperlink ref="O1547" r:id="rId1425" xr:uid="{B47284B1-C829-41BC-B079-9BBCB911A26B}"/>
    <hyperlink ref="O1548" r:id="rId1426" xr:uid="{04997418-2477-48D1-9F35-4D6C116279BC}"/>
    <hyperlink ref="O1549" r:id="rId1427" xr:uid="{E673950D-7F45-4AFB-AF24-2E38FA7659E0}"/>
    <hyperlink ref="O1550" r:id="rId1428" xr:uid="{F940F2D7-A470-410B-958F-F752449E3C5D}"/>
    <hyperlink ref="O1551" r:id="rId1429" xr:uid="{BDD8C7AB-149B-4965-BAA0-8FC3E2701C1C}"/>
    <hyperlink ref="O1552" r:id="rId1430" xr:uid="{04B6E3D8-D0CA-4B11-84F8-BC1A1C481A9C}"/>
    <hyperlink ref="O1553" r:id="rId1431" xr:uid="{9913C004-AF9A-417B-9910-25B2C49402A9}"/>
    <hyperlink ref="O1554" r:id="rId1432" xr:uid="{C8A1384B-8179-478B-978A-F0B06AD9C25F}"/>
    <hyperlink ref="O1555" r:id="rId1433" xr:uid="{EE11C544-7B70-47CD-8180-8B3C3C8E967E}"/>
    <hyperlink ref="O1556" r:id="rId1434" xr:uid="{F9B3831C-7FD6-4BB1-999B-9F1F36C460B0}"/>
    <hyperlink ref="O1557" r:id="rId1435" xr:uid="{F297B5CD-E117-4CD0-BB9C-C1A931F2D28F}"/>
    <hyperlink ref="O1559" r:id="rId1436" xr:uid="{483D34BE-1603-4948-BBB0-F0EFE2E43BEF}"/>
    <hyperlink ref="O1558" r:id="rId1437" xr:uid="{128BBCDA-2A54-4AAB-BEF0-FD5115CF9881}"/>
    <hyperlink ref="O1560" r:id="rId1438" xr:uid="{688BED0D-3C1F-45A6-8557-74CE442CB013}"/>
    <hyperlink ref="O1561" r:id="rId1439" xr:uid="{2EB2B24F-7079-4E29-858D-4342829633FA}"/>
    <hyperlink ref="O1563" r:id="rId1440" xr:uid="{CA2C5BB8-A9EB-4DD5-9EAF-041B88035BFD}"/>
    <hyperlink ref="O1564" r:id="rId1441" xr:uid="{6C27A310-12EB-450C-8846-6A9144A08D19}"/>
    <hyperlink ref="O1562" r:id="rId1442" xr:uid="{A3043EA8-09B3-45C8-B08B-98E59DF2132D}"/>
    <hyperlink ref="O1565" r:id="rId1443" xr:uid="{7E4FD70B-19CA-44F1-A541-FF1C3D9CFE63}"/>
    <hyperlink ref="O1566" r:id="rId1444" xr:uid="{63667ED8-2849-4EF7-82E5-F3AD96799EB8}"/>
    <hyperlink ref="O1567" r:id="rId1445" xr:uid="{A2B990D9-24F5-40DB-9695-B794E12A8F6D}"/>
    <hyperlink ref="O1568" r:id="rId1446" xr:uid="{A2F21E6F-317C-4D3A-B707-511DFF206B04}"/>
    <hyperlink ref="O1569" r:id="rId1447" xr:uid="{98D98685-F2A6-47D0-8C84-B24C6AACA98A}"/>
    <hyperlink ref="O1570" r:id="rId1448" xr:uid="{C4A5D8FE-8EB5-4FE8-B262-D25387A86F8E}"/>
    <hyperlink ref="O1571" r:id="rId1449" xr:uid="{05BC13B1-1C8B-4FB0-B728-E616AFD1FC82}"/>
    <hyperlink ref="O1572" r:id="rId1450" xr:uid="{FA95E00C-EBCE-41BB-9A32-B0FC0BE33E98}"/>
    <hyperlink ref="O1573" r:id="rId1451" xr:uid="{26AE6F70-E7B2-4467-BC87-E6AE29357363}"/>
    <hyperlink ref="O1574" r:id="rId1452" xr:uid="{02A40411-6C79-4BD9-86D0-41E7634ECBBE}"/>
    <hyperlink ref="O1575" r:id="rId1453" xr:uid="{F5CBA675-96C0-4FEE-8FD2-9465229C66D2}"/>
    <hyperlink ref="O1576" r:id="rId1454" xr:uid="{FD4C0355-5BD5-4458-9715-D6C992455AFF}"/>
    <hyperlink ref="O1577" r:id="rId1455" xr:uid="{8C870629-D992-4DF2-9AFB-9C3020E720A3}"/>
    <hyperlink ref="O1578" r:id="rId1456" xr:uid="{626D47D0-8AD1-4777-B3C3-614F118A61D6}"/>
    <hyperlink ref="O1579" r:id="rId1457" xr:uid="{1A538FA1-97D5-44E8-AB2D-424332A2DFE7}"/>
    <hyperlink ref="O1580" r:id="rId1458" xr:uid="{9B6BEA1F-B08C-4DF0-9F52-E913FD9B3B72}"/>
    <hyperlink ref="O1581" r:id="rId1459" xr:uid="{42278253-F11F-404C-8BF4-F4AA41057E08}"/>
    <hyperlink ref="O1582" r:id="rId1460" xr:uid="{436E2369-7EDB-4F3F-B2FC-B513C68D545B}"/>
    <hyperlink ref="O1583" r:id="rId1461" xr:uid="{A7967BE7-0D8B-444D-866D-55E9511B82A9}"/>
    <hyperlink ref="O1584" r:id="rId1462" xr:uid="{FF46CC95-E462-4DEC-B2BA-661BA16863E8}"/>
    <hyperlink ref="O1585" r:id="rId1463" xr:uid="{FA631F27-56D3-4AA8-9184-888DF01998A7}"/>
    <hyperlink ref="O1586" r:id="rId1464" xr:uid="{F206C8E4-39B3-4FF0-BA63-D82784543922}"/>
    <hyperlink ref="O1587" r:id="rId1465" xr:uid="{F9D599C1-A384-4243-99AA-D468867985DF}"/>
    <hyperlink ref="O1588" r:id="rId1466" xr:uid="{F2153B0A-C774-43DA-A58D-543E7A725EB7}"/>
    <hyperlink ref="O1589" r:id="rId1467" xr:uid="{08FD572F-F9F0-4F9F-A2C4-FCB64F331B1D}"/>
    <hyperlink ref="O1590" r:id="rId1468" xr:uid="{A9BAD0DE-FFB2-419C-A1C7-BAA3D2B75990}"/>
    <hyperlink ref="O1591" r:id="rId1469" xr:uid="{1A034D9D-337E-49C3-819B-09EA8164F24E}"/>
    <hyperlink ref="O1592" r:id="rId1470" xr:uid="{4DB2169C-C3D6-42F1-BCB2-AE79A47E313E}"/>
    <hyperlink ref="O1593" r:id="rId1471" xr:uid="{8F8BFA30-1903-4D88-9256-ED504EAC67AD}"/>
    <hyperlink ref="O1594" r:id="rId1472" xr:uid="{13A3B126-AB98-4692-AFBB-E7BCD1A788F0}"/>
    <hyperlink ref="O1595" r:id="rId1473" xr:uid="{18C8C75C-F186-4B3B-B613-4C6BE9FC8501}"/>
    <hyperlink ref="O1597" r:id="rId1474" xr:uid="{7FCE1B6F-5D40-4B9E-A5A2-FA3F6A67C47B}"/>
    <hyperlink ref="O1598" r:id="rId1475" xr:uid="{60CF078A-23CB-44B8-B005-35D6AC8FDDF1}"/>
    <hyperlink ref="O1599" r:id="rId1476" xr:uid="{F5786AD3-BD93-4839-96E6-5E5A9D48A3B7}"/>
    <hyperlink ref="O1601" r:id="rId1477" xr:uid="{3557CE24-6D3D-408B-9800-8BA534EDB992}"/>
    <hyperlink ref="O1596" r:id="rId1478" xr:uid="{48B9D3F6-410E-4A3B-A754-99CF8DF37BEC}"/>
    <hyperlink ref="O1600" r:id="rId1479" xr:uid="{91FF69C4-56FE-4896-938D-E2493A8D3787}"/>
    <hyperlink ref="O1602" r:id="rId1480" xr:uid="{AEB9284C-27C8-4675-AF9F-D7A436A2B8D8}"/>
    <hyperlink ref="O1603" r:id="rId1481" xr:uid="{EC04EEA9-08A5-4C53-8A8B-FBF3379AC970}"/>
    <hyperlink ref="O1604" r:id="rId1482" xr:uid="{A8481E54-447D-4D61-AE9C-6BFC656A597A}"/>
    <hyperlink ref="O1605" r:id="rId1483" xr:uid="{5B9A0471-CACB-4CB4-8528-48BB384A9747}"/>
    <hyperlink ref="O1606" r:id="rId1484" xr:uid="{6F6E0DED-6018-4D4D-BF4F-8EBB150769E8}"/>
    <hyperlink ref="O1607" r:id="rId1485" xr:uid="{C2FCA37B-6F2E-481A-9685-12BE25DB1990}"/>
    <hyperlink ref="O1608" r:id="rId1486" xr:uid="{5E1B8807-9711-4136-ACE0-657FDE3A6956}"/>
    <hyperlink ref="O1609" r:id="rId1487" xr:uid="{CC1EF1CC-6129-4494-B6F4-7CBDE932C118}"/>
    <hyperlink ref="O1610" r:id="rId1488" xr:uid="{66B010B7-B634-4B4B-A631-7691A213A329}"/>
    <hyperlink ref="O1611" r:id="rId1489" xr:uid="{4FF5EF5D-C53F-4B8A-9CC6-946BB6FEF984}"/>
    <hyperlink ref="O1612" r:id="rId1490" xr:uid="{AC61BDFC-3692-4075-867E-DAE19E5C6872}"/>
    <hyperlink ref="O1613" r:id="rId1491" xr:uid="{7A2F3E71-BE55-4FC9-97E2-D76B52AA7ABD}"/>
    <hyperlink ref="O1614" r:id="rId1492" xr:uid="{1B7EF08E-0536-4A8F-880D-31AD43973486}"/>
    <hyperlink ref="O1615" r:id="rId1493" xr:uid="{AB2119DA-8D5E-429D-9291-665DC91DF011}"/>
    <hyperlink ref="O1616" r:id="rId1494" xr:uid="{8CBC7BC9-04BE-4E81-814B-EC68F2DA39E4}"/>
    <hyperlink ref="O1617" r:id="rId1495" xr:uid="{B8201B26-B1AA-4F93-938F-150F14C42BFD}"/>
    <hyperlink ref="O1618" r:id="rId1496" xr:uid="{7E51274C-CA7B-422D-8C27-97089819ECE2}"/>
    <hyperlink ref="O1619" r:id="rId1497" xr:uid="{F1985020-EE80-499F-AD36-653630A83542}"/>
    <hyperlink ref="O1620" r:id="rId1498" xr:uid="{3281523B-9790-41F8-B65D-988F93614B42}"/>
    <hyperlink ref="O1621" r:id="rId1499" xr:uid="{D68F951E-1620-4923-BBA8-0E3C05FBC9B8}"/>
    <hyperlink ref="O1622" r:id="rId1500" xr:uid="{7CD30F67-CCC6-4FFD-A7E8-75E9F6E4CF14}"/>
    <hyperlink ref="O1623" r:id="rId1501" xr:uid="{EB6D2BD1-F26B-4375-AD77-5E09E3F82403}"/>
    <hyperlink ref="O1624" r:id="rId1502" xr:uid="{6AB5BB00-0F2F-44A9-883A-9B37A96223F8}"/>
    <hyperlink ref="O1625" r:id="rId1503" xr:uid="{8A4C29A1-686B-465F-9392-CD2B50D138A3}"/>
    <hyperlink ref="O1626" r:id="rId1504" xr:uid="{039C188A-775F-4C7B-959D-9F050F750488}"/>
    <hyperlink ref="O1627" r:id="rId1505" xr:uid="{0B6F226C-755A-43B8-B8B6-B878B573946F}"/>
    <hyperlink ref="O1628" r:id="rId1506" xr:uid="{71F922F6-8503-4129-A6B8-1F750800B451}"/>
    <hyperlink ref="O1629" r:id="rId1507" xr:uid="{D1A5152F-D2D0-4D66-ADD9-FC41F17FC0A3}"/>
    <hyperlink ref="O1630" r:id="rId1508" xr:uid="{2F9179E0-A97F-4E06-B7CB-A571766A7292}"/>
    <hyperlink ref="O1631" r:id="rId1509" xr:uid="{FFD3AC6C-285A-4754-80ED-9A0A4D33D972}"/>
    <hyperlink ref="O1632" r:id="rId1510" xr:uid="{028CFE4D-EFA8-4448-8340-92ED58EAFECA}"/>
    <hyperlink ref="O1633" r:id="rId1511" xr:uid="{C32E39B4-843A-4388-8363-DE9AF4E571A2}"/>
    <hyperlink ref="O1636" r:id="rId1512" xr:uid="{0ADD4961-2E85-4AE5-824D-934FD7BD2881}"/>
    <hyperlink ref="O1634" r:id="rId1513" xr:uid="{4307B45B-BEC4-40C7-992F-4E14986A4FAB}"/>
    <hyperlink ref="O1637" r:id="rId1514" xr:uid="{47F62186-0371-4E44-8B8D-2D2C7ACFDEDB}"/>
    <hyperlink ref="O1638" r:id="rId1515" xr:uid="{DD82D964-63C8-4006-93E5-2B6AA15DECC0}"/>
    <hyperlink ref="O1639" r:id="rId1516" xr:uid="{539C933B-1876-4DE3-A366-1276F48A1FED}"/>
    <hyperlink ref="O1640" r:id="rId1517" xr:uid="{B44F5D11-F5E7-4257-A0F9-ECDBB09FC7AE}"/>
    <hyperlink ref="O1641" r:id="rId1518" xr:uid="{43691F67-E56A-4DFF-9635-4BCD79A4E1BB}"/>
    <hyperlink ref="O1642" r:id="rId1519" xr:uid="{9DF8F93B-218C-4419-A67C-A5F3E5D6569C}"/>
  </hyperlinks>
  <pageMargins left="0.7" right="0.7" top="0.75" bottom="0.75" header="0.3" footer="0.3"/>
  <legacyDrawing r:id="rId15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Clientes23-25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Rios GAMES</dc:creator>
  <cp:lastModifiedBy>Juan Carlos Rios GAMES</cp:lastModifiedBy>
  <dcterms:created xsi:type="dcterms:W3CDTF">2025-10-01T13:44:42Z</dcterms:created>
  <dcterms:modified xsi:type="dcterms:W3CDTF">2025-11-17T20:11:27Z</dcterms:modified>
</cp:coreProperties>
</file>